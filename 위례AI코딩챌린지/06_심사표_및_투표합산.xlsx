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작품목록" sheetId="2" state="visible" r:id="rId4"/>
    <sheet name="심사_블록바이브" sheetId="3" state="visible" r:id="rId5"/>
    <sheet name="심사_상상" sheetId="4" state="visible" r:id="rId6"/>
    <sheet name="좋아요 수" sheetId="5" state="visible" r:id="rId7"/>
    <sheet name="학급별참여율" sheetId="6" state="visible" r:id="rId8"/>
    <sheet name="최종결과" sheetId="7" state="visible" r:id="rId9"/>
  </sheets>
  <definedNames>
    <definedName function="false" hidden="false" localSheetId="2" name="_xlnm.Print_Titles" vbProcedure="false">심사_블록바이브!$3:$4</definedName>
    <definedName function="false" hidden="false" localSheetId="3" name="_xlnm.Print_Titles" vbProcedure="false">심사_상상!$3:$4</definedName>
    <definedName function="false" hidden="false" localSheetId="1" name="_xlnm.Print_Titles" vbProcedure="false">작품목록!$3:$3</definedName>
    <definedName function="false" hidden="true" localSheetId="1" name="_xlnm._FilterDatabase" vbProcedure="false">작품목록!$A$3:$H$103</definedName>
    <definedName function="false" hidden="false" localSheetId="4" name="_xlnm.Print_Titles" vbProcedure="false">'좋아요 수'!$5:$5</definedName>
    <definedName function="false" hidden="false" localSheetId="6" name="_xlnm.Print_Titles" vbProcedure="false">최종결과!$10:$10</definedName>
    <definedName function="false" hidden="true" localSheetId="6" name="_xlnm._FilterDatabase" vbProcedure="false">최종결과!$A$10:$O$110</definedName>
    <definedName function="false" hidden="false" localSheetId="5" name="_xlnm.Print_Titles" vbProcedure="false">학급별참여율!$4:$4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WenQuanYi Zen Hei"/>
            <family val="2"/>
          </rPr>
          <t xml:space="preserve">시상 기준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부문별 참가 작품 수의 상위 </t>
        </r>
        <r>
          <rPr>
            <sz val="10"/>
            <rFont val="Arial"/>
            <family val="2"/>
          </rPr>
          <t xml:space="preserve">10% </t>
        </r>
        <r>
          <rPr>
            <sz val="10"/>
            <rFont val="WenQuanYi Zen Hei"/>
            <family val="2"/>
          </rPr>
          <t xml:space="preserve">내외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학업성적관리규정 교내상 비율 범위 내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필요하면 바꾸세요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<sst xmlns="http://schemas.openxmlformats.org/spreadsheetml/2006/main" count="451" uniqueCount="279">
  <si>
    <r>
      <rPr>
        <b val="true"/>
        <sz val="16"/>
        <color rgb="FF1F4E79"/>
        <rFont val="맑은 고딕"/>
        <family val="0"/>
        <charset val="1"/>
      </rPr>
      <t xml:space="preserve">2026 </t>
    </r>
    <r>
      <rPr>
        <b val="true"/>
        <sz val="16"/>
        <color rgb="FF1F4E79"/>
        <rFont val="WenQuanYi Zen Hei"/>
        <family val="2"/>
      </rPr>
      <t xml:space="preserve">위례 </t>
    </r>
    <r>
      <rPr>
        <b val="true"/>
        <sz val="16"/>
        <color rgb="FF1F4E79"/>
        <rFont val="맑은 고딕"/>
        <family val="0"/>
        <charset val="1"/>
      </rPr>
      <t xml:space="preserve">AI </t>
    </r>
    <r>
      <rPr>
        <b val="true"/>
        <sz val="16"/>
        <color rgb="FF1F4E79"/>
        <rFont val="WenQuanYi Zen Hei"/>
        <family val="2"/>
      </rPr>
      <t xml:space="preserve">코딩 챌린지 — 심사표 및 투표</t>
    </r>
    <r>
      <rPr>
        <b val="true"/>
        <sz val="16"/>
        <color rgb="FF1F4E79"/>
        <rFont val="맑은 고딕"/>
        <family val="0"/>
        <charset val="1"/>
      </rPr>
      <t xml:space="preserve">(</t>
    </r>
    <r>
      <rPr>
        <b val="true"/>
        <sz val="16"/>
        <color rgb="FF1F4E79"/>
        <rFont val="WenQuanYi Zen Hei"/>
        <family val="2"/>
      </rPr>
      <t xml:space="preserve">좋아요</t>
    </r>
    <r>
      <rPr>
        <b val="true"/>
        <sz val="16"/>
        <color rgb="FF1F4E79"/>
        <rFont val="맑은 고딕"/>
        <family val="0"/>
        <charset val="1"/>
      </rPr>
      <t xml:space="preserve">) </t>
    </r>
    <r>
      <rPr>
        <b val="true"/>
        <sz val="16"/>
        <color rgb="FF1F4E79"/>
        <rFont val="WenQuanYi Zen Hei"/>
        <family val="2"/>
      </rPr>
      <t xml:space="preserve">합산 </t>
    </r>
    <r>
      <rPr>
        <b val="true"/>
        <sz val="16"/>
        <color rgb="FF1F4E79"/>
        <rFont val="맑은 고딕"/>
        <family val="0"/>
        <charset val="1"/>
      </rPr>
      <t xml:space="preserve">(</t>
    </r>
    <r>
      <rPr>
        <b val="true"/>
        <sz val="16"/>
        <color rgb="FF1F4E79"/>
        <rFont val="WenQuanYi Zen Hei"/>
        <family val="2"/>
      </rPr>
      <t xml:space="preserve">사용법</t>
    </r>
    <r>
      <rPr>
        <b val="true"/>
        <sz val="16"/>
        <color rgb="FF1F4E79"/>
        <rFont val="맑은 고딕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</si>
  <si>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학생 투표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좋아요</t>
    </r>
    <r>
      <rPr>
        <sz val="10"/>
        <color rgb="FF595959"/>
        <rFont val="맑은 고딕"/>
        <family val="0"/>
        <charset val="1"/>
      </rPr>
      <t xml:space="preserve">) 50</t>
    </r>
    <r>
      <rPr>
        <sz val="10"/>
        <color rgb="FF595959"/>
        <rFont val="WenQuanYi Zen Hei"/>
        <family val="2"/>
      </rPr>
      <t xml:space="preserve">점 </t>
    </r>
    <r>
      <rPr>
        <sz val="10"/>
        <color rgb="FF595959"/>
        <rFont val="맑은 고딕"/>
        <family val="0"/>
        <charset val="1"/>
      </rPr>
      <t xml:space="preserve">+ </t>
    </r>
    <r>
      <rPr>
        <sz val="10"/>
        <color rgb="FF595959"/>
        <rFont val="WenQuanYi Zen Hei"/>
        <family val="2"/>
      </rPr>
      <t xml:space="preserve">업무팀 심사 </t>
    </r>
    <r>
      <rPr>
        <sz val="10"/>
        <color rgb="FF595959"/>
        <rFont val="맑은 고딕"/>
        <family val="0"/>
        <charset val="1"/>
      </rPr>
      <t xml:space="preserve">50</t>
    </r>
    <r>
      <rPr>
        <sz val="10"/>
        <color rgb="FF595959"/>
        <rFont val="WenQuanYi Zen Hei"/>
        <family val="2"/>
      </rPr>
      <t xml:space="preserve">점 </t>
    </r>
    <r>
      <rPr>
        <sz val="10"/>
        <color rgb="FF595959"/>
        <rFont val="맑은 고딕"/>
        <family val="0"/>
        <charset val="1"/>
      </rPr>
      <t xml:space="preserve">= 100</t>
    </r>
    <r>
      <rPr>
        <sz val="10"/>
        <color rgb="FF595959"/>
        <rFont val="WenQuanYi Zen Hei"/>
        <family val="2"/>
      </rPr>
      <t xml:space="preserve">점 </t>
    </r>
    <r>
      <rPr>
        <sz val="10"/>
        <color rgb="FF595959"/>
        <rFont val="맑은 고딕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엑셀이 자동으로 합산해요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노란 칸만 입력하세요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</si>
  <si>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WenQuanYi Zen Hei"/>
        <family val="2"/>
      </rPr>
      <t xml:space="preserve">일정</t>
    </r>
    <r>
      <rPr>
        <b val="true"/>
        <sz val="10"/>
        <color rgb="FFC00000"/>
        <rFont val="맑은 고딕"/>
        <family val="0"/>
        <charset val="1"/>
      </rPr>
      <t xml:space="preserve">: </t>
    </r>
    <r>
      <rPr>
        <b val="true"/>
        <sz val="10"/>
        <color rgb="FFC00000"/>
        <rFont val="WenQuanYi Zen Hei"/>
        <family val="2"/>
      </rPr>
      <t xml:space="preserve">좋아요 투표 주간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WenQuanYi Zen Hei"/>
        <family val="2"/>
      </rPr>
      <t xml:space="preserve">업무팀 심사 </t>
    </r>
    <r>
      <rPr>
        <b val="true"/>
        <sz val="10"/>
        <color rgb="FFC00000"/>
        <rFont val="맑은 고딕"/>
        <family val="0"/>
        <charset val="1"/>
      </rPr>
      <t xml:space="preserve">11. 9.(</t>
    </r>
    <r>
      <rPr>
        <b val="true"/>
        <sz val="10"/>
        <color rgb="FFC00000"/>
        <rFont val="WenQuanYi Zen Hei"/>
        <family val="2"/>
      </rPr>
      <t xml:space="preserve">월</t>
    </r>
    <r>
      <rPr>
        <b val="true"/>
        <sz val="10"/>
        <color rgb="FFC00000"/>
        <rFont val="맑은 고딕"/>
        <family val="0"/>
        <charset val="1"/>
      </rPr>
      <t xml:space="preserve">)~11. 13.(</t>
    </r>
    <r>
      <rPr>
        <b val="true"/>
        <sz val="10"/>
        <color rgb="FFC00000"/>
        <rFont val="WenQuanYi Zen Hei"/>
        <family val="2"/>
      </rPr>
      <t xml:space="preserve">금</t>
    </r>
    <r>
      <rPr>
        <b val="true"/>
        <sz val="10"/>
        <color rgb="FFC00000"/>
        <rFont val="맑은 고딕"/>
        <family val="0"/>
        <charset val="1"/>
      </rPr>
      <t xml:space="preserve">)  →  </t>
    </r>
    <r>
      <rPr>
        <b val="true"/>
        <sz val="10"/>
        <color rgb="FFC00000"/>
        <rFont val="WenQuanYi Zen Hei"/>
        <family val="2"/>
      </rPr>
      <t xml:space="preserve">점수 합산 </t>
    </r>
    <r>
      <rPr>
        <b val="true"/>
        <sz val="10"/>
        <color rgb="FFC00000"/>
        <rFont val="맑은 고딕"/>
        <family val="0"/>
        <charset val="1"/>
      </rPr>
      <t xml:space="preserve">11. 16.(</t>
    </r>
    <r>
      <rPr>
        <b val="true"/>
        <sz val="10"/>
        <color rgb="FFC00000"/>
        <rFont val="WenQuanYi Zen Hei"/>
        <family val="2"/>
      </rPr>
      <t xml:space="preserve">월</t>
    </r>
    <r>
      <rPr>
        <b val="true"/>
        <sz val="10"/>
        <color rgb="FFC00000"/>
        <rFont val="맑은 고딕"/>
        <family val="0"/>
        <charset val="1"/>
      </rPr>
      <t xml:space="preserve">)~11. 17.(</t>
    </r>
    <r>
      <rPr>
        <b val="true"/>
        <sz val="10"/>
        <color rgb="FFC00000"/>
        <rFont val="WenQuanYi Zen Hei"/>
        <family val="2"/>
      </rPr>
      <t xml:space="preserve">화</t>
    </r>
    <r>
      <rPr>
        <b val="true"/>
        <sz val="10"/>
        <color rgb="FFC00000"/>
        <rFont val="맑은 고딕"/>
        <family val="0"/>
        <charset val="1"/>
      </rPr>
      <t xml:space="preserve">)  →  </t>
    </r>
    <r>
      <rPr>
        <b val="true"/>
        <sz val="10"/>
        <color rgb="FFC00000"/>
        <rFont val="WenQuanYi Zen Hei"/>
        <family val="2"/>
      </rPr>
      <t xml:space="preserve">결과 발표</t>
    </r>
    <r>
      <rPr>
        <b val="true"/>
        <sz val="10"/>
        <color rgb="FFC00000"/>
        <rFont val="맑은 고딕"/>
        <family val="0"/>
        <charset val="1"/>
      </rPr>
      <t xml:space="preserve">·</t>
    </r>
    <r>
      <rPr>
        <b val="true"/>
        <sz val="10"/>
        <color rgb="FFC00000"/>
        <rFont val="WenQuanYi Zen Hei"/>
        <family val="2"/>
      </rPr>
      <t xml:space="preserve">시상 </t>
    </r>
    <r>
      <rPr>
        <b val="true"/>
        <sz val="10"/>
        <color rgb="FFC00000"/>
        <rFont val="맑은 고딕"/>
        <family val="0"/>
        <charset val="1"/>
      </rPr>
      <t xml:space="preserve">11. 18.(</t>
    </r>
    <r>
      <rPr>
        <b val="true"/>
        <sz val="10"/>
        <color rgb="FFC00000"/>
        <rFont val="WenQuanYi Zen Hei"/>
        <family val="2"/>
      </rPr>
      <t xml:space="preserve">수</t>
    </r>
    <r>
      <rPr>
        <b val="true"/>
        <sz val="10"/>
        <color rgb="FFC00000"/>
        <rFont val="맑은 고딕"/>
        <family val="0"/>
        <charset val="1"/>
      </rPr>
      <t xml:space="preserve">)</t>
    </r>
  </si>
  <si>
    <t xml:space="preserve">단계</t>
  </si>
  <si>
    <t xml:space="preserve">시트</t>
  </si>
  <si>
    <t xml:space="preserve">할 일</t>
  </si>
  <si>
    <t xml:space="preserve">작품목록</t>
  </si>
  <si>
    <r>
      <rPr>
        <sz val="10"/>
        <rFont val="WenQuanYi Zen Hei"/>
        <family val="2"/>
      </rPr>
      <t xml:space="preserve">업무팀이 확인해 온라인 갤러리에 공개한 작품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블록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바이브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학년 상상 부문 활동지를 한 줄에 하나씩 모두 입력해요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차 심사 없음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작품번호는 갤러리와 똑같이 블록코딩 </t>
    </r>
    <r>
      <rPr>
        <sz val="10"/>
        <rFont val="맑은 고딕"/>
        <family val="0"/>
        <charset val="1"/>
      </rPr>
      <t xml:space="preserve">B-01, </t>
    </r>
    <r>
      <rPr>
        <sz val="10"/>
        <rFont val="WenQuanYi Zen Hei"/>
        <family val="2"/>
      </rPr>
      <t xml:space="preserve">바이브코딩 </t>
    </r>
    <r>
      <rPr>
        <sz val="10"/>
        <rFont val="맑은 고딕"/>
        <family val="0"/>
        <charset val="1"/>
      </rPr>
      <t xml:space="preserve">V-01, </t>
    </r>
    <r>
      <rPr>
        <sz val="10"/>
        <rFont val="WenQuanYi Zen Hei"/>
        <family val="2"/>
      </rPr>
      <t xml:space="preserve">상상 </t>
    </r>
    <r>
      <rPr>
        <sz val="10"/>
        <rFont val="맑은 고딕"/>
        <family val="0"/>
        <charset val="1"/>
      </rPr>
      <t xml:space="preserve">S-01</t>
    </r>
    <r>
      <rPr>
        <sz val="10"/>
        <rFont val="WenQuanYi Zen Hei"/>
        <family val="2"/>
      </rPr>
      <t xml:space="preserve">처럼 두 자리로 써요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대표 학년반은 </t>
    </r>
    <r>
      <rPr>
        <sz val="10"/>
        <rFont val="맑은 고딕"/>
        <family val="0"/>
        <charset val="1"/>
      </rPr>
      <t xml:space="preserve">'4-2'</t>
    </r>
    <r>
      <rPr>
        <sz val="10"/>
        <rFont val="WenQuanYi Zen Hei"/>
        <family val="2"/>
      </rPr>
      <t xml:space="preserve">처럼 목록에서 고르고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인 팀이면 팀원 학년반도 골라요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다른 반 가능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예시 </t>
    </r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개 행은 지우고 실제 작품으로 바꾸세요</t>
    </r>
    <r>
      <rPr>
        <sz val="10"/>
        <rFont val="맑은 고딕"/>
        <family val="0"/>
        <charset val="1"/>
      </rPr>
      <t xml:space="preserve">. (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</si>
  <si>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심사</t>
    </r>
    <r>
      <rPr>
        <b val="true"/>
        <sz val="10"/>
        <rFont val="맑은 고딕"/>
        <family val="0"/>
        <charset val="1"/>
      </rPr>
      <t xml:space="preserve">_</t>
    </r>
    <r>
      <rPr>
        <b val="true"/>
        <sz val="10"/>
        <rFont val="WenQuanYi Zen Hei"/>
        <family val="2"/>
      </rPr>
      <t xml:space="preserve">블록바이브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심사</t>
    </r>
    <r>
      <rPr>
        <b val="true"/>
        <sz val="10"/>
        <rFont val="맑은 고딕"/>
        <family val="0"/>
        <charset val="1"/>
      </rPr>
      <t xml:space="preserve">_</t>
    </r>
    <r>
      <rPr>
        <b val="true"/>
        <sz val="10"/>
        <rFont val="WenQuanYi Zen Hei"/>
        <family val="2"/>
      </rPr>
      <t xml:space="preserve">상상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</si>
  <si>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WenQuanYi Zen Hei"/>
        <family val="2"/>
      </rPr>
      <t xml:space="preserve">열에 작품번호를 쓰면 부문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작품 이름이 자동으로 나와요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심사위원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명이 항목별 점수를 입력하면 심사위원별 합계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평균</t>
    </r>
    <r>
      <rPr>
        <sz val="10"/>
        <rFont val="맑은 고딕"/>
        <family val="0"/>
        <charset val="1"/>
      </rPr>
      <t xml:space="preserve">(50</t>
    </r>
    <r>
      <rPr>
        <sz val="10"/>
        <rFont val="WenQuanYi Zen Hei"/>
        <family val="2"/>
      </rPr>
      <t xml:space="preserve">점 만점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동점 기준 점수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제작 과정 평균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아이디어 독창성 평균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가 자동 계산돼요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배점보다 큰 점수는 입력되지 않아요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데이터 유효성 검사</t>
    </r>
    <r>
      <rPr>
        <sz val="10"/>
        <rFont val="맑은 고딕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</si>
  <si>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좋아요 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왼쪽 </t>
    </r>
    <r>
      <rPr>
        <b val="true"/>
        <sz val="10"/>
        <rFont val="맑은 고딕"/>
        <family val="0"/>
        <charset val="1"/>
      </rPr>
      <t xml:space="preserve">A~B</t>
    </r>
    <r>
      <rPr>
        <b val="true"/>
        <sz val="10"/>
        <rFont val="WenQuanYi Zen Hei"/>
        <family val="2"/>
      </rPr>
      <t xml:space="preserve">열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</si>
  <si>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갤러리 결과 붙여넣기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좋아요 투표가 끝나면</t>
    </r>
    <r>
      <rPr>
        <sz val="10"/>
        <rFont val="맑은 고딕"/>
        <family val="0"/>
        <charset val="1"/>
      </rPr>
      <t xml:space="preserve">(11. 13.(</t>
    </r>
    <r>
      <rPr>
        <sz val="10"/>
        <rFont val="WenQuanYi Zen Hei"/>
        <family val="2"/>
      </rPr>
      <t xml:space="preserve">금</t>
    </r>
    <r>
      <rPr>
        <sz val="10"/>
        <rFont val="맑은 고딕"/>
        <family val="0"/>
        <charset val="1"/>
      </rPr>
      <t xml:space="preserve">)) </t>
    </r>
    <r>
      <rPr>
        <sz val="10"/>
        <rFont val="WenQuanYi Zen Hei"/>
        <family val="2"/>
      </rPr>
      <t xml:space="preserve">온라인 작품 갤러리의 결과 화면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또는 결과 시트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작품번호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좋아요 수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두 열만 복사해 </t>
    </r>
    <r>
      <rPr>
        <sz val="10"/>
        <rFont val="맑은 고딕"/>
        <family val="0"/>
        <charset val="1"/>
      </rPr>
      <t xml:space="preserve">A6 </t>
    </r>
    <r>
      <rPr>
        <sz val="10"/>
        <rFont val="WenQuanYi Zen Hei"/>
        <family val="2"/>
      </rPr>
      <t xml:space="preserve">칸에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값만 붙여넣기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해요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제목 줄은 빼고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순서는 상관없어요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작품목록에 없는 번호나 두 번 들어간 번호는 </t>
    </r>
    <r>
      <rPr>
        <sz val="10"/>
        <rFont val="맑은 고딕"/>
        <family val="0"/>
        <charset val="1"/>
      </rPr>
      <t xml:space="preserve">C</t>
    </r>
    <r>
      <rPr>
        <sz val="10"/>
        <rFont val="WenQuanYi Zen Hei"/>
        <family val="2"/>
      </rPr>
      <t xml:space="preserve">열에 빨간 글씨로 알려 줘요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예시 </t>
    </r>
    <r>
      <rPr>
        <sz val="10"/>
        <rFont val="맑은 고딕"/>
        <family val="0"/>
        <charset val="1"/>
      </rPr>
      <t xml:space="preserve">16</t>
    </r>
    <r>
      <rPr>
        <sz val="10"/>
        <rFont val="WenQuanYi Zen Hei"/>
        <family val="2"/>
      </rPr>
      <t xml:space="preserve">행은 지우고 붙여 넣으세요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</si>
  <si>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좋아요 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오른쪽 </t>
    </r>
    <r>
      <rPr>
        <b val="true"/>
        <sz val="10"/>
        <rFont val="맑은 고딕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열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</si>
  <si>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상상 부문은 스티커 투표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인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이므로 작품별 스티커 수를 </t>
    </r>
    <r>
      <rPr>
        <sz val="10"/>
        <rFont val="맑은 고딕"/>
        <family val="0"/>
        <charset val="1"/>
      </rPr>
      <t xml:space="preserve">I</t>
    </r>
    <r>
      <rPr>
        <sz val="10"/>
        <rFont val="WenQuanYi Zen Hei"/>
        <family val="2"/>
      </rPr>
      <t xml:space="preserve">열 노란 칸에 직접 입력해요</t>
    </r>
    <r>
      <rPr>
        <sz val="10"/>
        <rFont val="맑은 고딕"/>
        <family val="0"/>
        <charset val="1"/>
      </rPr>
      <t xml:space="preserve">. J</t>
    </r>
    <r>
      <rPr>
        <sz val="10"/>
        <rFont val="WenQuanYi Zen Hei"/>
        <family val="2"/>
      </rPr>
      <t xml:space="preserve">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최종 좋아요 수</t>
    </r>
    <r>
      <rPr>
        <sz val="10"/>
        <rFont val="맑은 고딕"/>
        <family val="0"/>
        <charset val="1"/>
      </rPr>
      <t xml:space="preserve">'(</t>
    </r>
    <r>
      <rPr>
        <sz val="10"/>
        <rFont val="WenQuanYi Zen Hei"/>
        <family val="2"/>
      </rPr>
      <t xml:space="preserve">상상은 스티커 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K</t>
    </r>
    <r>
      <rPr>
        <sz val="10"/>
        <rFont val="WenQuanYi Zen Hei"/>
        <family val="2"/>
      </rPr>
      <t xml:space="preserve">열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부문 내 순위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자동으로 나와요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</si>
  <si>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학급별참여율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학생 수 입력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</si>
  <si>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학급 학생 수 입력</t>
    </r>
    <r>
      <rPr>
        <sz val="10"/>
        <rFont val="맑은 고딕"/>
        <family val="0"/>
        <charset val="1"/>
      </rPr>
      <t xml:space="preserve">: B</t>
    </r>
    <r>
      <rPr>
        <sz val="10"/>
        <rFont val="WenQuanYi Zen Hei"/>
        <family val="2"/>
      </rPr>
      <t xml:space="preserve">열 노란 칸에 반별 학생 수를 입력해요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없는 반은 비워 두면 순위에서 빠져요</t>
    </r>
    <r>
      <rPr>
        <sz val="10"/>
        <rFont val="맑은 고딕"/>
        <family val="0"/>
        <charset val="1"/>
      </rPr>
      <t xml:space="preserve">. 1~2</t>
    </r>
    <r>
      <rPr>
        <sz val="10"/>
        <rFont val="WenQuanYi Zen Hei"/>
        <family val="2"/>
      </rPr>
      <t xml:space="preserve">학년은 담임 선생님이 알려 준 활동지 제출 학생 수를 </t>
    </r>
    <r>
      <rPr>
        <sz val="10"/>
        <rFont val="맑은 고딕"/>
        <family val="0"/>
        <charset val="1"/>
      </rPr>
      <t xml:space="preserve">F</t>
    </r>
    <r>
      <rPr>
        <sz val="10"/>
        <rFont val="WenQuanYi Zen Hei"/>
        <family val="2"/>
      </rPr>
      <t xml:space="preserve">열에 쓰면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작품목록에 빠짐없이 입력했는지 </t>
    </r>
    <r>
      <rPr>
        <sz val="10"/>
        <rFont val="맑은 고딕"/>
        <family val="0"/>
        <charset val="1"/>
      </rPr>
      <t xml:space="preserve">G</t>
    </r>
    <r>
      <rPr>
        <sz val="10"/>
        <rFont val="WenQuanYi Zen Hei"/>
        <family val="2"/>
      </rPr>
      <t xml:space="preserve">열에서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일치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작품목록 확인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알려 줘요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</si>
  <si>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학급별참여율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참여율 확인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</si>
  <si>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참여율 확인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참여 학생 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작품목록의 대표 학년반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팀원 학년반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참여율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순위가 자동으로 계산되고 </t>
    </r>
    <r>
      <rPr>
        <sz val="10"/>
        <rFont val="맑은 고딕"/>
        <family val="0"/>
        <charset val="1"/>
      </rPr>
      <t xml:space="preserve">1~3</t>
    </r>
    <r>
      <rPr>
        <sz val="10"/>
        <rFont val="WenQuanYi Zen Hei"/>
        <family val="2"/>
      </rPr>
      <t xml:space="preserve">위 반은 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동색으로 표시돼요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오른쪽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참여율 순위 </t>
    </r>
    <r>
      <rPr>
        <sz val="10"/>
        <rFont val="맑은 고딕"/>
        <family val="0"/>
        <charset val="1"/>
      </rPr>
      <t xml:space="preserve">TOP 10' </t>
    </r>
    <r>
      <rPr>
        <sz val="10"/>
        <rFont val="WenQuanYi Zen Hei"/>
        <family val="2"/>
      </rPr>
      <t xml:space="preserve">표를 결과 발표</t>
    </r>
    <r>
      <rPr>
        <sz val="10"/>
        <rFont val="맑은 고딕"/>
        <family val="0"/>
        <charset val="1"/>
      </rPr>
      <t xml:space="preserve">(11. 18.(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)) </t>
    </r>
    <r>
      <rPr>
        <sz val="10"/>
        <rFont val="WenQuanYi Zen Hei"/>
        <family val="2"/>
      </rPr>
      <t xml:space="preserve">자료로 그대로 쓰세요</t>
    </r>
    <r>
      <rPr>
        <sz val="10"/>
        <rFont val="맑은 고딕"/>
        <family val="0"/>
        <charset val="1"/>
      </rPr>
      <t xml:space="preserve">. '</t>
    </r>
    <r>
      <rPr>
        <sz val="10"/>
        <rFont val="WenQuanYi Zen Hei"/>
        <family val="2"/>
      </rPr>
      <t xml:space="preserve">학년반 확인 필요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명이 아니면 작품목록의 학년반 칸을 고쳐요</t>
    </r>
    <r>
      <rPr>
        <sz val="10"/>
        <rFont val="맑은 고딕"/>
        <family val="0"/>
        <charset val="1"/>
      </rPr>
      <t xml:space="preserve">.</t>
    </r>
  </si>
  <si>
    <t xml:space="preserve">최종결과</t>
  </si>
  <si>
    <r>
      <rPr>
        <sz val="10"/>
        <rFont val="WenQuanYi Zen Hei"/>
        <family val="2"/>
      </rPr>
      <t xml:space="preserve">심사 점수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좋아요 점수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총점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부문 내 순위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수상 추천을 확인해요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수상 인원은 부문별 참가 작품 수의 </t>
    </r>
    <r>
      <rPr>
        <sz val="10"/>
        <rFont val="맑은 고딕"/>
        <family val="0"/>
        <charset val="1"/>
      </rPr>
      <t xml:space="preserve">10%(</t>
    </r>
    <r>
      <rPr>
        <sz val="10"/>
        <rFont val="WenQuanYi Zen Hei"/>
        <family val="2"/>
      </rPr>
      <t xml:space="preserve">반올림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자동 계산돼요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필터</t>
    </r>
    <r>
      <rPr>
        <sz val="10"/>
        <rFont val="맑은 고딕"/>
        <family val="0"/>
        <charset val="1"/>
      </rPr>
      <t xml:space="preserve">(▼)</t>
    </r>
    <r>
      <rPr>
        <sz val="10"/>
        <rFont val="WenQuanYi Zen Hei"/>
        <family val="2"/>
      </rPr>
      <t xml:space="preserve">로 부문별로 보고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부문 내 순위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기준으로 정렬하면 돼요</t>
    </r>
    <r>
      <rPr>
        <sz val="10"/>
        <rFont val="맑은 고딕"/>
        <family val="0"/>
        <charset val="1"/>
      </rPr>
      <t xml:space="preserve">.</t>
    </r>
  </si>
  <si>
    <t xml:space="preserve">확인 및 결재</t>
  </si>
  <si>
    <r>
      <rPr>
        <sz val="10"/>
        <rFont val="WenQuanYi Zen Hei"/>
        <family val="2"/>
      </rPr>
      <t xml:space="preserve">점수 합산 기간</t>
    </r>
    <r>
      <rPr>
        <sz val="10"/>
        <rFont val="맑은 고딕"/>
        <family val="0"/>
        <charset val="1"/>
      </rPr>
      <t xml:space="preserve">(11. 16.(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)~11. 17.(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))</t>
    </r>
    <r>
      <rPr>
        <sz val="10"/>
        <rFont val="WenQuanYi Zen Hei"/>
        <family val="2"/>
      </rPr>
      <t xml:space="preserve">에 동점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수상 추천 결과를 업무팀이 함께 확인하고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최종 수상자는 학업성적관리규정의 교내상 비율 범위 안에서 확정해요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결과 발표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방송 시상식은 </t>
    </r>
    <r>
      <rPr>
        <sz val="10"/>
        <rFont val="맑은 고딕"/>
        <family val="0"/>
        <charset val="1"/>
      </rPr>
      <t xml:space="preserve">11. 18.(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인쇄는 </t>
    </r>
    <r>
      <rPr>
        <sz val="10"/>
        <rFont val="맑은 고딕"/>
        <family val="0"/>
        <charset val="1"/>
      </rPr>
      <t xml:space="preserve">A4 </t>
    </r>
    <r>
      <rPr>
        <sz val="10"/>
        <rFont val="WenQuanYi Zen Hei"/>
        <family val="2"/>
      </rPr>
      <t xml:space="preserve">가로로 설정되어 있어요</t>
    </r>
    <r>
      <rPr>
        <sz val="10"/>
        <rFont val="맑은 고딕"/>
        <family val="0"/>
        <charset val="1"/>
      </rPr>
      <t xml:space="preserve">.</t>
    </r>
  </si>
  <si>
    <t xml:space="preserve">색깔 안내</t>
  </si>
  <si>
    <r>
      <rPr>
        <sz val="10"/>
        <rFont val="WenQuanYi Zen Hei"/>
        <family val="2"/>
      </rPr>
      <t xml:space="preserve">노란 칸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입력하는 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 정보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심사 점수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좋아요 수 붙여넣기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스티커 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학급 학생 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참가 작품 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</si>
  <si>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회색 칸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자동 계산 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수식이 들어 있으니 지우거나 고치지 마세요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</si>
  <si>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금색 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최종결과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최우수 추천  </t>
    </r>
    <r>
      <rPr>
        <sz val="10"/>
        <rFont val="맑은 고딕"/>
        <family val="0"/>
        <charset val="1"/>
      </rPr>
      <t xml:space="preserve">·  </t>
    </r>
    <r>
      <rPr>
        <sz val="10"/>
        <rFont val="WenQuanYi Zen Hei"/>
        <family val="2"/>
      </rPr>
      <t xml:space="preserve">금색 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학급별참여율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참여율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 반</t>
    </r>
  </si>
  <si>
    <r>
      <rPr>
        <sz val="10"/>
        <rFont val="WenQuanYi Zen Hei"/>
        <family val="2"/>
      </rPr>
      <t xml:space="preserve">하늘색 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최종결과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우수 추천</t>
    </r>
  </si>
  <si>
    <r>
      <rPr>
        <sz val="10"/>
        <rFont val="WenQuanYi Zen Hei"/>
        <family val="2"/>
      </rPr>
      <t xml:space="preserve">연두색 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최종결과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장려 추천</t>
    </r>
  </si>
  <si>
    <r>
      <rPr>
        <sz val="10"/>
        <rFont val="WenQuanYi Zen Hei"/>
        <family val="2"/>
      </rPr>
      <t xml:space="preserve">은색 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학급별참여율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참여율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위 반</t>
    </r>
  </si>
  <si>
    <r>
      <rPr>
        <sz val="10"/>
        <rFont val="WenQuanYi Zen Hei"/>
        <family val="2"/>
      </rPr>
      <t xml:space="preserve">동색 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학급별참여율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참여율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위 반</t>
    </r>
  </si>
  <si>
    <r>
      <rPr>
        <sz val="10"/>
        <rFont val="WenQuanYi Zen Hei"/>
        <family val="2"/>
      </rPr>
      <t xml:space="preserve">빨간 글씨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좋아요 수 </t>
    </r>
    <r>
      <rPr>
        <sz val="10"/>
        <rFont val="맑은 고딕"/>
        <family val="0"/>
        <charset val="1"/>
      </rPr>
      <t xml:space="preserve">C</t>
    </r>
    <r>
      <rPr>
        <sz val="10"/>
        <rFont val="WenQuanYi Zen Hei"/>
        <family val="2"/>
      </rPr>
      <t xml:space="preserve">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학급별참여율 </t>
    </r>
    <r>
      <rPr>
        <sz val="10"/>
        <rFont val="맑은 고딕"/>
        <family val="0"/>
        <charset val="1"/>
      </rPr>
      <t xml:space="preserve">G</t>
    </r>
    <r>
      <rPr>
        <sz val="10"/>
        <rFont val="WenQuanYi Zen Hei"/>
        <family val="2"/>
      </rPr>
      <t xml:space="preserve">열</t>
    </r>
    <r>
      <rPr>
        <sz val="10"/>
        <rFont val="맑은 고딕"/>
        <family val="0"/>
        <charset val="1"/>
      </rPr>
      <t xml:space="preserve">) = </t>
    </r>
    <r>
      <rPr>
        <sz val="10"/>
        <rFont val="WenQuanYi Zen Hei"/>
        <family val="2"/>
      </rPr>
      <t xml:space="preserve">확인이 필요한 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작품목록에 없는 번호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중복 번호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 수 미입력 등</t>
    </r>
    <r>
      <rPr>
        <sz val="10"/>
        <rFont val="맑은 고딕"/>
        <family val="0"/>
        <charset val="1"/>
      </rPr>
      <t xml:space="preserve">)</t>
    </r>
  </si>
  <si>
    <t xml:space="preserve">계산 규칙</t>
  </si>
  <si>
    <r>
      <rPr>
        <b val="true"/>
        <sz val="10"/>
        <rFont val="WenQuanYi Zen Hei"/>
        <family val="2"/>
      </rPr>
      <t xml:space="preserve">심사 점수</t>
    </r>
    <r>
      <rPr>
        <b val="true"/>
        <sz val="10"/>
        <rFont val="맑은 고딕"/>
        <family val="0"/>
        <charset val="1"/>
      </rPr>
      <t xml:space="preserve">(50)</t>
    </r>
  </si>
  <si>
    <r>
      <rPr>
        <sz val="10"/>
        <rFont val="WenQuanYi Zen Hei"/>
        <family val="2"/>
      </rPr>
      <t xml:space="preserve">심사위원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명 합계의 평균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블록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바이브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교과 연계성 </t>
    </r>
    <r>
      <rPr>
        <sz val="10"/>
        <rFont val="맑은 고딕"/>
        <family val="0"/>
        <charset val="1"/>
      </rPr>
      <t xml:space="preserve">15 + </t>
    </r>
    <r>
      <rPr>
        <sz val="10"/>
        <rFont val="WenQuanYi Zen Hei"/>
        <family val="2"/>
      </rPr>
      <t xml:space="preserve">학습 도움 정도 </t>
    </r>
    <r>
      <rPr>
        <sz val="10"/>
        <rFont val="맑은 고딕"/>
        <family val="0"/>
        <charset val="1"/>
      </rPr>
      <t xml:space="preserve">15 + </t>
    </r>
    <r>
      <rPr>
        <sz val="10"/>
        <rFont val="WenQuanYi Zen Hei"/>
        <family val="2"/>
      </rPr>
      <t xml:space="preserve">제작 과정 </t>
    </r>
    <r>
      <rPr>
        <sz val="10"/>
        <rFont val="맑은 고딕"/>
        <family val="0"/>
        <charset val="1"/>
      </rPr>
      <t xml:space="preserve">15 + </t>
    </r>
    <r>
      <rPr>
        <sz val="10"/>
        <rFont val="WenQuanYi Zen Hei"/>
        <family val="2"/>
      </rPr>
      <t xml:space="preserve">창의성 </t>
    </r>
    <r>
      <rPr>
        <sz val="10"/>
        <rFont val="맑은 고딕"/>
        <family val="0"/>
        <charset val="1"/>
      </rPr>
      <t xml:space="preserve">5 / </t>
    </r>
    <r>
      <rPr>
        <sz val="10"/>
        <rFont val="WenQuanYi Zen Hei"/>
        <family val="2"/>
      </rPr>
      <t xml:space="preserve">상상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교과 연계성 </t>
    </r>
    <r>
      <rPr>
        <sz val="10"/>
        <rFont val="맑은 고딕"/>
        <family val="0"/>
        <charset val="1"/>
      </rPr>
      <t xml:space="preserve">15 + </t>
    </r>
    <r>
      <rPr>
        <sz val="10"/>
        <rFont val="WenQuanYi Zen Hei"/>
        <family val="2"/>
      </rPr>
      <t xml:space="preserve">아이디어 독창성 </t>
    </r>
    <r>
      <rPr>
        <sz val="10"/>
        <rFont val="맑은 고딕"/>
        <family val="0"/>
        <charset val="1"/>
      </rPr>
      <t xml:space="preserve">20 + </t>
    </r>
    <r>
      <rPr>
        <sz val="10"/>
        <rFont val="WenQuanYi Zen Hei"/>
        <family val="2"/>
      </rPr>
      <t xml:space="preserve">표현력 </t>
    </r>
    <r>
      <rPr>
        <sz val="10"/>
        <rFont val="맑은 고딕"/>
        <family val="0"/>
        <charset val="1"/>
      </rPr>
      <t xml:space="preserve">15. </t>
    </r>
    <r>
      <rPr>
        <sz val="10"/>
        <rFont val="WenQuanYi Zen Hei"/>
        <family val="2"/>
      </rPr>
      <t xml:space="preserve">입력된 심사위원 수만큼만 평균해요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</si>
  <si>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좋아요 점수</t>
    </r>
    <r>
      <rPr>
        <b val="true"/>
        <sz val="10"/>
        <rFont val="맑은 고딕"/>
        <family val="0"/>
        <charset val="1"/>
      </rPr>
      <t xml:space="preserve">(50)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</si>
  <si>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작품 좋아요 수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같은 부문 최다 좋아요 수</t>
    </r>
    <r>
      <rPr>
        <sz val="10"/>
        <rFont val="맑은 고딕"/>
        <family val="0"/>
        <charset val="1"/>
      </rPr>
      <t xml:space="preserve">) × 50, </t>
    </r>
    <r>
      <rPr>
        <sz val="10"/>
        <rFont val="WenQuanYi Zen Hei"/>
        <family val="2"/>
      </rPr>
      <t xml:space="preserve">소수 첫째 자리 반올림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좋아요 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부문 최다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개 → </t>
    </r>
    <r>
      <rPr>
        <sz val="10"/>
        <rFont val="맑은 고딕"/>
        <family val="0"/>
        <charset val="1"/>
      </rPr>
      <t xml:space="preserve">42 ÷ 60 × 50 = 35</t>
    </r>
    <r>
      <rPr>
        <sz val="10"/>
        <rFont val="WenQuanYi Zen Hei"/>
        <family val="2"/>
      </rPr>
      <t xml:space="preserve">점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블록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바이브는 온라인 갤러리 좋아요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학생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명이 작품마다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번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개수 제한 없음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상상은 스티커 수</t>
    </r>
    <r>
      <rPr>
        <sz val="10"/>
        <rFont val="맑은 고딕"/>
        <family val="0"/>
        <charset val="1"/>
      </rPr>
      <t xml:space="preserve">(1</t>
    </r>
    <r>
      <rPr>
        <sz val="10"/>
        <rFont val="WenQuanYi Zen Hei"/>
        <family val="2"/>
      </rPr>
      <t xml:space="preserve">인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같은 식을 써요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</si>
  <si>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총점</t>
    </r>
    <r>
      <rPr>
        <b val="true"/>
        <sz val="10"/>
        <rFont val="맑은 고딕"/>
        <family val="0"/>
        <charset val="1"/>
      </rPr>
      <t xml:space="preserve">(100)</t>
    </r>
  </si>
  <si>
    <r>
      <rPr>
        <sz val="10"/>
        <rFont val="WenQuanYi Zen Hei"/>
        <family val="2"/>
      </rPr>
      <t xml:space="preserve">심사 점수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좋아요 점수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소수 둘째 자리 반올림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인기가 한쪽으로 쏠려도 업무팀 심사 </t>
    </r>
    <r>
      <rPr>
        <sz val="10"/>
        <rFont val="맑은 고딕"/>
        <family val="0"/>
        <charset val="1"/>
      </rPr>
      <t xml:space="preserve">50</t>
    </r>
    <r>
      <rPr>
        <sz val="10"/>
        <rFont val="WenQuanYi Zen Hei"/>
        <family val="2"/>
      </rPr>
      <t xml:space="preserve">점이 보완해요</t>
    </r>
    <r>
      <rPr>
        <sz val="10"/>
        <rFont val="맑은 고딕"/>
        <family val="0"/>
        <charset val="1"/>
      </rPr>
      <t xml:space="preserve">.</t>
    </r>
  </si>
  <si>
    <t xml:space="preserve">동점 처리</t>
  </si>
  <si>
    <r>
      <rPr>
        <sz val="10"/>
        <rFont val="WenQuanYi Zen Hei"/>
        <family val="2"/>
      </rPr>
      <t xml:space="preserve">총점이 같으면 블록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바이브는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제작 과정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평균이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상상은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아이디어 독창성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평균이 높은 작품이 앞 순위</t>
    </r>
    <r>
      <rPr>
        <sz val="10"/>
        <rFont val="맑은 고딕"/>
        <family val="0"/>
        <charset val="1"/>
      </rPr>
      <t xml:space="preserve">. (</t>
    </r>
    <r>
      <rPr>
        <sz val="10"/>
        <rFont val="WenQuanYi Zen Hei"/>
        <family val="2"/>
      </rPr>
      <t xml:space="preserve">정렬 기준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총점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동점 기준 점수 </t>
    </r>
    <r>
      <rPr>
        <sz val="10"/>
        <rFont val="맑은 고딕"/>
        <family val="0"/>
        <charset val="1"/>
      </rPr>
      <t xml:space="preserve">÷ 10000 — </t>
    </r>
    <r>
      <rPr>
        <sz val="10"/>
        <rFont val="WenQuanYi Zen Hei"/>
        <family val="2"/>
      </rPr>
      <t xml:space="preserve">총점 차이를 뒤집지 않는 아주 작은 값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그래도 같으면 같은 순위로 표시되니 업무팀이 협의해요</t>
    </r>
    <r>
      <rPr>
        <sz val="10"/>
        <rFont val="맑은 고딕"/>
        <family val="0"/>
        <charset val="1"/>
      </rPr>
      <t xml:space="preserve">.</t>
    </r>
  </si>
  <si>
    <t xml:space="preserve">수상 인원</t>
  </si>
  <si>
    <r>
      <rPr>
        <sz val="10"/>
        <rFont val="WenQuanYi Zen Hei"/>
        <family val="2"/>
      </rPr>
      <t xml:space="preserve">부문별 참가 작품 수 </t>
    </r>
    <r>
      <rPr>
        <sz val="10"/>
        <rFont val="맑은 고딕"/>
        <family val="0"/>
        <charset val="1"/>
      </rPr>
      <t xml:space="preserve">× 10%(</t>
    </r>
    <r>
      <rPr>
        <sz val="10"/>
        <rFont val="WenQuanYi Zen Hei"/>
        <family val="2"/>
      </rPr>
      <t xml:space="preserve">최종결과 시트 노란 칸에서 비율 변경 가능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반올림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최소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차 심사 없이 확인된 작품은 모두 작품목록에 들어가므로</t>
    </r>
    <r>
      <rPr>
        <sz val="10"/>
        <rFont val="맑은 고딕"/>
        <family val="0"/>
        <charset val="1"/>
      </rPr>
      <t xml:space="preserve">, '</t>
    </r>
    <r>
      <rPr>
        <sz val="10"/>
        <rFont val="WenQuanYi Zen Hei"/>
        <family val="2"/>
      </rPr>
      <t xml:space="preserve">참가 작품 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를 비워 두면 작품목록의 작품 수로 계산해요</t>
    </r>
    <r>
      <rPr>
        <sz val="10"/>
        <rFont val="맑은 고딕"/>
        <family val="0"/>
        <charset val="1"/>
      </rPr>
      <t xml:space="preserve">.</t>
    </r>
  </si>
  <si>
    <t xml:space="preserve">수상 추천</t>
  </si>
  <si>
    <r>
      <rPr>
        <sz val="10"/>
        <rFont val="WenQuanYi Zen Hei"/>
        <family val="2"/>
      </rPr>
      <t xml:space="preserve">수상 인원 안에서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위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최우수</t>
    </r>
    <r>
      <rPr>
        <sz val="10"/>
        <rFont val="맑은 고딕"/>
        <family val="0"/>
        <charset val="1"/>
      </rPr>
      <t xml:space="preserve">, 2~3</t>
    </r>
    <r>
      <rPr>
        <sz val="10"/>
        <rFont val="WenQuanYi Zen Hei"/>
        <family val="2"/>
      </rPr>
      <t xml:space="preserve">위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우수</t>
    </r>
    <r>
      <rPr>
        <sz val="10"/>
        <rFont val="맑은 고딕"/>
        <family val="0"/>
        <charset val="1"/>
      </rPr>
      <t xml:space="preserve">, 4</t>
    </r>
    <r>
      <rPr>
        <sz val="10"/>
        <rFont val="WenQuanYi Zen Hei"/>
        <family val="2"/>
      </rPr>
      <t xml:space="preserve">위부터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장려</t>
    </r>
    <r>
      <rPr>
        <sz val="10"/>
        <rFont val="맑은 고딕"/>
        <family val="0"/>
        <charset val="1"/>
      </rPr>
      <t xml:space="preserve">. (</t>
    </r>
    <r>
      <rPr>
        <sz val="10"/>
        <rFont val="WenQuanYi Zen Hei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수상 인원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명 → 최우수 </t>
    </r>
    <r>
      <rPr>
        <sz val="10"/>
        <rFont val="맑은 고딕"/>
        <family val="0"/>
        <charset val="1"/>
      </rPr>
      <t xml:space="preserve">1, </t>
    </r>
    <r>
      <rPr>
        <sz val="10"/>
        <rFont val="WenQuanYi Zen Hei"/>
        <family val="2"/>
      </rPr>
      <t xml:space="preserve">우수 </t>
    </r>
    <r>
      <rPr>
        <sz val="10"/>
        <rFont val="맑은 고딕"/>
        <family val="0"/>
        <charset val="1"/>
      </rPr>
      <t xml:space="preserve">2, </t>
    </r>
    <r>
      <rPr>
        <sz val="10"/>
        <rFont val="WenQuanYi Zen Hei"/>
        <family val="2"/>
      </rPr>
      <t xml:space="preserve">장려 </t>
    </r>
    <r>
      <rPr>
        <sz val="10"/>
        <rFont val="맑은 고딕"/>
        <family val="0"/>
        <charset val="1"/>
      </rPr>
      <t xml:space="preserve">2)</t>
    </r>
  </si>
  <si>
    <t xml:space="preserve">학급별 참여율</t>
  </si>
  <si>
    <r>
      <rPr>
        <sz val="10"/>
        <rFont val="WenQuanYi Zen Hei"/>
        <family val="2"/>
      </rPr>
      <t xml:space="preserve">참여 학생 수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작품목록에서 대표 학년반이 그 반인 작품 수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팀원 학년반이 그 반인 작품 수 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인 팀은 두 학생 모두 각자 반으로 세고</t>
    </r>
    <r>
      <rPr>
        <sz val="10"/>
        <rFont val="맑은 고딕"/>
        <family val="0"/>
        <charset val="1"/>
      </rPr>
      <t xml:space="preserve">, 1~2</t>
    </r>
    <r>
      <rPr>
        <sz val="10"/>
        <rFont val="WenQuanYi Zen Hei"/>
        <family val="2"/>
      </rPr>
      <t xml:space="preserve">학년 상상 활동지도 포함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참여율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참여 학생 수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학급 학생 수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순위는 참여율이 높은 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참여율이 같으면 참여 학생 수가 많은 반이 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그래도 같으면 같은 순위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</si>
  <si>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번호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학년반 주의</t>
    </r>
  </si>
  <si>
    <r>
      <rPr>
        <sz val="10"/>
        <rFont val="WenQuanYi Zen Hei"/>
        <family val="2"/>
      </rPr>
      <t xml:space="preserve">작품번호는 갤러리와 똑같이 </t>
    </r>
    <r>
      <rPr>
        <sz val="10"/>
        <rFont val="맑은 고딕"/>
        <family val="0"/>
        <charset val="1"/>
      </rPr>
      <t xml:space="preserve">'B-01'</t>
    </r>
    <r>
      <rPr>
        <sz val="10"/>
        <rFont val="WenQuanYi Zen Hei"/>
        <family val="2"/>
      </rPr>
      <t xml:space="preserve">처럼 두 자리로 써야 좋아요 수가 연결돼요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학년반은 </t>
    </r>
    <r>
      <rPr>
        <sz val="10"/>
        <rFont val="맑은 고딕"/>
        <family val="0"/>
        <charset val="1"/>
      </rPr>
      <t xml:space="preserve">'4-2' </t>
    </r>
    <r>
      <rPr>
        <sz val="10"/>
        <rFont val="WenQuanYi Zen Hei"/>
        <family val="2"/>
      </rPr>
      <t xml:space="preserve">형식으로만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목록 선택</t>
    </r>
    <r>
      <rPr>
        <sz val="10"/>
        <rFont val="맑은 고딕"/>
        <family val="0"/>
        <charset val="1"/>
      </rPr>
      <t xml:space="preserve">) — '4</t>
    </r>
    <r>
      <rPr>
        <sz val="10"/>
        <rFont val="WenQuanYi Zen Hei"/>
        <family val="2"/>
      </rPr>
      <t xml:space="preserve">학년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처럼 쓰면 참여율에 세지지 않아요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학년반 칸은 날짜</t>
    </r>
    <r>
      <rPr>
        <sz val="10"/>
        <rFont val="맑은 고딕"/>
        <family val="0"/>
        <charset val="1"/>
      </rPr>
      <t xml:space="preserve">(4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로 바뀌지 않도록 텍스트 서식이 걸려 있어요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</si>
  <si>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6"/>
        <color rgb="FF1F4E79"/>
        <rFont val="WenQuanYi Zen Hei"/>
        <family val="2"/>
      </rPr>
      <t xml:space="preserve">작품목록 </t>
    </r>
    <r>
      <rPr>
        <b val="true"/>
        <sz val="16"/>
        <color rgb="FF1F4E79"/>
        <rFont val="맑은 고딕"/>
        <family val="0"/>
        <charset val="1"/>
      </rPr>
      <t xml:space="preserve">(</t>
    </r>
    <r>
      <rPr>
        <b val="true"/>
        <sz val="16"/>
        <color rgb="FF1F4E79"/>
        <rFont val="WenQuanYi Zen Hei"/>
        <family val="2"/>
      </rPr>
      <t xml:space="preserve">확인 후 공개된 전체 작품 </t>
    </r>
    <r>
      <rPr>
        <b val="true"/>
        <sz val="16"/>
        <color rgb="FF1F4E79"/>
        <rFont val="맑은 고딕"/>
        <family val="0"/>
        <charset val="1"/>
      </rPr>
      <t xml:space="preserve">+ </t>
    </r>
    <r>
      <rPr>
        <b val="true"/>
        <sz val="16"/>
        <color rgb="FF1F4E79"/>
        <rFont val="WenQuanYi Zen Hei"/>
        <family val="2"/>
      </rPr>
      <t xml:space="preserve">상상 부문 활동지</t>
    </r>
    <r>
      <rPr>
        <b val="true"/>
        <sz val="16"/>
        <color rgb="FF1F4E79"/>
        <rFont val="맑은 고딕"/>
        <family val="0"/>
        <charset val="1"/>
      </rPr>
      <t xml:space="preserve">)</t>
    </r>
  </si>
  <si>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차 심사 없이 확인된 작품은 모두 입력해요 </t>
    </r>
    <r>
      <rPr>
        <sz val="10"/>
        <color rgb="FF595959"/>
        <rFont val="맑은 고딕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작품번호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블록코딩 </t>
    </r>
    <r>
      <rPr>
        <sz val="10"/>
        <color rgb="FF595959"/>
        <rFont val="맑은 고딕"/>
        <family val="0"/>
        <charset val="1"/>
      </rPr>
      <t xml:space="preserve">B-01~, </t>
    </r>
    <r>
      <rPr>
        <sz val="10"/>
        <color rgb="FF595959"/>
        <rFont val="WenQuanYi Zen Hei"/>
        <family val="2"/>
      </rPr>
      <t xml:space="preserve">바이브코딩 </t>
    </r>
    <r>
      <rPr>
        <sz val="10"/>
        <color rgb="FF595959"/>
        <rFont val="맑은 고딕"/>
        <family val="0"/>
        <charset val="1"/>
      </rPr>
      <t xml:space="preserve">V-01~, </t>
    </r>
    <r>
      <rPr>
        <sz val="10"/>
        <color rgb="FF595959"/>
        <rFont val="WenQuanYi Zen Hei"/>
        <family val="2"/>
      </rPr>
      <t xml:space="preserve">상상 </t>
    </r>
    <r>
      <rPr>
        <sz val="10"/>
        <color rgb="FF595959"/>
        <rFont val="맑은 고딕"/>
        <family val="0"/>
        <charset val="1"/>
      </rPr>
      <t xml:space="preserve">S-01~ · </t>
    </r>
    <r>
      <rPr>
        <sz val="10"/>
        <color rgb="FF595959"/>
        <rFont val="WenQuanYi Zen Hei"/>
        <family val="2"/>
      </rPr>
      <t xml:space="preserve">학년반은 </t>
    </r>
    <r>
      <rPr>
        <sz val="10"/>
        <color rgb="FF595959"/>
        <rFont val="맑은 고딕"/>
        <family val="0"/>
        <charset val="1"/>
      </rPr>
      <t xml:space="preserve">4-2</t>
    </r>
    <r>
      <rPr>
        <sz val="10"/>
        <color rgb="FF595959"/>
        <rFont val="WenQuanYi Zen Hei"/>
        <family val="2"/>
      </rPr>
      <t xml:space="preserve">처럼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목록 선택</t>
    </r>
    <r>
      <rPr>
        <sz val="10"/>
        <color rgb="FF595959"/>
        <rFont val="맑은 고딕"/>
        <family val="0"/>
        <charset val="1"/>
      </rPr>
      <t xml:space="preserve">) · </t>
    </r>
    <r>
      <rPr>
        <sz val="10"/>
        <color rgb="FF595959"/>
        <rFont val="WenQuanYi Zen Hei"/>
        <family val="2"/>
      </rPr>
      <t xml:space="preserve">최대 </t>
    </r>
    <r>
      <rPr>
        <sz val="10"/>
        <color rgb="FF595959"/>
        <rFont val="맑은 고딕"/>
        <family val="0"/>
        <charset val="1"/>
      </rPr>
      <t xml:space="preserve">100</t>
    </r>
    <r>
      <rPr>
        <sz val="10"/>
        <color rgb="FF595959"/>
        <rFont val="WenQuanYi Zen Hei"/>
        <family val="2"/>
      </rPr>
      <t xml:space="preserve">개 </t>
    </r>
    <r>
      <rPr>
        <sz val="10"/>
        <color rgb="FF595959"/>
        <rFont val="맑은 고딕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예시 행은 지우고 입력하세요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</si>
  <si>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작품번호</t>
  </si>
  <si>
    <t xml:space="preserve">부문</t>
  </si>
  <si>
    <r>
      <rPr>
        <b val="true"/>
        <sz val="10"/>
        <color rgb="FFFFFFFF"/>
        <rFont val="WenQuanYi Zen Hei"/>
        <family val="2"/>
      </rPr>
      <t xml:space="preserve">대표 학년반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예</t>
    </r>
    <r>
      <rPr>
        <b val="true"/>
        <sz val="10"/>
        <color rgb="FFFFFFFF"/>
        <rFont val="맑은 고딕"/>
        <family val="0"/>
        <charset val="1"/>
      </rPr>
      <t xml:space="preserve">: 4-2)</t>
    </r>
  </si>
  <si>
    <r>
      <rPr>
        <b val="true"/>
        <sz val="10"/>
        <color rgb="FFFFFFFF"/>
        <rFont val="WenQuanYi Zen Hei"/>
        <family val="2"/>
      </rPr>
      <t xml:space="preserve">팀원 학년반
</t>
    </r>
    <r>
      <rPr>
        <b val="true"/>
        <sz val="10"/>
        <color rgb="FFFFFFFF"/>
        <rFont val="맑은 고딕"/>
        <family val="0"/>
        <charset val="1"/>
      </rPr>
      <t xml:space="preserve">(2</t>
    </r>
    <r>
      <rPr>
        <b val="true"/>
        <sz val="10"/>
        <color rgb="FFFFFFFF"/>
        <rFont val="WenQuanYi Zen Hei"/>
        <family val="2"/>
      </rPr>
      <t xml:space="preserve">인 팀일 때</t>
    </r>
    <r>
      <rPr>
        <b val="true"/>
        <sz val="10"/>
        <color rgb="FFFFFFFF"/>
        <rFont val="맑은 고딕"/>
        <family val="0"/>
        <charset val="1"/>
      </rPr>
      <t xml:space="preserve">,
</t>
    </r>
    <r>
      <rPr>
        <b val="true"/>
        <sz val="10"/>
        <color rgb="FFFFFFFF"/>
        <rFont val="WenQuanYi Zen Hei"/>
        <family val="2"/>
      </rPr>
      <t xml:space="preserve">다른 반 가능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</si>
  <si>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이름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</si>
  <si>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교과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단원</t>
    </r>
  </si>
  <si>
    <t xml:space="preserve">작품 이름</t>
  </si>
  <si>
    <t xml:space="preserve">링크</t>
  </si>
  <si>
    <t xml:space="preserve">B-01</t>
  </si>
  <si>
    <t xml:space="preserve">블록</t>
  </si>
  <si>
    <t xml:space="preserve">3-2</t>
  </si>
  <si>
    <t xml:space="preserve">최○○</t>
  </si>
  <si>
    <t xml:space="preserve">수학 「곱셈」</t>
  </si>
  <si>
    <t xml:space="preserve">구구단 우주선</t>
  </si>
  <si>
    <t xml:space="preserve">https://example.com/wirye-ai/B-01</t>
  </si>
  <si>
    <t xml:space="preserve">B-02</t>
  </si>
  <si>
    <t xml:space="preserve">6-4</t>
  </si>
  <si>
    <t xml:space="preserve">정○○</t>
  </si>
  <si>
    <r>
      <rPr>
        <sz val="10"/>
        <rFont val="WenQuanYi Zen Hei"/>
        <family val="2"/>
      </rPr>
      <t xml:space="preserve">영어 「</t>
    </r>
    <r>
      <rPr>
        <sz val="10"/>
        <rFont val="맑은 고딕"/>
        <family val="0"/>
        <charset val="1"/>
      </rPr>
      <t xml:space="preserve">What's your favorite subject?</t>
    </r>
    <r>
      <rPr>
        <sz val="10"/>
        <rFont val="WenQuanYi Zen Hei"/>
        <family val="2"/>
      </rPr>
      <t xml:space="preserve">」</t>
    </r>
  </si>
  <si>
    <t xml:space="preserve">영어 단어 짝 맞추기</t>
  </si>
  <si>
    <t xml:space="preserve">https://example.com/wirye-ai/B-02</t>
  </si>
  <si>
    <t xml:space="preserve">B-03</t>
  </si>
  <si>
    <t xml:space="preserve">4-1</t>
  </si>
  <si>
    <t xml:space="preserve">윤○○</t>
  </si>
  <si>
    <t xml:space="preserve">과학 「식물의 한살이」</t>
  </si>
  <si>
    <t xml:space="preserve">씨앗 키우기 순서 게임</t>
  </si>
  <si>
    <t xml:space="preserve">https://example.com/wirye-ai/B-03</t>
  </si>
  <si>
    <t xml:space="preserve">B-04</t>
  </si>
  <si>
    <t xml:space="preserve">5-3</t>
  </si>
  <si>
    <t xml:space="preserve">5-2</t>
  </si>
  <si>
    <r>
      <rPr>
        <sz val="10"/>
        <rFont val="WenQuanYi Zen Hei"/>
        <family val="2"/>
      </rPr>
      <t xml:space="preserve">강○○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조○○</t>
    </r>
  </si>
  <si>
    <t xml:space="preserve">수학 「약수와 배수」</t>
  </si>
  <si>
    <t xml:space="preserve">배수 사냥꾼</t>
  </si>
  <si>
    <t xml:space="preserve">https://example.com/wirye-ai/B-04</t>
  </si>
  <si>
    <t xml:space="preserve">B-05</t>
  </si>
  <si>
    <t xml:space="preserve">3-5</t>
  </si>
  <si>
    <t xml:space="preserve">임○○</t>
  </si>
  <si>
    <t xml:space="preserve">국어 「낱말을 분류해요」</t>
  </si>
  <si>
    <t xml:space="preserve">낱말 바구니 분류하기</t>
  </si>
  <si>
    <t xml:space="preserve">https://example.com/wirye-ai/B-05</t>
  </si>
  <si>
    <t xml:space="preserve">B-06</t>
  </si>
  <si>
    <t xml:space="preserve">6-2</t>
  </si>
  <si>
    <t xml:space="preserve">오○○</t>
  </si>
  <si>
    <t xml:space="preserve">과학 「태양계와 별」</t>
  </si>
  <si>
    <t xml:space="preserve">행성 순서 맞히기</t>
  </si>
  <si>
    <t xml:space="preserve">https://example.com/wirye-ai/B-06</t>
  </si>
  <si>
    <t xml:space="preserve">B-07</t>
  </si>
  <si>
    <t xml:space="preserve">4-6</t>
  </si>
  <si>
    <t xml:space="preserve">서○○</t>
  </si>
  <si>
    <t xml:space="preserve">사회 「지역의 위치와 특성」</t>
  </si>
  <si>
    <t xml:space="preserve">우리 지역 지도 탐험</t>
  </si>
  <si>
    <t xml:space="preserve">https://example.com/wirye-ai/B-07</t>
  </si>
  <si>
    <t xml:space="preserve">B-08</t>
  </si>
  <si>
    <t xml:space="preserve">신○○</t>
  </si>
  <si>
    <t xml:space="preserve">수학 「분수의 덧셈과 뺄셈」</t>
  </si>
  <si>
    <t xml:space="preserve">분수 피자 가게</t>
  </si>
  <si>
    <t xml:space="preserve">https://example.com/wirye-ai/B-08</t>
  </si>
  <si>
    <t xml:space="preserve">V-01</t>
  </si>
  <si>
    <t xml:space="preserve">바이브</t>
  </si>
  <si>
    <t xml:space="preserve">4-3</t>
  </si>
  <si>
    <t xml:space="preserve">김○○</t>
  </si>
  <si>
    <t xml:space="preserve">수학 「각도」</t>
  </si>
  <si>
    <t xml:space="preserve">각도 탐정 게임</t>
  </si>
  <si>
    <t xml:space="preserve">https://example.com/wirye-ai/V-01</t>
  </si>
  <si>
    <t xml:space="preserve">V-02</t>
  </si>
  <si>
    <t xml:space="preserve">5-1</t>
  </si>
  <si>
    <r>
      <rPr>
        <sz val="10"/>
        <rFont val="WenQuanYi Zen Hei"/>
        <family val="2"/>
      </rPr>
      <t xml:space="preserve">이○○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박○○</t>
    </r>
  </si>
  <si>
    <t xml:space="preserve">사회 「국토와 우리 생활」</t>
  </si>
  <si>
    <r>
      <rPr>
        <sz val="10"/>
        <rFont val="WenQuanYi Zen Hei"/>
        <family val="2"/>
      </rPr>
      <t xml:space="preserve">우리나라 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도 퀴즈</t>
    </r>
  </si>
  <si>
    <t xml:space="preserve">https://example.com/wirye-ai/V-02</t>
  </si>
  <si>
    <t xml:space="preserve">V-03</t>
  </si>
  <si>
    <t xml:space="preserve">6-1</t>
  </si>
  <si>
    <t xml:space="preserve">홍○○</t>
  </si>
  <si>
    <t xml:space="preserve">과학 「산과 염기」</t>
  </si>
  <si>
    <t xml:space="preserve">지시약 색깔 실험실</t>
  </si>
  <si>
    <t xml:space="preserve">https://example.com/wirye-ai/V-03</t>
  </si>
  <si>
    <t xml:space="preserve">V-04</t>
  </si>
  <si>
    <t xml:space="preserve">3-4</t>
  </si>
  <si>
    <t xml:space="preserve">문○○</t>
  </si>
  <si>
    <t xml:space="preserve">국어 「중심 생각을 찾아요」</t>
  </si>
  <si>
    <t xml:space="preserve">중심 문장 찾기 놀이</t>
  </si>
  <si>
    <t xml:space="preserve">https://example.com/wirye-ai/V-04</t>
  </si>
  <si>
    <t xml:space="preserve">V-05</t>
  </si>
  <si>
    <t xml:space="preserve">5-4</t>
  </si>
  <si>
    <t xml:space="preserve">양○○</t>
  </si>
  <si>
    <r>
      <rPr>
        <sz val="10"/>
        <rFont val="WenQuanYi Zen Hei"/>
        <family val="2"/>
      </rPr>
      <t xml:space="preserve">영어 「</t>
    </r>
    <r>
      <rPr>
        <sz val="10"/>
        <rFont val="맑은 고딕"/>
        <family val="0"/>
        <charset val="1"/>
      </rPr>
      <t xml:space="preserve">How much is it?</t>
    </r>
    <r>
      <rPr>
        <sz val="10"/>
        <rFont val="WenQuanYi Zen Hei"/>
        <family val="2"/>
      </rPr>
      <t xml:space="preserve">」</t>
    </r>
  </si>
  <si>
    <t xml:space="preserve">영어 시장 놀이</t>
  </si>
  <si>
    <t xml:space="preserve">https://example.com/wirye-ai/V-05</t>
  </si>
  <si>
    <t xml:space="preserve">V-06</t>
  </si>
  <si>
    <t xml:space="preserve">4-2</t>
  </si>
  <si>
    <r>
      <rPr>
        <sz val="10"/>
        <rFont val="WenQuanYi Zen Hei"/>
        <family val="2"/>
      </rPr>
      <t xml:space="preserve">배○○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백○○</t>
    </r>
  </si>
  <si>
    <t xml:space="preserve">과학 「물의 상태 변화」</t>
  </si>
  <si>
    <r>
      <rPr>
        <sz val="10"/>
        <rFont val="WenQuanYi Zen Hei"/>
        <family val="2"/>
      </rPr>
      <t xml:space="preserve">얼음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수증기 변신 퀴즈</t>
    </r>
  </si>
  <si>
    <t xml:space="preserve">https://example.com/wirye-ai/V-06</t>
  </si>
  <si>
    <t xml:space="preserve">V-07</t>
  </si>
  <si>
    <t xml:space="preserve">6-3</t>
  </si>
  <si>
    <t xml:space="preserve">송○○</t>
  </si>
  <si>
    <t xml:space="preserve">수학 「비와 비율」</t>
  </si>
  <si>
    <t xml:space="preserve">비율 요리사</t>
  </si>
  <si>
    <t xml:space="preserve">https://example.com/wirye-ai/V-07</t>
  </si>
  <si>
    <t xml:space="preserve">V-08</t>
  </si>
  <si>
    <t xml:space="preserve">3-1</t>
  </si>
  <si>
    <t xml:space="preserve">유○○</t>
  </si>
  <si>
    <t xml:space="preserve">사회 「우리 고장의 모습」</t>
  </si>
  <si>
    <t xml:space="preserve">고장 지도 기호 카드</t>
  </si>
  <si>
    <t xml:space="preserve">https://example.com/wirye-ai/V-08</t>
  </si>
  <si>
    <t xml:space="preserve">S-01</t>
  </si>
  <si>
    <t xml:space="preserve">상상</t>
  </si>
  <si>
    <t xml:space="preserve">2-1</t>
  </si>
  <si>
    <t xml:space="preserve">한○○</t>
  </si>
  <si>
    <t xml:space="preserve">국어 「받침이 있는 낱말」</t>
  </si>
  <si>
    <r>
      <rPr>
        <sz val="10"/>
        <rFont val="WenQuanYi Zen Hei"/>
        <family val="2"/>
      </rPr>
      <t xml:space="preserve">받침 친구 로봇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받침이</t>
    </r>
    <r>
      <rPr>
        <sz val="10"/>
        <rFont val="맑은 고딕"/>
        <family val="0"/>
        <charset val="1"/>
      </rPr>
      <t xml:space="preserve">'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</si>
  <si>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실물 활동지 전시</t>
    </r>
    <r>
      <rPr>
        <sz val="10"/>
        <rFont val="맑은 고딕"/>
        <family val="0"/>
        <charset val="1"/>
      </rPr>
      <t xml:space="preserve">)</t>
    </r>
  </si>
  <si>
    <t xml:space="preserve">S-02</t>
  </si>
  <si>
    <t xml:space="preserve">1-3</t>
  </si>
  <si>
    <t xml:space="preserve">장○○</t>
  </si>
  <si>
    <t xml:space="preserve">수학 「덧셈과 뺄셈」</t>
  </si>
  <si>
    <r>
      <rPr>
        <sz val="10"/>
        <rFont val="WenQuanYi Zen Hei"/>
        <family val="2"/>
      </rPr>
      <t xml:space="preserve">덧셈 요정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더하리</t>
    </r>
    <r>
      <rPr>
        <sz val="10"/>
        <rFont val="맑은 고딕"/>
        <family val="0"/>
        <charset val="1"/>
      </rPr>
      <t xml:space="preserve">'</t>
    </r>
  </si>
  <si>
    <t xml:space="preserve">S-03</t>
  </si>
  <si>
    <t xml:space="preserve">2-4</t>
  </si>
  <si>
    <t xml:space="preserve">권○○</t>
  </si>
  <si>
    <t xml:space="preserve">통합 「가을」</t>
  </si>
  <si>
    <r>
      <rPr>
        <sz val="10"/>
        <rFont val="WenQuanYi Zen Hei"/>
        <family val="2"/>
      </rPr>
      <t xml:space="preserve">낙엽 이름 알려 주는 다람쥐 </t>
    </r>
    <r>
      <rPr>
        <sz val="10"/>
        <rFont val="맑은 고딕"/>
        <family val="0"/>
        <charset val="1"/>
      </rPr>
      <t xml:space="preserve">AI</t>
    </r>
  </si>
  <si>
    <t xml:space="preserve">S-04</t>
  </si>
  <si>
    <t xml:space="preserve">1-1</t>
  </si>
  <si>
    <t xml:space="preserve">황○○</t>
  </si>
  <si>
    <t xml:space="preserve">국어 「글자를 만들어요」</t>
  </si>
  <si>
    <t xml:space="preserve">자음 모음 블록 친구</t>
  </si>
  <si>
    <t xml:space="preserve">S-05</t>
  </si>
  <si>
    <t xml:space="preserve">2-2</t>
  </si>
  <si>
    <t xml:space="preserve">안○○</t>
  </si>
  <si>
    <t xml:space="preserve">수학 「시각과 시간」</t>
  </si>
  <si>
    <t xml:space="preserve">시계 읽어 주는 부엉이</t>
  </si>
  <si>
    <t xml:space="preserve">S-06</t>
  </si>
  <si>
    <t xml:space="preserve">1-5</t>
  </si>
  <si>
    <t xml:space="preserve">전○○</t>
  </si>
  <si>
    <t xml:space="preserve">통합 「학교」</t>
  </si>
  <si>
    <r>
      <rPr>
        <sz val="10"/>
        <rFont val="WenQuanYi Zen Hei"/>
        <family val="2"/>
      </rPr>
      <t xml:space="preserve">학교 길 안내 로봇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길동이</t>
    </r>
    <r>
      <rPr>
        <sz val="10"/>
        <rFont val="맑은 고딕"/>
        <family val="0"/>
        <charset val="1"/>
      </rPr>
      <t xml:space="preserve">'</t>
    </r>
  </si>
  <si>
    <t xml:space="preserve">S-07</t>
  </si>
  <si>
    <t xml:space="preserve">2-3</t>
  </si>
  <si>
    <t xml:space="preserve">고○○</t>
  </si>
  <si>
    <t xml:space="preserve">수학 「곱셈구구」</t>
  </si>
  <si>
    <t xml:space="preserve">구구단 노래 상자</t>
  </si>
  <si>
    <t xml:space="preserve">S-08</t>
  </si>
  <si>
    <t xml:space="preserve">1-2</t>
  </si>
  <si>
    <t xml:space="preserve">류○○</t>
  </si>
  <si>
    <t xml:space="preserve">국어 「바른 자세로 읽어요」</t>
  </si>
  <si>
    <t xml:space="preserve">또박또박 읽기 마이크</t>
  </si>
  <si>
    <r>
      <rPr>
        <b val="true"/>
        <sz val="16"/>
        <color rgb="FF1F4E79"/>
        <rFont val="WenQuanYi Zen Hei"/>
        <family val="2"/>
      </rPr>
      <t xml:space="preserve">업무팀 심사표 — 블록코딩 </t>
    </r>
    <r>
      <rPr>
        <b val="true"/>
        <sz val="16"/>
        <color rgb="FF1F4E79"/>
        <rFont val="맑은 고딕"/>
        <family val="0"/>
        <charset val="1"/>
      </rPr>
      <t xml:space="preserve">· </t>
    </r>
    <r>
      <rPr>
        <b val="true"/>
        <sz val="16"/>
        <color rgb="FF1F4E79"/>
        <rFont val="WenQuanYi Zen Hei"/>
        <family val="2"/>
      </rPr>
      <t xml:space="preserve">바이브코딩 </t>
    </r>
    <r>
      <rPr>
        <b val="true"/>
        <sz val="16"/>
        <color rgb="FF1F4E79"/>
        <rFont val="맑은 고딕"/>
        <family val="0"/>
        <charset val="1"/>
      </rPr>
      <t xml:space="preserve">(50</t>
    </r>
    <r>
      <rPr>
        <b val="true"/>
        <sz val="16"/>
        <color rgb="FF1F4E79"/>
        <rFont val="WenQuanYi Zen Hei"/>
        <family val="2"/>
      </rPr>
      <t xml:space="preserve">점</t>
    </r>
    <r>
      <rPr>
        <b val="true"/>
        <sz val="16"/>
        <color rgb="FF1F4E79"/>
        <rFont val="맑은 고딕"/>
        <family val="0"/>
        <charset val="1"/>
      </rPr>
      <t xml:space="preserve">)</t>
    </r>
  </si>
  <si>
    <r>
      <rPr>
        <sz val="10"/>
        <color rgb="FF595959"/>
        <rFont val="맑은 고딕"/>
        <family val="0"/>
        <charset val="1"/>
      </rPr>
      <t xml:space="preserve">A</t>
    </r>
    <r>
      <rPr>
        <sz val="10"/>
        <color rgb="FF595959"/>
        <rFont val="WenQuanYi Zen Hei"/>
        <family val="2"/>
      </rPr>
      <t xml:space="preserve">열에 작품번호를 입력하면 부문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작품 이름이 자동으로 나와요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노란 칸에 심사위원별 점수를 입력하세요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배점 초과 입력 불가</t>
    </r>
    <r>
      <rPr>
        <sz val="10"/>
        <color rgb="FF595959"/>
        <rFont val="맑은 고딕"/>
        <family val="0"/>
        <charset val="1"/>
      </rPr>
      <t xml:space="preserve">).</t>
    </r>
  </si>
  <si>
    <r>
      <rPr>
        <b val="true"/>
        <sz val="10"/>
        <color rgb="FFFFFFFF"/>
        <rFont val="WenQuanYi Zen Hei"/>
        <family val="2"/>
      </rPr>
      <t xml:space="preserve">심사위원 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</si>
  <si>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심사위원 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</si>
  <si>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심사위원 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</si>
  <si>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r>
      <rPr>
        <b val="true"/>
        <sz val="10"/>
        <color rgb="FFFFFFFF"/>
        <rFont val="WenQuanYi Zen Hei"/>
        <family val="2"/>
      </rPr>
      <t xml:space="preserve">심사 점수
평균</t>
    </r>
    <r>
      <rPr>
        <b val="true"/>
        <sz val="10"/>
        <color rgb="FFFFFFFF"/>
        <rFont val="맑은 고딕"/>
        <family val="0"/>
        <charset val="1"/>
      </rPr>
      <t xml:space="preserve">(50)</t>
    </r>
  </si>
  <si>
    <r>
      <rPr>
        <b val="true"/>
        <sz val="10"/>
        <color rgb="FFFFFFFF"/>
        <rFont val="WenQuanYi Zen Hei"/>
        <family val="2"/>
      </rPr>
      <t xml:space="preserve">제작 과정
평균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동점 기준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</si>
  <si>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교과
연계성
</t>
    </r>
    <r>
      <rPr>
        <b val="true"/>
        <sz val="10"/>
        <color rgb="FF000000"/>
        <rFont val="맑은 고딕"/>
        <family val="0"/>
        <charset val="1"/>
      </rPr>
      <t xml:space="preserve">(15)</t>
    </r>
  </si>
  <si>
    <r>
      <rPr>
        <b val="true"/>
        <sz val="10"/>
        <color rgb="FF000000"/>
        <rFont val="WenQuanYi Zen Hei"/>
        <family val="2"/>
      </rPr>
      <t xml:space="preserve">학습
도움
</t>
    </r>
    <r>
      <rPr>
        <b val="true"/>
        <sz val="10"/>
        <color rgb="FF000000"/>
        <rFont val="맑은 고딕"/>
        <family val="0"/>
        <charset val="1"/>
      </rPr>
      <t xml:space="preserve">(15)</t>
    </r>
  </si>
  <si>
    <r>
      <rPr>
        <b val="true"/>
        <sz val="10"/>
        <color rgb="FF000000"/>
        <rFont val="WenQuanYi Zen Hei"/>
        <family val="2"/>
      </rPr>
      <t xml:space="preserve">제작
과정
</t>
    </r>
    <r>
      <rPr>
        <b val="true"/>
        <sz val="10"/>
        <color rgb="FF000000"/>
        <rFont val="맑은 고딕"/>
        <family val="0"/>
        <charset val="1"/>
      </rPr>
      <t xml:space="preserve">(15)</t>
    </r>
  </si>
  <si>
    <r>
      <rPr>
        <b val="true"/>
        <sz val="10"/>
        <color rgb="FF000000"/>
        <rFont val="WenQuanYi Zen Hei"/>
        <family val="2"/>
      </rPr>
      <t xml:space="preserve">창의성
</t>
    </r>
    <r>
      <rPr>
        <b val="true"/>
        <sz val="10"/>
        <color rgb="FF000000"/>
        <rFont val="맑은 고딕"/>
        <family val="0"/>
        <charset val="1"/>
      </rPr>
      <t xml:space="preserve">(5)</t>
    </r>
  </si>
  <si>
    <r>
      <rPr>
        <b val="true"/>
        <sz val="10"/>
        <color rgb="FF000000"/>
        <rFont val="WenQuanYi Zen Hei"/>
        <family val="2"/>
      </rPr>
      <t xml:space="preserve">합계
</t>
    </r>
    <r>
      <rPr>
        <b val="true"/>
        <sz val="10"/>
        <color rgb="FF000000"/>
        <rFont val="맑은 고딕"/>
        <family val="0"/>
        <charset val="1"/>
      </rPr>
      <t xml:space="preserve">(50)</t>
    </r>
  </si>
  <si>
    <r>
      <rPr>
        <b val="true"/>
        <sz val="16"/>
        <color rgb="FF1F4E79"/>
        <rFont val="WenQuanYi Zen Hei"/>
        <family val="2"/>
      </rPr>
      <t xml:space="preserve">업무팀 심사표 — 상상 부문 </t>
    </r>
    <r>
      <rPr>
        <b val="true"/>
        <sz val="16"/>
        <color rgb="FF1F4E79"/>
        <rFont val="맑은 고딕"/>
        <family val="0"/>
        <charset val="1"/>
      </rPr>
      <t xml:space="preserve">(50</t>
    </r>
    <r>
      <rPr>
        <b val="true"/>
        <sz val="16"/>
        <color rgb="FF1F4E79"/>
        <rFont val="WenQuanYi Zen Hei"/>
        <family val="2"/>
      </rPr>
      <t xml:space="preserve">점</t>
    </r>
    <r>
      <rPr>
        <b val="true"/>
        <sz val="16"/>
        <color rgb="FF1F4E79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</si>
  <si>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독창성
평균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동점 기준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</si>
  <si>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아이디어
독창성
</t>
    </r>
    <r>
      <rPr>
        <b val="true"/>
        <sz val="10"/>
        <color rgb="FF000000"/>
        <rFont val="맑은 고딕"/>
        <family val="0"/>
        <charset val="1"/>
      </rPr>
      <t xml:space="preserve">(20)</t>
    </r>
  </si>
  <si>
    <r>
      <rPr>
        <b val="true"/>
        <sz val="10"/>
        <color rgb="FF000000"/>
        <rFont val="WenQuanYi Zen Hei"/>
        <family val="2"/>
      </rPr>
      <t xml:space="preserve">표현력
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그림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설명</t>
    </r>
    <r>
      <rPr>
        <b val="true"/>
        <sz val="10"/>
        <color rgb="FF000000"/>
        <rFont val="맑은 고딕"/>
        <family val="0"/>
        <charset val="1"/>
      </rPr>
      <t xml:space="preserve">)
(15)</t>
    </r>
  </si>
  <si>
    <r>
      <rPr>
        <b val="true"/>
        <sz val="16"/>
        <color rgb="FF1F4E79"/>
        <rFont val="WenQuanYi Zen Hei"/>
        <family val="2"/>
      </rPr>
      <t xml:space="preserve">좋아요 수 집계 </t>
    </r>
    <r>
      <rPr>
        <b val="true"/>
        <sz val="16"/>
        <color rgb="FF1F4E79"/>
        <rFont val="맑은 고딕"/>
        <family val="0"/>
        <charset val="1"/>
      </rPr>
      <t xml:space="preserve">(</t>
    </r>
    <r>
      <rPr>
        <b val="true"/>
        <sz val="16"/>
        <color rgb="FF1F4E79"/>
        <rFont val="WenQuanYi Zen Hei"/>
        <family val="2"/>
      </rPr>
      <t xml:space="preserve">블록</t>
    </r>
    <r>
      <rPr>
        <b val="true"/>
        <sz val="16"/>
        <color rgb="FF1F4E79"/>
        <rFont val="맑은 고딕"/>
        <family val="0"/>
        <charset val="1"/>
      </rPr>
      <t xml:space="preserve">·</t>
    </r>
    <r>
      <rPr>
        <b val="true"/>
        <sz val="16"/>
        <color rgb="FF1F4E79"/>
        <rFont val="WenQuanYi Zen Hei"/>
        <family val="2"/>
      </rPr>
      <t xml:space="preserve">바이브</t>
    </r>
    <r>
      <rPr>
        <b val="true"/>
        <sz val="16"/>
        <color rgb="FF1F4E79"/>
        <rFont val="맑은 고딕"/>
        <family val="0"/>
        <charset val="1"/>
      </rPr>
      <t xml:space="preserve">: </t>
    </r>
    <r>
      <rPr>
        <b val="true"/>
        <sz val="16"/>
        <color rgb="FF1F4E79"/>
        <rFont val="WenQuanYi Zen Hei"/>
        <family val="2"/>
      </rPr>
      <t xml:space="preserve">온라인 작품 갤러리 좋아요 </t>
    </r>
    <r>
      <rPr>
        <b val="true"/>
        <sz val="16"/>
        <color rgb="FF1F4E79"/>
        <rFont val="맑은 고딕"/>
        <family val="0"/>
        <charset val="1"/>
      </rPr>
      <t xml:space="preserve">/ </t>
    </r>
    <r>
      <rPr>
        <b val="true"/>
        <sz val="16"/>
        <color rgb="FF1F4E79"/>
        <rFont val="WenQuanYi Zen Hei"/>
        <family val="2"/>
      </rPr>
      <t xml:space="preserve">상상</t>
    </r>
    <r>
      <rPr>
        <b val="true"/>
        <sz val="16"/>
        <color rgb="FF1F4E79"/>
        <rFont val="맑은 고딕"/>
        <family val="0"/>
        <charset val="1"/>
      </rPr>
      <t xml:space="preserve">: </t>
    </r>
    <r>
      <rPr>
        <b val="true"/>
        <sz val="16"/>
        <color rgb="FF1F4E79"/>
        <rFont val="WenQuanYi Zen Hei"/>
        <family val="2"/>
      </rPr>
      <t xml:space="preserve">스티커</t>
    </r>
    <r>
      <rPr>
        <b val="true"/>
        <sz val="16"/>
        <color rgb="FF1F4E79"/>
        <rFont val="맑은 고딕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</si>
  <si>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투표가 끝나면</t>
    </r>
    <r>
      <rPr>
        <sz val="10"/>
        <color rgb="FF595959"/>
        <rFont val="맑은 고딕"/>
        <family val="0"/>
        <charset val="1"/>
      </rPr>
      <t xml:space="preserve">(11. 13.(</t>
    </r>
    <r>
      <rPr>
        <sz val="10"/>
        <color rgb="FF595959"/>
        <rFont val="WenQuanYi Zen Hei"/>
        <family val="2"/>
      </rPr>
      <t xml:space="preserve">금</t>
    </r>
    <r>
      <rPr>
        <sz val="10"/>
        <color rgb="FF595959"/>
        <rFont val="맑은 고딕"/>
        <family val="0"/>
        <charset val="1"/>
      </rPr>
      <t xml:space="preserve">)) </t>
    </r>
    <r>
      <rPr>
        <sz val="10"/>
        <color rgb="FF595959"/>
        <rFont val="WenQuanYi Zen Hei"/>
        <family val="2"/>
      </rPr>
      <t xml:space="preserve">갤러리 결과에서 </t>
    </r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작품번호</t>
    </r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와 </t>
    </r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좋아요 수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두 열만 복사해 </t>
    </r>
    <r>
      <rPr>
        <sz val="10"/>
        <color rgb="FF595959"/>
        <rFont val="맑은 고딕"/>
        <family val="0"/>
        <charset val="1"/>
      </rPr>
      <t xml:space="preserve">A6</t>
    </r>
    <r>
      <rPr>
        <sz val="10"/>
        <color rgb="FF595959"/>
        <rFont val="WenQuanYi Zen Hei"/>
        <family val="2"/>
      </rPr>
      <t xml:space="preserve">에 값만 붙여 넣으세요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제목 줄 빼고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순서 상관없음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WenQuanYi Zen Hei"/>
        <family val="2"/>
      </rPr>
      <t xml:space="preserve">상상 부문 스티커 수는 </t>
    </r>
    <r>
      <rPr>
        <sz val="10"/>
        <color rgb="FF595959"/>
        <rFont val="맑은 고딕"/>
        <family val="0"/>
        <charset val="1"/>
      </rPr>
      <t xml:space="preserve">I</t>
    </r>
    <r>
      <rPr>
        <sz val="10"/>
        <color rgb="FF595959"/>
        <rFont val="WenQuanYi Zen Hei"/>
        <family val="2"/>
      </rPr>
      <t xml:space="preserve">열에 입력해요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</si>
  <si>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4E79"/>
        <rFont val="WenQuanYi Zen Hei"/>
        <family val="2"/>
      </rPr>
      <t xml:space="preserve">① 갤러리 결과 붙여넣기 </t>
    </r>
    <r>
      <rPr>
        <b val="true"/>
        <sz val="11"/>
        <color rgb="FF1F4E79"/>
        <rFont val="맑은 고딕"/>
        <family val="0"/>
        <charset val="1"/>
      </rPr>
      <t xml:space="preserve">(</t>
    </r>
    <r>
      <rPr>
        <b val="true"/>
        <sz val="11"/>
        <color rgb="FF1F4E79"/>
        <rFont val="WenQuanYi Zen Hei"/>
        <family val="2"/>
      </rPr>
      <t xml:space="preserve">노란 칸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</si>
  <si>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r>
      <rPr>
        <b val="true"/>
        <sz val="11"/>
        <color rgb="FF1F4E79"/>
        <rFont val="WenQuanYi Zen Hei"/>
        <family val="2"/>
      </rPr>
      <t xml:space="preserve">② 작품별 좋아요 수 </t>
    </r>
    <r>
      <rPr>
        <b val="true"/>
        <sz val="11"/>
        <color rgb="FF1F4E79"/>
        <rFont val="맑은 고딕"/>
        <family val="0"/>
        <charset val="1"/>
      </rPr>
      <t xml:space="preserve">(</t>
    </r>
    <r>
      <rPr>
        <b val="true"/>
        <sz val="11"/>
        <color rgb="FF1F4E79"/>
        <rFont val="WenQuanYi Zen Hei"/>
        <family val="2"/>
      </rPr>
      <t xml:space="preserve">자동</t>
    </r>
    <r>
      <rPr>
        <b val="true"/>
        <sz val="11"/>
        <color rgb="FF1F4E79"/>
        <rFont val="맑은 고딕"/>
        <family val="0"/>
        <charset val="1"/>
      </rPr>
      <t xml:space="preserve">) — </t>
    </r>
    <r>
      <rPr>
        <b val="true"/>
        <sz val="11"/>
        <color rgb="FF1F4E79"/>
        <rFont val="WenQuanYi Zen Hei"/>
        <family val="2"/>
      </rPr>
      <t xml:space="preserve">상상 부문은 </t>
    </r>
    <r>
      <rPr>
        <b val="true"/>
        <sz val="11"/>
        <color rgb="FF1F4E79"/>
        <rFont val="맑은 고딕"/>
        <family val="0"/>
        <charset val="1"/>
      </rPr>
      <t xml:space="preserve">I</t>
    </r>
    <r>
      <rPr>
        <b val="true"/>
        <sz val="11"/>
        <color rgb="FF1F4E79"/>
        <rFont val="WenQuanYi Zen Hei"/>
        <family val="2"/>
      </rPr>
      <t xml:space="preserve">열에 스티커 수 입력</t>
    </r>
  </si>
  <si>
    <t xml:space="preserve">좋아요 수</t>
  </si>
  <si>
    <t xml:space="preserve">확인</t>
  </si>
  <si>
    <t xml:space="preserve">갤러리
좋아요</t>
  </si>
  <si>
    <r>
      <rPr>
        <b val="true"/>
        <sz val="10"/>
        <color rgb="FFFFFFFF"/>
        <rFont val="WenQuanYi Zen Hei"/>
        <family val="2"/>
      </rPr>
      <t xml:space="preserve">스티커 수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상상 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</si>
  <si>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최종
좋아요 수</t>
  </si>
  <si>
    <t xml:space="preserve">부문 내
순위</t>
  </si>
  <si>
    <r>
      <rPr>
        <b val="true"/>
        <sz val="16"/>
        <color rgb="FF1F4E79"/>
        <rFont val="WenQuanYi Zen Hei"/>
        <family val="2"/>
      </rPr>
      <t xml:space="preserve">학급별 참여율 순위 </t>
    </r>
    <r>
      <rPr>
        <b val="true"/>
        <sz val="16"/>
        <color rgb="FF1F4E79"/>
        <rFont val="맑은 고딕"/>
        <family val="0"/>
        <charset val="1"/>
      </rPr>
      <t xml:space="preserve">(1~6</t>
    </r>
    <r>
      <rPr>
        <b val="true"/>
        <sz val="16"/>
        <color rgb="FF1F4E79"/>
        <rFont val="WenQuanYi Zen Hei"/>
        <family val="2"/>
      </rPr>
      <t xml:space="preserve">학년 </t>
    </r>
    <r>
      <rPr>
        <b val="true"/>
        <sz val="16"/>
        <color rgb="FF1F4E79"/>
        <rFont val="맑은 고딕"/>
        <family val="0"/>
        <charset val="1"/>
      </rPr>
      <t xml:space="preserve">× 7</t>
    </r>
    <r>
      <rPr>
        <b val="true"/>
        <sz val="16"/>
        <color rgb="FF1F4E79"/>
        <rFont val="WenQuanYi Zen Hei"/>
        <family val="2"/>
      </rPr>
      <t xml:space="preserve">반</t>
    </r>
    <r>
      <rPr>
        <b val="true"/>
        <sz val="16"/>
        <color rgb="FF1F4E79"/>
        <rFont val="맑은 고딕"/>
        <family val="0"/>
        <charset val="1"/>
      </rPr>
      <t xml:space="preserve">)</t>
    </r>
  </si>
  <si>
    <r>
      <rPr>
        <sz val="10"/>
        <color rgb="FF595959"/>
        <rFont val="맑은 고딕"/>
        <family val="0"/>
        <charset val="1"/>
      </rPr>
      <t xml:space="preserve">B</t>
    </r>
    <r>
      <rPr>
        <sz val="10"/>
        <color rgb="FF595959"/>
        <rFont val="WenQuanYi Zen Hei"/>
        <family val="2"/>
      </rPr>
      <t xml:space="preserve">열 노란 칸에 학급 학생 수를 입력하세요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참여 학생 수는 작품목록의 대표 학년반 </t>
    </r>
    <r>
      <rPr>
        <sz val="10"/>
        <color rgb="FF595959"/>
        <rFont val="맑은 고딕"/>
        <family val="0"/>
        <charset val="1"/>
      </rPr>
      <t xml:space="preserve">+ </t>
    </r>
    <r>
      <rPr>
        <sz val="10"/>
        <color rgb="FF595959"/>
        <rFont val="WenQuanYi Zen Hei"/>
        <family val="2"/>
      </rPr>
      <t xml:space="preserve">팀원 학년반으로 자동 계산돼요</t>
    </r>
    <r>
      <rPr>
        <sz val="10"/>
        <color rgb="FF595959"/>
        <rFont val="맑은 고딕"/>
        <family val="0"/>
        <charset val="1"/>
      </rPr>
      <t xml:space="preserve">(2</t>
    </r>
    <r>
      <rPr>
        <sz val="10"/>
        <color rgb="FF595959"/>
        <rFont val="WenQuanYi Zen Hei"/>
        <family val="2"/>
      </rPr>
      <t xml:space="preserve">인 팀은 두 학생 모두 각자 반으로 셈</t>
    </r>
    <r>
      <rPr>
        <sz val="10"/>
        <color rgb="FF595959"/>
        <rFont val="맑은 고딕"/>
        <family val="0"/>
        <charset val="1"/>
      </rPr>
      <t xml:space="preserve">, 1~2</t>
    </r>
    <r>
      <rPr>
        <sz val="10"/>
        <color rgb="FF595959"/>
        <rFont val="WenQuanYi Zen Hei"/>
        <family val="2"/>
      </rPr>
      <t xml:space="preserve">학년 상상 활동지 포함</t>
    </r>
    <r>
      <rPr>
        <sz val="10"/>
        <color rgb="FF595959"/>
        <rFont val="맑은 고딕"/>
        <family val="0"/>
        <charset val="1"/>
      </rPr>
      <t xml:space="preserve">).</t>
    </r>
  </si>
  <si>
    <r>
      <rPr>
        <b val="true"/>
        <sz val="11"/>
        <color rgb="FF1F4E79"/>
        <rFont val="WenQuanYi Zen Hei"/>
        <family val="2"/>
      </rPr>
      <t xml:space="preserve">① 학급별 참여 현황 </t>
    </r>
    <r>
      <rPr>
        <b val="true"/>
        <sz val="11"/>
        <color rgb="FF1F4E79"/>
        <rFont val="맑은 고딕"/>
        <family val="0"/>
        <charset val="1"/>
      </rPr>
      <t xml:space="preserve">(</t>
    </r>
    <r>
      <rPr>
        <b val="true"/>
        <sz val="11"/>
        <color rgb="FF1F4E79"/>
        <rFont val="WenQuanYi Zen Hei"/>
        <family val="2"/>
      </rPr>
      <t xml:space="preserve">학생 수만 입력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</si>
  <si>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r>
      <rPr>
        <b val="true"/>
        <sz val="11"/>
        <color rgb="FF1F4E79"/>
        <rFont val="WenQuanYi Zen Hei"/>
        <family val="2"/>
      </rPr>
      <t xml:space="preserve">② 참여율 순위 </t>
    </r>
    <r>
      <rPr>
        <b val="true"/>
        <sz val="11"/>
        <color rgb="FF1F4E79"/>
        <rFont val="맑은 고딕"/>
        <family val="0"/>
        <charset val="1"/>
      </rPr>
      <t xml:space="preserve">TOP 10 (</t>
    </r>
    <r>
      <rPr>
        <b val="true"/>
        <sz val="11"/>
        <color rgb="FF1F4E79"/>
        <rFont val="WenQuanYi Zen Hei"/>
        <family val="2"/>
      </rPr>
      <t xml:space="preserve">발표용</t>
    </r>
    <r>
      <rPr>
        <b val="true"/>
        <sz val="11"/>
        <color rgb="FF1F4E79"/>
        <rFont val="맑은 고딕"/>
        <family val="0"/>
        <charset val="1"/>
      </rPr>
      <t xml:space="preserve">, </t>
    </r>
    <r>
      <rPr>
        <b val="true"/>
        <sz val="11"/>
        <color rgb="FF1F4E79"/>
        <rFont val="WenQuanYi Zen Hei"/>
        <family val="2"/>
      </rPr>
      <t xml:space="preserve">자동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</si>
  <si>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t xml:space="preserve">학년반</t>
  </si>
  <si>
    <r>
      <rPr>
        <b val="true"/>
        <sz val="10"/>
        <color rgb="FFFFFFFF"/>
        <rFont val="WenQuanYi Zen Hei"/>
        <family val="2"/>
      </rPr>
      <t xml:space="preserve">학생 수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</si>
  <si>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참여
학생 수</t>
  </si>
  <si>
    <t xml:space="preserve">참여율</t>
  </si>
  <si>
    <t xml:space="preserve">순위</t>
  </si>
  <si>
    <r>
      <rPr>
        <b val="true"/>
        <sz val="10"/>
        <color rgb="FFFFFFFF"/>
        <rFont val="WenQuanYi Zen Hei"/>
        <family val="2"/>
      </rPr>
      <t xml:space="preserve">담임 알림
제출 수
</t>
    </r>
    <r>
      <rPr>
        <b val="true"/>
        <sz val="10"/>
        <color rgb="FFFFFFFF"/>
        <rFont val="맑은 고딕"/>
        <family val="0"/>
        <charset val="1"/>
      </rPr>
      <t xml:space="preserve">(1~2</t>
    </r>
    <r>
      <rPr>
        <b val="true"/>
        <sz val="10"/>
        <color rgb="FFFFFFFF"/>
        <rFont val="WenQuanYi Zen Hei"/>
        <family val="2"/>
      </rPr>
      <t xml:space="preserve">학년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</si>
  <si>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정렬 번호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</si>
  <si>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학생 수</t>
  </si>
  <si>
    <t xml:space="preserve">1-4</t>
  </si>
  <si>
    <t xml:space="preserve">1-6</t>
  </si>
  <si>
    <t xml:space="preserve">1-7</t>
  </si>
  <si>
    <r>
      <rPr>
        <sz val="9"/>
        <color rgb="FF595959"/>
        <rFont val="WenQuanYi Zen Hei"/>
        <family val="2"/>
      </rPr>
      <t xml:space="preserve">※ 같은 순위가 여러 반이면 학년반 순서로 이어서 보여 줘요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참여율이 같으면 참여 학생 수가 많은 반이 위예요</t>
    </r>
    <r>
      <rPr>
        <sz val="9"/>
        <color rgb="FF595959"/>
        <rFont val="맑은 고딕"/>
        <family val="0"/>
        <charset val="1"/>
      </rPr>
      <t xml:space="preserve">.</t>
    </r>
  </si>
  <si>
    <t xml:space="preserve">2-5</t>
  </si>
  <si>
    <t xml:space="preserve">2-6</t>
  </si>
  <si>
    <r>
      <rPr>
        <b val="true"/>
        <sz val="11"/>
        <color rgb="FF1F4E79"/>
        <rFont val="WenQuanYi Zen Hei"/>
        <family val="2"/>
      </rPr>
      <t xml:space="preserve">③ 전교 합계 </t>
    </r>
    <r>
      <rPr>
        <b val="true"/>
        <sz val="11"/>
        <color rgb="FF1F4E79"/>
        <rFont val="맑은 고딕"/>
        <family val="0"/>
        <charset val="1"/>
      </rPr>
      <t xml:space="preserve">(</t>
    </r>
    <r>
      <rPr>
        <b val="true"/>
        <sz val="11"/>
        <color rgb="FF1F4E79"/>
        <rFont val="WenQuanYi Zen Hei"/>
        <family val="2"/>
      </rPr>
      <t xml:space="preserve">자동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</si>
  <si>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t xml:space="preserve">2-7</t>
  </si>
  <si>
    <t xml:space="preserve">전교 학생 수</t>
  </si>
  <si>
    <t xml:space="preserve">-</t>
  </si>
  <si>
    <t xml:space="preserve">참여 학생 수</t>
  </si>
  <si>
    <t xml:space="preserve">전교 참여율</t>
  </si>
  <si>
    <t xml:space="preserve">3-3</t>
  </si>
  <si>
    <t xml:space="preserve">학년반 확인 필요</t>
  </si>
  <si>
    <r>
      <rPr>
        <sz val="9"/>
        <color rgb="FF595959"/>
        <rFont val="맑은 고딕"/>
        <family val="0"/>
        <charset val="1"/>
      </rPr>
      <t xml:space="preserve">※ '</t>
    </r>
    <r>
      <rPr>
        <sz val="9"/>
        <color rgb="FF595959"/>
        <rFont val="WenQuanYi Zen Hei"/>
        <family val="2"/>
      </rPr>
      <t xml:space="preserve">학년반 확인 필요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가 </t>
    </r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명이 아니면 작품목록에 학년반이 비었거나 </t>
    </r>
    <r>
      <rPr>
        <sz val="9"/>
        <color rgb="FF595959"/>
        <rFont val="맑은 고딕"/>
        <family val="0"/>
        <charset val="1"/>
      </rPr>
      <t xml:space="preserve">4-2 </t>
    </r>
    <r>
      <rPr>
        <sz val="9"/>
        <color rgb="FF595959"/>
        <rFont val="WenQuanYi Zen Hei"/>
        <family val="2"/>
      </rPr>
      <t xml:space="preserve">형식이 아닌 줄이 있어요</t>
    </r>
    <r>
      <rPr>
        <sz val="9"/>
        <color rgb="FF595959"/>
        <rFont val="맑은 고딕"/>
        <family val="0"/>
        <charset val="1"/>
      </rPr>
      <t xml:space="preserve">.</t>
    </r>
  </si>
  <si>
    <t xml:space="preserve">3-6</t>
  </si>
  <si>
    <t xml:space="preserve">3-7</t>
  </si>
  <si>
    <t xml:space="preserve">4-4</t>
  </si>
  <si>
    <t xml:space="preserve">4-5</t>
  </si>
  <si>
    <t xml:space="preserve">4-7</t>
  </si>
  <si>
    <t xml:space="preserve">5-5</t>
  </si>
  <si>
    <t xml:space="preserve">5-6</t>
  </si>
  <si>
    <t xml:space="preserve">5-7</t>
  </si>
  <si>
    <t xml:space="preserve">6-5</t>
  </si>
  <si>
    <t xml:space="preserve">6-6</t>
  </si>
  <si>
    <t xml:space="preserve">6-7</t>
  </si>
  <si>
    <r>
      <rPr>
        <b val="true"/>
        <sz val="16"/>
        <color rgb="FF1F4E79"/>
        <rFont val="WenQuanYi Zen Hei"/>
        <family val="2"/>
      </rPr>
      <t xml:space="preserve">최종 결과 — 심사 </t>
    </r>
    <r>
      <rPr>
        <b val="true"/>
        <sz val="16"/>
        <color rgb="FF1F4E79"/>
        <rFont val="맑은 고딕"/>
        <family val="0"/>
        <charset val="1"/>
      </rPr>
      <t xml:space="preserve">50 + </t>
    </r>
    <r>
      <rPr>
        <b val="true"/>
        <sz val="16"/>
        <color rgb="FF1F4E79"/>
        <rFont val="WenQuanYi Zen Hei"/>
        <family val="2"/>
      </rPr>
      <t xml:space="preserve">좋아요 </t>
    </r>
    <r>
      <rPr>
        <b val="true"/>
        <sz val="16"/>
        <color rgb="FF1F4E79"/>
        <rFont val="맑은 고딕"/>
        <family val="0"/>
        <charset val="1"/>
      </rPr>
      <t xml:space="preserve">50 = 100</t>
    </r>
    <r>
      <rPr>
        <b val="true"/>
        <sz val="16"/>
        <color rgb="FF1F4E79"/>
        <rFont val="WenQuanYi Zen Hei"/>
        <family val="2"/>
      </rPr>
      <t xml:space="preserve">점</t>
    </r>
  </si>
  <si>
    <r>
      <rPr>
        <sz val="10"/>
        <color rgb="FF595959"/>
        <rFont val="WenQuanYi Zen Hei"/>
        <family val="2"/>
      </rPr>
      <t xml:space="preserve">모든 칸이 자동 계산돼요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노란 칸만 입력</t>
    </r>
    <r>
      <rPr>
        <sz val="10"/>
        <color rgb="FF595959"/>
        <rFont val="맑은 고딕"/>
        <family val="0"/>
        <charset val="1"/>
      </rPr>
      <t xml:space="preserve">). </t>
    </r>
    <r>
      <rPr>
        <sz val="10"/>
        <color rgb="FF595959"/>
        <rFont val="WenQuanYi Zen Hei"/>
        <family val="2"/>
      </rPr>
      <t xml:space="preserve">필터</t>
    </r>
    <r>
      <rPr>
        <sz val="10"/>
        <color rgb="FF595959"/>
        <rFont val="맑은 고딕"/>
        <family val="0"/>
        <charset val="1"/>
      </rPr>
      <t xml:space="preserve">(▼)</t>
    </r>
    <r>
      <rPr>
        <sz val="10"/>
        <color rgb="FF595959"/>
        <rFont val="WenQuanYi Zen Hei"/>
        <family val="2"/>
      </rPr>
      <t xml:space="preserve">로 부문을 고르고 </t>
    </r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부문 내 순위</t>
    </r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로 정렬해 보세요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</si>
  <si>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참가 작품 수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선택 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</si>
  <si>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작품목록
작품 수</t>
  </si>
  <si>
    <r>
      <rPr>
        <b val="true"/>
        <sz val="10"/>
        <color rgb="FFFFFFFF"/>
        <rFont val="WenQuanYi Zen Hei"/>
        <family val="2"/>
      </rPr>
      <t xml:space="preserve">수상 인원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</si>
  <si>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최다 좋아요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상상</t>
    </r>
    <r>
      <rPr>
        <b val="true"/>
        <sz val="10"/>
        <color rgb="FFFFFFFF"/>
        <rFont val="맑은 고딕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스티커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</si>
  <si>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수상 비율</t>
  </si>
  <si>
    <r>
      <rPr>
        <sz val="9"/>
        <color rgb="FF595959"/>
        <rFont val="맑은 고딕"/>
        <family val="0"/>
        <charset val="1"/>
      </rPr>
      <t xml:space="preserve">※ 1</t>
    </r>
    <r>
      <rPr>
        <sz val="9"/>
        <color rgb="FF595959"/>
        <rFont val="WenQuanYi Zen Hei"/>
        <family val="2"/>
      </rPr>
      <t xml:space="preserve">차 심사 없이 확인된 작품은 모두 작품목록에 들어가므로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참가 작품 수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는 보통 비워 두세요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작품목록 작품 수로 계산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공개하지 않은 제출작까지 셀 때만 입력해요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수상 추천</t>
    </r>
    <r>
      <rPr>
        <sz val="9"/>
        <color rgb="FF595959"/>
        <rFont val="맑은 고딕"/>
        <family val="0"/>
        <charset val="1"/>
      </rPr>
      <t xml:space="preserve">: 1</t>
    </r>
    <r>
      <rPr>
        <sz val="9"/>
        <color rgb="FF595959"/>
        <rFont val="WenQuanYi Zen Hei"/>
        <family val="2"/>
      </rPr>
      <t xml:space="preserve">위 최우수</t>
    </r>
    <r>
      <rPr>
        <sz val="9"/>
        <color rgb="FF595959"/>
        <rFont val="맑은 고딕"/>
        <family val="0"/>
        <charset val="1"/>
      </rPr>
      <t xml:space="preserve">, 2~3</t>
    </r>
    <r>
      <rPr>
        <sz val="9"/>
        <color rgb="FF595959"/>
        <rFont val="WenQuanYi Zen Hei"/>
        <family val="2"/>
      </rPr>
      <t xml:space="preserve">위 우수</t>
    </r>
    <r>
      <rPr>
        <sz val="9"/>
        <color rgb="FF595959"/>
        <rFont val="맑은 고딕"/>
        <family val="0"/>
        <charset val="1"/>
      </rPr>
      <t xml:space="preserve">, 4</t>
    </r>
    <r>
      <rPr>
        <sz val="9"/>
        <color rgb="FF595959"/>
        <rFont val="WenQuanYi Zen Hei"/>
        <family val="2"/>
      </rPr>
      <t xml:space="preserve">위부터 장려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</si>
  <si>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학년반
</t>
    </r>
    <r>
      <rPr>
        <b val="true"/>
        <sz val="10"/>
        <color rgb="FFFFFFFF"/>
        <rFont val="맑은 고딕"/>
        <family val="0"/>
        <charset val="1"/>
      </rPr>
      <t xml:space="preserve">(· </t>
    </r>
    <r>
      <rPr>
        <b val="true"/>
        <sz val="10"/>
        <color rgb="FFFFFFFF"/>
        <rFont val="WenQuanYi Zen Hei"/>
        <family val="2"/>
      </rPr>
      <t xml:space="preserve">팀원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</si>
  <si>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심사 점수
</t>
    </r>
    <r>
      <rPr>
        <b val="true"/>
        <sz val="10"/>
        <color rgb="FFFFFFFF"/>
        <rFont val="맑은 고딕"/>
        <family val="0"/>
        <charset val="1"/>
      </rPr>
      <t xml:space="preserve">(50)</t>
    </r>
  </si>
  <si>
    <r>
      <rPr>
        <b val="true"/>
        <sz val="10"/>
        <color rgb="FFFFFFFF"/>
        <rFont val="WenQuanYi Zen Hei"/>
        <family val="2"/>
      </rPr>
      <t xml:space="preserve">동점 기준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제작과정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독창성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</si>
  <si>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좋아요 수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상상</t>
    </r>
    <r>
      <rPr>
        <b val="true"/>
        <sz val="10"/>
        <color rgb="FFFFFFFF"/>
        <rFont val="맑은 고딕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스티커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</si>
  <si>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부문
최다 좋아요</t>
  </si>
  <si>
    <r>
      <rPr>
        <b val="true"/>
        <sz val="10"/>
        <color rgb="FFFFFFFF"/>
        <rFont val="WenQuanYi Zen Hei"/>
        <family val="2"/>
      </rPr>
      <t xml:space="preserve">좋아요 점수
</t>
    </r>
    <r>
      <rPr>
        <b val="true"/>
        <sz val="10"/>
        <color rgb="FFFFFFFF"/>
        <rFont val="맑은 고딕"/>
        <family val="0"/>
        <charset val="1"/>
      </rPr>
      <t xml:space="preserve">(50)</t>
    </r>
  </si>
  <si>
    <r>
      <rPr>
        <b val="true"/>
        <sz val="10"/>
        <color rgb="FFFFFFFF"/>
        <rFont val="WenQuanYi Zen Hei"/>
        <family val="2"/>
      </rPr>
      <t xml:space="preserve">총점
</t>
    </r>
    <r>
      <rPr>
        <b val="true"/>
        <sz val="10"/>
        <color rgb="FFFFFFFF"/>
        <rFont val="맑은 고딕"/>
        <family val="0"/>
        <charset val="1"/>
      </rPr>
      <t xml:space="preserve">(100)</t>
    </r>
  </si>
  <si>
    <r>
      <rPr>
        <b val="true"/>
        <sz val="10"/>
        <color rgb="FFFFFFFF"/>
        <rFont val="WenQuanYi Zen Hei"/>
        <family val="2"/>
      </rPr>
      <t xml:space="preserve">정렬 기준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총점</t>
    </r>
    <r>
      <rPr>
        <b val="true"/>
        <sz val="10"/>
        <color rgb="FFFFFFFF"/>
        <rFont val="맑은 고딕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동점</t>
    </r>
    <r>
      <rPr>
        <b val="true"/>
        <sz val="10"/>
        <color rgb="FFFFFFFF"/>
        <rFont val="맑은 고딕"/>
        <family val="0"/>
        <charset val="1"/>
      </rPr>
      <t xml:space="preserve">/10000)</t>
    </r>
  </si>
  <si>
    <t xml:space="preserve">수상
인원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</si>
</sst>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.00"/>
    <numFmt numFmtId="167" formatCode="General"/>
    <numFmt numFmtId="168" formatCode="0.0%"/>
    <numFmt numFmtId="169" formatCode="0"/>
    <numFmt numFmtId="170" formatCode="0\명"/>
    <numFmt numFmtId="171" formatCode="0%"/>
    <numFmt numFmtId="172" formatCode="0.0"/>
    <numFmt numFmtId="173" formatCode="0.0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맑은 고딕"/>
      <family val="0"/>
      <charset val="1"/>
    </font>
    <font>
      <b val="true"/>
      <sz val="16"/>
      <color rgb="FF1F4E79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맑은 고딕"/>
      <family val="0"/>
      <charset val="1"/>
    </font>
    <font>
      <b val="true"/>
      <sz val="10"/>
      <color rgb="FFC00000"/>
      <name val="WenQuanYi Zen Hei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2"/>
      <color rgb="FF1F4E79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b val="true"/>
      <sz val="11"/>
      <color rgb="FF1F4E79"/>
      <name val="WenQuanYi Zen Hei"/>
      <family val="2"/>
    </font>
    <font>
      <b val="true"/>
      <sz val="11"/>
      <color rgb="FF1F4E79"/>
      <name val="맑은 고딕"/>
      <family val="0"/>
      <charset val="1"/>
    </font>
    <font>
      <b val="true"/>
      <sz val="10"/>
      <color rgb="FF1F4E79"/>
      <name val="WenQuanYi Zen Hei"/>
      <family val="2"/>
    </font>
    <font>
      <sz val="9"/>
      <color rgb="FF808080"/>
      <name val="맑은 고딕"/>
      <family val="0"/>
      <charset val="1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EDEDED"/>
        <bgColor rgb="FFF2F2F2"/>
      </patternFill>
    </fill>
    <fill>
      <patternFill patternType="solid">
        <fgColor rgb="FFFFD966"/>
        <bgColor rgb="FFF4B183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D6DCE4"/>
        <bgColor rgb="FFD9E1F2"/>
      </patternFill>
    </fill>
    <fill>
      <patternFill patternType="solid">
        <fgColor rgb="FFF4B183"/>
        <bgColor rgb="FFFFD966"/>
      </patternFill>
    </fill>
    <fill>
      <patternFill patternType="solid">
        <fgColor rgb="FFFCE4E4"/>
        <bgColor rgb="FFEDEDED"/>
      </patternFill>
    </fill>
    <fill>
      <patternFill patternType="solid">
        <fgColor rgb="FFD9E1F2"/>
        <bgColor rgb="FFD6DCE4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EDEDED"/>
        </patternFill>
      </fill>
    </dxf>
    <dxf>
      <font>
        <name val="맑은 고딕"/>
        <charset val="1"/>
        <family val="0"/>
        <b val="1"/>
        <color rgb="FFC00000"/>
      </font>
      <fill>
        <patternFill>
          <bgColor rgb="FFFCE4E4"/>
        </patternFill>
      </fill>
    </dxf>
    <dxf>
      <font>
        <name val="맑은 고딕"/>
        <charset val="1"/>
        <family val="0"/>
        <b val="1"/>
      </font>
      <fill>
        <patternFill>
          <bgColor rgb="FFFFD966"/>
        </patternFill>
      </fill>
    </dxf>
    <dxf>
      <font>
        <name val="맑은 고딕"/>
        <charset val="1"/>
        <family val="0"/>
        <b val="1"/>
      </font>
      <fill>
        <patternFill>
          <bgColor rgb="FFD6DCE4"/>
        </patternFill>
      </fill>
    </dxf>
    <dxf>
      <font>
        <name val="맑은 고딕"/>
        <charset val="1"/>
        <family val="0"/>
        <b val="1"/>
      </font>
      <fill>
        <patternFill>
          <bgColor rgb="FFF4B183"/>
        </patternFill>
      </fill>
    </dxf>
    <dxf>
      <font>
        <name val="맑은 고딕"/>
        <charset val="1"/>
        <family val="0"/>
        <b val="1"/>
        <color rgb="FFC00000"/>
      </font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ont>
        <name val="맑은 고딕"/>
        <charset val="1"/>
        <family val="0"/>
        <b val="1"/>
      </font>
      <fill>
        <patternFill>
          <bgColor rgb="FFDDEBF7"/>
        </patternFill>
      </fill>
    </dxf>
    <dxf>
      <font>
        <name val="맑은 고딕"/>
        <charset val="1"/>
        <family val="0"/>
        <b val="1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E4"/>
      <rgbColor rgb="FFEDEDED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92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80.25" hidden="false" customHeight="true" outlineLevel="0" collapsed="false">
      <c r="A6" s="5" t="n">
        <v>1</v>
      </c>
      <c r="B6" s="6" t="s">
        <v>6</v>
      </c>
      <c r="C6" s="7" t="s">
        <v>7</v>
      </c>
    </row>
    <row r="7" customFormat="false" ht="51" hidden="false" customHeight="true" outlineLevel="0" collapsed="false">
      <c r="A7" s="5" t="n">
        <v>2</v>
      </c>
      <c r="B7" s="6" t="s">
        <v>8</v>
      </c>
      <c r="C7" s="8" t="s">
        <v>9</v>
      </c>
    </row>
    <row r="8" customFormat="false" ht="66" hidden="false" customHeight="true" outlineLevel="0" collapsed="false">
      <c r="A8" s="5" t="n">
        <v>3</v>
      </c>
      <c r="B8" s="6" t="s">
        <v>10</v>
      </c>
      <c r="C8" s="7" t="s">
        <v>11</v>
      </c>
    </row>
    <row r="9" customFormat="false" ht="36.75" hidden="false" customHeight="true" outlineLevel="0" collapsed="false">
      <c r="A9" s="5" t="n">
        <v>4</v>
      </c>
      <c r="B9" s="6" t="s">
        <v>12</v>
      </c>
      <c r="C9" s="7" t="s">
        <v>13</v>
      </c>
    </row>
    <row r="10" customFormat="false" ht="51" hidden="false" customHeight="true" outlineLevel="0" collapsed="false">
      <c r="A10" s="5" t="n">
        <v>5</v>
      </c>
      <c r="B10" s="6" t="s">
        <v>14</v>
      </c>
      <c r="C10" s="7" t="s">
        <v>15</v>
      </c>
    </row>
    <row r="11" customFormat="false" ht="66" hidden="false" customHeight="true" outlineLevel="0" collapsed="false">
      <c r="A11" s="5" t="n">
        <v>6</v>
      </c>
      <c r="B11" s="6" t="s">
        <v>16</v>
      </c>
      <c r="C11" s="7" t="s">
        <v>17</v>
      </c>
    </row>
    <row r="12" customFormat="false" ht="51" hidden="false" customHeight="true" outlineLevel="0" collapsed="false">
      <c r="A12" s="5" t="n">
        <v>7</v>
      </c>
      <c r="B12" s="6" t="s">
        <v>18</v>
      </c>
      <c r="C12" s="7" t="s">
        <v>19</v>
      </c>
    </row>
    <row r="13" customFormat="false" ht="51" hidden="false" customHeight="true" outlineLevel="0" collapsed="false">
      <c r="A13" s="5" t="n">
        <v>8</v>
      </c>
      <c r="B13" s="6" t="s">
        <v>20</v>
      </c>
      <c r="C13" s="7" t="s">
        <v>21</v>
      </c>
    </row>
    <row r="15" customFormat="false" ht="15" hidden="false" customHeight="false" outlineLevel="0" collapsed="false">
      <c r="A15" s="9" t="s">
        <v>22</v>
      </c>
    </row>
    <row r="16" customFormat="false" ht="15" hidden="false" customHeight="false" outlineLevel="0" collapsed="false">
      <c r="B16" s="10"/>
      <c r="C16" s="11" t="s">
        <v>23</v>
      </c>
    </row>
    <row r="17" customFormat="false" ht="15" hidden="false" customHeight="false" outlineLevel="0" collapsed="false">
      <c r="B17" s="12"/>
      <c r="C17" s="11" t="s">
        <v>24</v>
      </c>
    </row>
    <row r="18" customFormat="false" ht="15" hidden="false" customHeight="false" outlineLevel="0" collapsed="false">
      <c r="B18" s="13"/>
      <c r="C18" s="11" t="s">
        <v>25</v>
      </c>
    </row>
    <row r="19" customFormat="false" ht="15" hidden="false" customHeight="false" outlineLevel="0" collapsed="false">
      <c r="B19" s="14"/>
      <c r="C19" s="11" t="s">
        <v>26</v>
      </c>
    </row>
    <row r="20" customFormat="false" ht="15" hidden="false" customHeight="false" outlineLevel="0" collapsed="false">
      <c r="B20" s="15"/>
      <c r="C20" s="11" t="s">
        <v>27</v>
      </c>
    </row>
    <row r="21" customFormat="false" ht="15" hidden="false" customHeight="false" outlineLevel="0" collapsed="false">
      <c r="B21" s="16"/>
      <c r="C21" s="11" t="s">
        <v>28</v>
      </c>
    </row>
    <row r="22" customFormat="false" ht="15" hidden="false" customHeight="false" outlineLevel="0" collapsed="false">
      <c r="B22" s="17"/>
      <c r="C22" s="11" t="s">
        <v>29</v>
      </c>
    </row>
    <row r="23" customFormat="false" ht="15" hidden="false" customHeight="false" outlineLevel="0" collapsed="false">
      <c r="B23" s="18"/>
      <c r="C23" s="11" t="s">
        <v>30</v>
      </c>
    </row>
    <row r="25" customFormat="false" ht="15" hidden="false" customHeight="false" outlineLevel="0" collapsed="false">
      <c r="A25" s="9" t="s">
        <v>31</v>
      </c>
    </row>
    <row r="26" customFormat="false" ht="51" hidden="false" customHeight="true" outlineLevel="0" collapsed="false">
      <c r="B26" s="6" t="s">
        <v>32</v>
      </c>
      <c r="C26" s="7" t="s">
        <v>33</v>
      </c>
    </row>
    <row r="27" customFormat="false" ht="66" hidden="false" customHeight="true" outlineLevel="0" collapsed="false">
      <c r="B27" s="6" t="s">
        <v>34</v>
      </c>
      <c r="C27" s="8" t="s">
        <v>35</v>
      </c>
    </row>
    <row r="28" customFormat="false" ht="36.75" hidden="false" customHeight="true" outlineLevel="0" collapsed="false">
      <c r="B28" s="6" t="s">
        <v>36</v>
      </c>
      <c r="C28" s="7" t="s">
        <v>37</v>
      </c>
    </row>
    <row r="29" customFormat="false" ht="51" hidden="false" customHeight="true" outlineLevel="0" collapsed="false">
      <c r="B29" s="6" t="s">
        <v>38</v>
      </c>
      <c r="C29" s="7" t="s">
        <v>39</v>
      </c>
    </row>
    <row r="30" customFormat="false" ht="51" hidden="false" customHeight="true" outlineLevel="0" collapsed="false">
      <c r="B30" s="6" t="s">
        <v>40</v>
      </c>
      <c r="C30" s="7" t="s">
        <v>41</v>
      </c>
    </row>
    <row r="31" customFormat="false" ht="36.75" hidden="false" customHeight="true" outlineLevel="0" collapsed="false">
      <c r="B31" s="6" t="s">
        <v>42</v>
      </c>
      <c r="C31" s="7" t="s">
        <v>43</v>
      </c>
    </row>
    <row r="32" customFormat="false" ht="66" hidden="false" customHeight="true" outlineLevel="0" collapsed="false">
      <c r="B32" s="6" t="s">
        <v>44</v>
      </c>
      <c r="C32" s="7" t="s">
        <v>45</v>
      </c>
    </row>
    <row r="33" customFormat="false" ht="51" hidden="false" customHeight="true" outlineLevel="0" collapsed="false">
      <c r="B33" s="6" t="s">
        <v>46</v>
      </c>
      <c r="C33" s="7" t="s">
        <v>47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38"/>
  </cols>
  <sheetData>
    <row r="1" customFormat="false" ht="27.75" hidden="false" customHeight="true" outlineLevel="0" collapsed="false">
      <c r="A1" s="19" t="s">
        <v>48</v>
      </c>
    </row>
    <row r="2" customFormat="false" ht="15" hidden="false" customHeight="false" outlineLevel="0" collapsed="false">
      <c r="A2" s="20" t="s">
        <v>49</v>
      </c>
    </row>
    <row r="3" customFormat="false" ht="45.75" hidden="false" customHeight="true" outlineLevel="0" collapsed="false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56</v>
      </c>
      <c r="H3" s="4" t="s">
        <v>57</v>
      </c>
    </row>
    <row r="4" customFormat="false" ht="15" hidden="false" customHeight="false" outlineLevel="0" collapsed="false">
      <c r="A4" s="21" t="s">
        <v>58</v>
      </c>
      <c r="B4" s="22" t="s">
        <v>59</v>
      </c>
      <c r="C4" s="23" t="s">
        <v>60</v>
      </c>
      <c r="D4" s="23"/>
      <c r="E4" s="22" t="s">
        <v>61</v>
      </c>
      <c r="F4" s="24" t="s">
        <v>62</v>
      </c>
      <c r="G4" s="24" t="s">
        <v>63</v>
      </c>
      <c r="H4" s="25" t="s">
        <v>64</v>
      </c>
    </row>
    <row r="5" customFormat="false" ht="15" hidden="false" customHeight="false" outlineLevel="0" collapsed="false">
      <c r="A5" s="21" t="s">
        <v>65</v>
      </c>
      <c r="B5" s="22" t="s">
        <v>59</v>
      </c>
      <c r="C5" s="23" t="s">
        <v>66</v>
      </c>
      <c r="D5" s="23"/>
      <c r="E5" s="22" t="s">
        <v>67</v>
      </c>
      <c r="F5" s="24" t="s">
        <v>68</v>
      </c>
      <c r="G5" s="24" t="s">
        <v>69</v>
      </c>
      <c r="H5" s="25" t="s">
        <v>70</v>
      </c>
    </row>
    <row r="6" customFormat="false" ht="15" hidden="false" customHeight="false" outlineLevel="0" collapsed="false">
      <c r="A6" s="21" t="s">
        <v>71</v>
      </c>
      <c r="B6" s="22" t="s">
        <v>59</v>
      </c>
      <c r="C6" s="23" t="s">
        <v>72</v>
      </c>
      <c r="D6" s="23"/>
      <c r="E6" s="22" t="s">
        <v>73</v>
      </c>
      <c r="F6" s="24" t="s">
        <v>74</v>
      </c>
      <c r="G6" s="24" t="s">
        <v>75</v>
      </c>
      <c r="H6" s="25" t="s">
        <v>76</v>
      </c>
    </row>
    <row r="7" customFormat="false" ht="15" hidden="false" customHeight="false" outlineLevel="0" collapsed="false">
      <c r="A7" s="21" t="s">
        <v>77</v>
      </c>
      <c r="B7" s="22" t="s">
        <v>59</v>
      </c>
      <c r="C7" s="23" t="s">
        <v>78</v>
      </c>
      <c r="D7" s="23" t="s">
        <v>79</v>
      </c>
      <c r="E7" s="22" t="s">
        <v>80</v>
      </c>
      <c r="F7" s="24" t="s">
        <v>81</v>
      </c>
      <c r="G7" s="24" t="s">
        <v>82</v>
      </c>
      <c r="H7" s="25" t="s">
        <v>83</v>
      </c>
    </row>
    <row r="8" customFormat="false" ht="15" hidden="false" customHeight="false" outlineLevel="0" collapsed="false">
      <c r="A8" s="21" t="s">
        <v>84</v>
      </c>
      <c r="B8" s="22" t="s">
        <v>59</v>
      </c>
      <c r="C8" s="23" t="s">
        <v>85</v>
      </c>
      <c r="D8" s="23"/>
      <c r="E8" s="22" t="s">
        <v>86</v>
      </c>
      <c r="F8" s="24" t="s">
        <v>87</v>
      </c>
      <c r="G8" s="24" t="s">
        <v>88</v>
      </c>
      <c r="H8" s="25" t="s">
        <v>89</v>
      </c>
    </row>
    <row r="9" customFormat="false" ht="15" hidden="false" customHeight="false" outlineLevel="0" collapsed="false">
      <c r="A9" s="21" t="s">
        <v>90</v>
      </c>
      <c r="B9" s="22" t="s">
        <v>59</v>
      </c>
      <c r="C9" s="23" t="s">
        <v>91</v>
      </c>
      <c r="D9" s="23"/>
      <c r="E9" s="22" t="s">
        <v>92</v>
      </c>
      <c r="F9" s="24" t="s">
        <v>93</v>
      </c>
      <c r="G9" s="24" t="s">
        <v>94</v>
      </c>
      <c r="H9" s="25" t="s">
        <v>95</v>
      </c>
    </row>
    <row r="10" customFormat="false" ht="15" hidden="false" customHeight="false" outlineLevel="0" collapsed="false">
      <c r="A10" s="21" t="s">
        <v>96</v>
      </c>
      <c r="B10" s="22" t="s">
        <v>59</v>
      </c>
      <c r="C10" s="23" t="s">
        <v>97</v>
      </c>
      <c r="D10" s="23"/>
      <c r="E10" s="22" t="s">
        <v>98</v>
      </c>
      <c r="F10" s="24" t="s">
        <v>99</v>
      </c>
      <c r="G10" s="24" t="s">
        <v>100</v>
      </c>
      <c r="H10" s="25" t="s">
        <v>101</v>
      </c>
    </row>
    <row r="11" customFormat="false" ht="15" hidden="false" customHeight="false" outlineLevel="0" collapsed="false">
      <c r="A11" s="21" t="s">
        <v>102</v>
      </c>
      <c r="B11" s="22" t="s">
        <v>59</v>
      </c>
      <c r="C11" s="23" t="s">
        <v>79</v>
      </c>
      <c r="D11" s="23"/>
      <c r="E11" s="22" t="s">
        <v>103</v>
      </c>
      <c r="F11" s="24" t="s">
        <v>104</v>
      </c>
      <c r="G11" s="24" t="s">
        <v>105</v>
      </c>
      <c r="H11" s="25" t="s">
        <v>106</v>
      </c>
    </row>
    <row r="12" customFormat="false" ht="15" hidden="false" customHeight="false" outlineLevel="0" collapsed="false">
      <c r="A12" s="21" t="s">
        <v>107</v>
      </c>
      <c r="B12" s="22" t="s">
        <v>108</v>
      </c>
      <c r="C12" s="23" t="s">
        <v>109</v>
      </c>
      <c r="D12" s="23"/>
      <c r="E12" s="22" t="s">
        <v>110</v>
      </c>
      <c r="F12" s="24" t="s">
        <v>111</v>
      </c>
      <c r="G12" s="24" t="s">
        <v>112</v>
      </c>
      <c r="H12" s="25" t="s">
        <v>113</v>
      </c>
    </row>
    <row r="13" customFormat="false" ht="15" hidden="false" customHeight="false" outlineLevel="0" collapsed="false">
      <c r="A13" s="21" t="s">
        <v>114</v>
      </c>
      <c r="B13" s="22" t="s">
        <v>108</v>
      </c>
      <c r="C13" s="23" t="s">
        <v>115</v>
      </c>
      <c r="D13" s="23" t="s">
        <v>115</v>
      </c>
      <c r="E13" s="22" t="s">
        <v>116</v>
      </c>
      <c r="F13" s="24" t="s">
        <v>117</v>
      </c>
      <c r="G13" s="24" t="s">
        <v>118</v>
      </c>
      <c r="H13" s="25" t="s">
        <v>119</v>
      </c>
    </row>
    <row r="14" customFormat="false" ht="15" hidden="false" customHeight="false" outlineLevel="0" collapsed="false">
      <c r="A14" s="21" t="s">
        <v>120</v>
      </c>
      <c r="B14" s="22" t="s">
        <v>108</v>
      </c>
      <c r="C14" s="23" t="s">
        <v>121</v>
      </c>
      <c r="D14" s="23"/>
      <c r="E14" s="22" t="s">
        <v>122</v>
      </c>
      <c r="F14" s="24" t="s">
        <v>123</v>
      </c>
      <c r="G14" s="24" t="s">
        <v>124</v>
      </c>
      <c r="H14" s="25" t="s">
        <v>125</v>
      </c>
    </row>
    <row r="15" customFormat="false" ht="15" hidden="false" customHeight="false" outlineLevel="0" collapsed="false">
      <c r="A15" s="21" t="s">
        <v>126</v>
      </c>
      <c r="B15" s="22" t="s">
        <v>108</v>
      </c>
      <c r="C15" s="23" t="s">
        <v>127</v>
      </c>
      <c r="D15" s="23"/>
      <c r="E15" s="22" t="s">
        <v>128</v>
      </c>
      <c r="F15" s="24" t="s">
        <v>129</v>
      </c>
      <c r="G15" s="24" t="s">
        <v>130</v>
      </c>
      <c r="H15" s="25" t="s">
        <v>131</v>
      </c>
    </row>
    <row r="16" customFormat="false" ht="15" hidden="false" customHeight="false" outlineLevel="0" collapsed="false">
      <c r="A16" s="21" t="s">
        <v>132</v>
      </c>
      <c r="B16" s="22" t="s">
        <v>108</v>
      </c>
      <c r="C16" s="23" t="s">
        <v>133</v>
      </c>
      <c r="D16" s="23"/>
      <c r="E16" s="22" t="s">
        <v>134</v>
      </c>
      <c r="F16" s="24" t="s">
        <v>135</v>
      </c>
      <c r="G16" s="24" t="s">
        <v>136</v>
      </c>
      <c r="H16" s="25" t="s">
        <v>137</v>
      </c>
    </row>
    <row r="17" customFormat="false" ht="15" hidden="false" customHeight="false" outlineLevel="0" collapsed="false">
      <c r="A17" s="21" t="s">
        <v>138</v>
      </c>
      <c r="B17" s="22" t="s">
        <v>108</v>
      </c>
      <c r="C17" s="23" t="s">
        <v>139</v>
      </c>
      <c r="D17" s="23" t="s">
        <v>139</v>
      </c>
      <c r="E17" s="22" t="s">
        <v>140</v>
      </c>
      <c r="F17" s="24" t="s">
        <v>141</v>
      </c>
      <c r="G17" s="24" t="s">
        <v>142</v>
      </c>
      <c r="H17" s="25" t="s">
        <v>143</v>
      </c>
    </row>
    <row r="18" customFormat="false" ht="15" hidden="false" customHeight="false" outlineLevel="0" collapsed="false">
      <c r="A18" s="21" t="s">
        <v>144</v>
      </c>
      <c r="B18" s="22" t="s">
        <v>108</v>
      </c>
      <c r="C18" s="23" t="s">
        <v>145</v>
      </c>
      <c r="D18" s="23"/>
      <c r="E18" s="22" t="s">
        <v>146</v>
      </c>
      <c r="F18" s="24" t="s">
        <v>147</v>
      </c>
      <c r="G18" s="24" t="s">
        <v>148</v>
      </c>
      <c r="H18" s="25" t="s">
        <v>149</v>
      </c>
    </row>
    <row r="19" customFormat="false" ht="15" hidden="false" customHeight="false" outlineLevel="0" collapsed="false">
      <c r="A19" s="21" t="s">
        <v>150</v>
      </c>
      <c r="B19" s="22" t="s">
        <v>108</v>
      </c>
      <c r="C19" s="23" t="s">
        <v>151</v>
      </c>
      <c r="D19" s="23"/>
      <c r="E19" s="22" t="s">
        <v>152</v>
      </c>
      <c r="F19" s="24" t="s">
        <v>153</v>
      </c>
      <c r="G19" s="24" t="s">
        <v>154</v>
      </c>
      <c r="H19" s="25" t="s">
        <v>155</v>
      </c>
    </row>
    <row r="20" customFormat="false" ht="15" hidden="false" customHeight="false" outlineLevel="0" collapsed="false">
      <c r="A20" s="21" t="s">
        <v>156</v>
      </c>
      <c r="B20" s="22" t="s">
        <v>157</v>
      </c>
      <c r="C20" s="23" t="s">
        <v>158</v>
      </c>
      <c r="D20" s="23"/>
      <c r="E20" s="22" t="s">
        <v>159</v>
      </c>
      <c r="F20" s="24" t="s">
        <v>160</v>
      </c>
      <c r="G20" s="24" t="s">
        <v>161</v>
      </c>
      <c r="H20" s="25" t="s">
        <v>162</v>
      </c>
    </row>
    <row r="21" customFormat="false" ht="15" hidden="false" customHeight="false" outlineLevel="0" collapsed="false">
      <c r="A21" s="21" t="s">
        <v>163</v>
      </c>
      <c r="B21" s="22" t="s">
        <v>157</v>
      </c>
      <c r="C21" s="23" t="s">
        <v>164</v>
      </c>
      <c r="D21" s="23"/>
      <c r="E21" s="22" t="s">
        <v>165</v>
      </c>
      <c r="F21" s="24" t="s">
        <v>166</v>
      </c>
      <c r="G21" s="24" t="s">
        <v>167</v>
      </c>
      <c r="H21" s="25" t="s">
        <v>162</v>
      </c>
    </row>
    <row r="22" customFormat="false" ht="15" hidden="false" customHeight="false" outlineLevel="0" collapsed="false">
      <c r="A22" s="21" t="s">
        <v>168</v>
      </c>
      <c r="B22" s="22" t="s">
        <v>157</v>
      </c>
      <c r="C22" s="23" t="s">
        <v>169</v>
      </c>
      <c r="D22" s="23"/>
      <c r="E22" s="22" t="s">
        <v>170</v>
      </c>
      <c r="F22" s="24" t="s">
        <v>171</v>
      </c>
      <c r="G22" s="24" t="s">
        <v>172</v>
      </c>
      <c r="H22" s="25" t="s">
        <v>162</v>
      </c>
    </row>
    <row r="23" customFormat="false" ht="15" hidden="false" customHeight="false" outlineLevel="0" collapsed="false">
      <c r="A23" s="21" t="s">
        <v>173</v>
      </c>
      <c r="B23" s="22" t="s">
        <v>157</v>
      </c>
      <c r="C23" s="23" t="s">
        <v>174</v>
      </c>
      <c r="D23" s="23"/>
      <c r="E23" s="22" t="s">
        <v>175</v>
      </c>
      <c r="F23" s="24" t="s">
        <v>176</v>
      </c>
      <c r="G23" s="24" t="s">
        <v>177</v>
      </c>
      <c r="H23" s="25" t="s">
        <v>162</v>
      </c>
    </row>
    <row r="24" customFormat="false" ht="15" hidden="false" customHeight="false" outlineLevel="0" collapsed="false">
      <c r="A24" s="21" t="s">
        <v>178</v>
      </c>
      <c r="B24" s="22" t="s">
        <v>157</v>
      </c>
      <c r="C24" s="23" t="s">
        <v>179</v>
      </c>
      <c r="D24" s="23"/>
      <c r="E24" s="22" t="s">
        <v>180</v>
      </c>
      <c r="F24" s="24" t="s">
        <v>181</v>
      </c>
      <c r="G24" s="24" t="s">
        <v>182</v>
      </c>
      <c r="H24" s="25" t="s">
        <v>162</v>
      </c>
    </row>
    <row r="25" customFormat="false" ht="15" hidden="false" customHeight="false" outlineLevel="0" collapsed="false">
      <c r="A25" s="21" t="s">
        <v>183</v>
      </c>
      <c r="B25" s="22" t="s">
        <v>157</v>
      </c>
      <c r="C25" s="23" t="s">
        <v>184</v>
      </c>
      <c r="D25" s="23"/>
      <c r="E25" s="22" t="s">
        <v>185</v>
      </c>
      <c r="F25" s="24" t="s">
        <v>186</v>
      </c>
      <c r="G25" s="24" t="s">
        <v>187</v>
      </c>
      <c r="H25" s="25" t="s">
        <v>162</v>
      </c>
    </row>
    <row r="26" customFormat="false" ht="15" hidden="false" customHeight="false" outlineLevel="0" collapsed="false">
      <c r="A26" s="21" t="s">
        <v>188</v>
      </c>
      <c r="B26" s="22" t="s">
        <v>157</v>
      </c>
      <c r="C26" s="23" t="s">
        <v>189</v>
      </c>
      <c r="D26" s="23"/>
      <c r="E26" s="22" t="s">
        <v>190</v>
      </c>
      <c r="F26" s="24" t="s">
        <v>191</v>
      </c>
      <c r="G26" s="24" t="s">
        <v>192</v>
      </c>
      <c r="H26" s="25" t="s">
        <v>162</v>
      </c>
    </row>
    <row r="27" customFormat="false" ht="15" hidden="false" customHeight="false" outlineLevel="0" collapsed="false">
      <c r="A27" s="21" t="s">
        <v>193</v>
      </c>
      <c r="B27" s="22" t="s">
        <v>157</v>
      </c>
      <c r="C27" s="23" t="s">
        <v>194</v>
      </c>
      <c r="D27" s="23"/>
      <c r="E27" s="22" t="s">
        <v>195</v>
      </c>
      <c r="F27" s="24" t="s">
        <v>196</v>
      </c>
      <c r="G27" s="24" t="s">
        <v>197</v>
      </c>
      <c r="H27" s="25" t="s">
        <v>162</v>
      </c>
    </row>
    <row r="28" customFormat="false" ht="15" hidden="false" customHeight="false" outlineLevel="0" collapsed="false">
      <c r="A28" s="22"/>
      <c r="B28" s="22"/>
      <c r="C28" s="23"/>
      <c r="D28" s="23"/>
      <c r="E28" s="22"/>
      <c r="F28" s="24"/>
      <c r="G28" s="24"/>
      <c r="H28" s="24"/>
    </row>
    <row r="29" customFormat="false" ht="15" hidden="false" customHeight="false" outlineLevel="0" collapsed="false">
      <c r="A29" s="22"/>
      <c r="B29" s="22"/>
      <c r="C29" s="23"/>
      <c r="D29" s="23"/>
      <c r="E29" s="22"/>
      <c r="F29" s="24"/>
      <c r="G29" s="24"/>
      <c r="H29" s="24"/>
    </row>
    <row r="30" customFormat="false" ht="15" hidden="false" customHeight="false" outlineLevel="0" collapsed="false">
      <c r="A30" s="22"/>
      <c r="B30" s="22"/>
      <c r="C30" s="23"/>
      <c r="D30" s="23"/>
      <c r="E30" s="22"/>
      <c r="F30" s="24"/>
      <c r="G30" s="24"/>
      <c r="H30" s="24"/>
    </row>
    <row r="31" customFormat="false" ht="15" hidden="false" customHeight="false" outlineLevel="0" collapsed="false">
      <c r="A31" s="22"/>
      <c r="B31" s="22"/>
      <c r="C31" s="23"/>
      <c r="D31" s="23"/>
      <c r="E31" s="22"/>
      <c r="F31" s="24"/>
      <c r="G31" s="24"/>
      <c r="H31" s="24"/>
    </row>
    <row r="32" customFormat="false" ht="15" hidden="false" customHeight="false" outlineLevel="0" collapsed="false">
      <c r="A32" s="22"/>
      <c r="B32" s="22"/>
      <c r="C32" s="23"/>
      <c r="D32" s="23"/>
      <c r="E32" s="22"/>
      <c r="F32" s="24"/>
      <c r="G32" s="24"/>
      <c r="H32" s="24"/>
    </row>
    <row r="33" customFormat="false" ht="15" hidden="false" customHeight="false" outlineLevel="0" collapsed="false">
      <c r="A33" s="22"/>
      <c r="B33" s="22"/>
      <c r="C33" s="23"/>
      <c r="D33" s="23"/>
      <c r="E33" s="22"/>
      <c r="F33" s="24"/>
      <c r="G33" s="24"/>
      <c r="H33" s="24"/>
    </row>
    <row r="34" customFormat="false" ht="15" hidden="false" customHeight="false" outlineLevel="0" collapsed="false">
      <c r="A34" s="22"/>
      <c r="B34" s="22"/>
      <c r="C34" s="23"/>
      <c r="D34" s="23"/>
      <c r="E34" s="22"/>
      <c r="F34" s="24"/>
      <c r="G34" s="24"/>
      <c r="H34" s="24"/>
    </row>
    <row r="35" customFormat="false" ht="15" hidden="false" customHeight="false" outlineLevel="0" collapsed="false">
      <c r="A35" s="22"/>
      <c r="B35" s="22"/>
      <c r="C35" s="23"/>
      <c r="D35" s="23"/>
      <c r="E35" s="22"/>
      <c r="F35" s="24"/>
      <c r="G35" s="24"/>
      <c r="H35" s="24"/>
    </row>
    <row r="36" customFormat="false" ht="15" hidden="false" customHeight="false" outlineLevel="0" collapsed="false">
      <c r="A36" s="22"/>
      <c r="B36" s="22"/>
      <c r="C36" s="23"/>
      <c r="D36" s="23"/>
      <c r="E36" s="22"/>
      <c r="F36" s="24"/>
      <c r="G36" s="24"/>
      <c r="H36" s="24"/>
    </row>
    <row r="37" customFormat="false" ht="15" hidden="false" customHeight="false" outlineLevel="0" collapsed="false">
      <c r="A37" s="22"/>
      <c r="B37" s="22"/>
      <c r="C37" s="23"/>
      <c r="D37" s="23"/>
      <c r="E37" s="22"/>
      <c r="F37" s="24"/>
      <c r="G37" s="24"/>
      <c r="H37" s="24"/>
    </row>
    <row r="38" customFormat="false" ht="15" hidden="false" customHeight="false" outlineLevel="0" collapsed="false">
      <c r="A38" s="22"/>
      <c r="B38" s="22"/>
      <c r="C38" s="23"/>
      <c r="D38" s="23"/>
      <c r="E38" s="22"/>
      <c r="F38" s="24"/>
      <c r="G38" s="24"/>
      <c r="H38" s="24"/>
    </row>
    <row r="39" customFormat="false" ht="15" hidden="false" customHeight="false" outlineLevel="0" collapsed="false">
      <c r="A39" s="22"/>
      <c r="B39" s="22"/>
      <c r="C39" s="23"/>
      <c r="D39" s="23"/>
      <c r="E39" s="22"/>
      <c r="F39" s="24"/>
      <c r="G39" s="24"/>
      <c r="H39" s="24"/>
    </row>
    <row r="40" customFormat="false" ht="15" hidden="false" customHeight="false" outlineLevel="0" collapsed="false">
      <c r="A40" s="22"/>
      <c r="B40" s="22"/>
      <c r="C40" s="23"/>
      <c r="D40" s="23"/>
      <c r="E40" s="22"/>
      <c r="F40" s="24"/>
      <c r="G40" s="24"/>
      <c r="H40" s="24"/>
    </row>
    <row r="41" customFormat="false" ht="15" hidden="false" customHeight="false" outlineLevel="0" collapsed="false">
      <c r="A41" s="22"/>
      <c r="B41" s="22"/>
      <c r="C41" s="23"/>
      <c r="D41" s="23"/>
      <c r="E41" s="22"/>
      <c r="F41" s="24"/>
      <c r="G41" s="24"/>
      <c r="H41" s="24"/>
    </row>
    <row r="42" customFormat="false" ht="15" hidden="false" customHeight="false" outlineLevel="0" collapsed="false">
      <c r="A42" s="22"/>
      <c r="B42" s="22"/>
      <c r="C42" s="23"/>
      <c r="D42" s="23"/>
      <c r="E42" s="22"/>
      <c r="F42" s="24"/>
      <c r="G42" s="24"/>
      <c r="H42" s="24"/>
    </row>
    <row r="43" customFormat="false" ht="15" hidden="false" customHeight="false" outlineLevel="0" collapsed="false">
      <c r="A43" s="22"/>
      <c r="B43" s="22"/>
      <c r="C43" s="23"/>
      <c r="D43" s="23"/>
      <c r="E43" s="22"/>
      <c r="F43" s="24"/>
      <c r="G43" s="24"/>
      <c r="H43" s="24"/>
    </row>
    <row r="44" customFormat="false" ht="15" hidden="false" customHeight="false" outlineLevel="0" collapsed="false">
      <c r="A44" s="22"/>
      <c r="B44" s="22"/>
      <c r="C44" s="23"/>
      <c r="D44" s="23"/>
      <c r="E44" s="22"/>
      <c r="F44" s="24"/>
      <c r="G44" s="24"/>
      <c r="H44" s="24"/>
    </row>
    <row r="45" customFormat="false" ht="15" hidden="false" customHeight="false" outlineLevel="0" collapsed="false">
      <c r="A45" s="22"/>
      <c r="B45" s="22"/>
      <c r="C45" s="23"/>
      <c r="D45" s="23"/>
      <c r="E45" s="22"/>
      <c r="F45" s="24"/>
      <c r="G45" s="24"/>
      <c r="H45" s="24"/>
    </row>
    <row r="46" customFormat="false" ht="15" hidden="false" customHeight="false" outlineLevel="0" collapsed="false">
      <c r="A46" s="22"/>
      <c r="B46" s="22"/>
      <c r="C46" s="23"/>
      <c r="D46" s="23"/>
      <c r="E46" s="22"/>
      <c r="F46" s="24"/>
      <c r="G46" s="24"/>
      <c r="H46" s="24"/>
    </row>
    <row r="47" customFormat="false" ht="15" hidden="false" customHeight="false" outlineLevel="0" collapsed="false">
      <c r="A47" s="22"/>
      <c r="B47" s="22"/>
      <c r="C47" s="23"/>
      <c r="D47" s="23"/>
      <c r="E47" s="22"/>
      <c r="F47" s="24"/>
      <c r="G47" s="24"/>
      <c r="H47" s="24"/>
    </row>
    <row r="48" customFormat="false" ht="15" hidden="false" customHeight="false" outlineLevel="0" collapsed="false">
      <c r="A48" s="22"/>
      <c r="B48" s="22"/>
      <c r="C48" s="23"/>
      <c r="D48" s="23"/>
      <c r="E48" s="22"/>
      <c r="F48" s="24"/>
      <c r="G48" s="24"/>
      <c r="H48" s="24"/>
    </row>
    <row r="49" customFormat="false" ht="15" hidden="false" customHeight="false" outlineLevel="0" collapsed="false">
      <c r="A49" s="22"/>
      <c r="B49" s="22"/>
      <c r="C49" s="23"/>
      <c r="D49" s="23"/>
      <c r="E49" s="22"/>
      <c r="F49" s="24"/>
      <c r="G49" s="24"/>
      <c r="H49" s="24"/>
    </row>
    <row r="50" customFormat="false" ht="15" hidden="false" customHeight="false" outlineLevel="0" collapsed="false">
      <c r="A50" s="22"/>
      <c r="B50" s="22"/>
      <c r="C50" s="23"/>
      <c r="D50" s="23"/>
      <c r="E50" s="22"/>
      <c r="F50" s="24"/>
      <c r="G50" s="24"/>
      <c r="H50" s="24"/>
    </row>
    <row r="51" customFormat="false" ht="15" hidden="false" customHeight="false" outlineLevel="0" collapsed="false">
      <c r="A51" s="22"/>
      <c r="B51" s="22"/>
      <c r="C51" s="23"/>
      <c r="D51" s="23"/>
      <c r="E51" s="22"/>
      <c r="F51" s="24"/>
      <c r="G51" s="24"/>
      <c r="H51" s="24"/>
    </row>
    <row r="52" customFormat="false" ht="15" hidden="false" customHeight="false" outlineLevel="0" collapsed="false">
      <c r="A52" s="22"/>
      <c r="B52" s="22"/>
      <c r="C52" s="23"/>
      <c r="D52" s="23"/>
      <c r="E52" s="22"/>
      <c r="F52" s="24"/>
      <c r="G52" s="24"/>
      <c r="H52" s="24"/>
    </row>
    <row r="53" customFormat="false" ht="15" hidden="false" customHeight="false" outlineLevel="0" collapsed="false">
      <c r="A53" s="22"/>
      <c r="B53" s="22"/>
      <c r="C53" s="23"/>
      <c r="D53" s="23"/>
      <c r="E53" s="22"/>
      <c r="F53" s="24"/>
      <c r="G53" s="24"/>
      <c r="H53" s="24"/>
    </row>
    <row r="54" customFormat="false" ht="15" hidden="false" customHeight="false" outlineLevel="0" collapsed="false">
      <c r="A54" s="22"/>
      <c r="B54" s="22"/>
      <c r="C54" s="23"/>
      <c r="D54" s="23"/>
      <c r="E54" s="22"/>
      <c r="F54" s="24"/>
      <c r="G54" s="24"/>
      <c r="H54" s="24"/>
    </row>
    <row r="55" customFormat="false" ht="15" hidden="false" customHeight="false" outlineLevel="0" collapsed="false">
      <c r="A55" s="22"/>
      <c r="B55" s="22"/>
      <c r="C55" s="23"/>
      <c r="D55" s="23"/>
      <c r="E55" s="22"/>
      <c r="F55" s="24"/>
      <c r="G55" s="24"/>
      <c r="H55" s="24"/>
    </row>
    <row r="56" customFormat="false" ht="15" hidden="false" customHeight="false" outlineLevel="0" collapsed="false">
      <c r="A56" s="22"/>
      <c r="B56" s="22"/>
      <c r="C56" s="23"/>
      <c r="D56" s="23"/>
      <c r="E56" s="22"/>
      <c r="F56" s="24"/>
      <c r="G56" s="24"/>
      <c r="H56" s="24"/>
    </row>
    <row r="57" customFormat="false" ht="15" hidden="false" customHeight="false" outlineLevel="0" collapsed="false">
      <c r="A57" s="22"/>
      <c r="B57" s="22"/>
      <c r="C57" s="23"/>
      <c r="D57" s="23"/>
      <c r="E57" s="22"/>
      <c r="F57" s="24"/>
      <c r="G57" s="24"/>
      <c r="H57" s="24"/>
    </row>
    <row r="58" customFormat="false" ht="15" hidden="false" customHeight="false" outlineLevel="0" collapsed="false">
      <c r="A58" s="22"/>
      <c r="B58" s="22"/>
      <c r="C58" s="23"/>
      <c r="D58" s="23"/>
      <c r="E58" s="22"/>
      <c r="F58" s="24"/>
      <c r="G58" s="24"/>
      <c r="H58" s="24"/>
    </row>
    <row r="59" customFormat="false" ht="15" hidden="false" customHeight="false" outlineLevel="0" collapsed="false">
      <c r="A59" s="22"/>
      <c r="B59" s="22"/>
      <c r="C59" s="23"/>
      <c r="D59" s="23"/>
      <c r="E59" s="22"/>
      <c r="F59" s="24"/>
      <c r="G59" s="24"/>
      <c r="H59" s="24"/>
    </row>
    <row r="60" customFormat="false" ht="15" hidden="false" customHeight="false" outlineLevel="0" collapsed="false">
      <c r="A60" s="22"/>
      <c r="B60" s="22"/>
      <c r="C60" s="23"/>
      <c r="D60" s="23"/>
      <c r="E60" s="22"/>
      <c r="F60" s="24"/>
      <c r="G60" s="24"/>
      <c r="H60" s="24"/>
    </row>
    <row r="61" customFormat="false" ht="15" hidden="false" customHeight="false" outlineLevel="0" collapsed="false">
      <c r="A61" s="22"/>
      <c r="B61" s="22"/>
      <c r="C61" s="23"/>
      <c r="D61" s="23"/>
      <c r="E61" s="22"/>
      <c r="F61" s="24"/>
      <c r="G61" s="24"/>
      <c r="H61" s="24"/>
    </row>
    <row r="62" customFormat="false" ht="15" hidden="false" customHeight="false" outlineLevel="0" collapsed="false">
      <c r="A62" s="22"/>
      <c r="B62" s="22"/>
      <c r="C62" s="23"/>
      <c r="D62" s="23"/>
      <c r="E62" s="22"/>
      <c r="F62" s="24"/>
      <c r="G62" s="24"/>
      <c r="H62" s="24"/>
    </row>
    <row r="63" customFormat="false" ht="15" hidden="false" customHeight="false" outlineLevel="0" collapsed="false">
      <c r="A63" s="22"/>
      <c r="B63" s="22"/>
      <c r="C63" s="23"/>
      <c r="D63" s="23"/>
      <c r="E63" s="22"/>
      <c r="F63" s="24"/>
      <c r="G63" s="24"/>
      <c r="H63" s="24"/>
    </row>
    <row r="64" customFormat="false" ht="15" hidden="false" customHeight="false" outlineLevel="0" collapsed="false">
      <c r="A64" s="22"/>
      <c r="B64" s="22"/>
      <c r="C64" s="23"/>
      <c r="D64" s="23"/>
      <c r="E64" s="22"/>
      <c r="F64" s="24"/>
      <c r="G64" s="24"/>
      <c r="H64" s="24"/>
    </row>
    <row r="65" customFormat="false" ht="15" hidden="false" customHeight="false" outlineLevel="0" collapsed="false">
      <c r="A65" s="22"/>
      <c r="B65" s="22"/>
      <c r="C65" s="23"/>
      <c r="D65" s="23"/>
      <c r="E65" s="22"/>
      <c r="F65" s="24"/>
      <c r="G65" s="24"/>
      <c r="H65" s="24"/>
    </row>
    <row r="66" customFormat="false" ht="15" hidden="false" customHeight="false" outlineLevel="0" collapsed="false">
      <c r="A66" s="22"/>
      <c r="B66" s="22"/>
      <c r="C66" s="23"/>
      <c r="D66" s="23"/>
      <c r="E66" s="22"/>
      <c r="F66" s="24"/>
      <c r="G66" s="24"/>
      <c r="H66" s="24"/>
    </row>
    <row r="67" customFormat="false" ht="15" hidden="false" customHeight="false" outlineLevel="0" collapsed="false">
      <c r="A67" s="22"/>
      <c r="B67" s="22"/>
      <c r="C67" s="23"/>
      <c r="D67" s="23"/>
      <c r="E67" s="22"/>
      <c r="F67" s="24"/>
      <c r="G67" s="24"/>
      <c r="H67" s="24"/>
    </row>
    <row r="68" customFormat="false" ht="15" hidden="false" customHeight="false" outlineLevel="0" collapsed="false">
      <c r="A68" s="22"/>
      <c r="B68" s="22"/>
      <c r="C68" s="23"/>
      <c r="D68" s="23"/>
      <c r="E68" s="22"/>
      <c r="F68" s="24"/>
      <c r="G68" s="24"/>
      <c r="H68" s="24"/>
    </row>
    <row r="69" customFormat="false" ht="15" hidden="false" customHeight="false" outlineLevel="0" collapsed="false">
      <c r="A69" s="22"/>
      <c r="B69" s="22"/>
      <c r="C69" s="23"/>
      <c r="D69" s="23"/>
      <c r="E69" s="22"/>
      <c r="F69" s="24"/>
      <c r="G69" s="24"/>
      <c r="H69" s="24"/>
    </row>
    <row r="70" customFormat="false" ht="15" hidden="false" customHeight="false" outlineLevel="0" collapsed="false">
      <c r="A70" s="22"/>
      <c r="B70" s="22"/>
      <c r="C70" s="23"/>
      <c r="D70" s="23"/>
      <c r="E70" s="22"/>
      <c r="F70" s="24"/>
      <c r="G70" s="24"/>
      <c r="H70" s="24"/>
    </row>
    <row r="71" customFormat="false" ht="15" hidden="false" customHeight="false" outlineLevel="0" collapsed="false">
      <c r="A71" s="22"/>
      <c r="B71" s="22"/>
      <c r="C71" s="23"/>
      <c r="D71" s="23"/>
      <c r="E71" s="22"/>
      <c r="F71" s="24"/>
      <c r="G71" s="24"/>
      <c r="H71" s="24"/>
    </row>
    <row r="72" customFormat="false" ht="15" hidden="false" customHeight="false" outlineLevel="0" collapsed="false">
      <c r="A72" s="22"/>
      <c r="B72" s="22"/>
      <c r="C72" s="23"/>
      <c r="D72" s="23"/>
      <c r="E72" s="22"/>
      <c r="F72" s="24"/>
      <c r="G72" s="24"/>
      <c r="H72" s="24"/>
    </row>
    <row r="73" customFormat="false" ht="15" hidden="false" customHeight="false" outlineLevel="0" collapsed="false">
      <c r="A73" s="22"/>
      <c r="B73" s="22"/>
      <c r="C73" s="23"/>
      <c r="D73" s="23"/>
      <c r="E73" s="22"/>
      <c r="F73" s="24"/>
      <c r="G73" s="24"/>
      <c r="H73" s="24"/>
    </row>
    <row r="74" customFormat="false" ht="15" hidden="false" customHeight="false" outlineLevel="0" collapsed="false">
      <c r="A74" s="22"/>
      <c r="B74" s="22"/>
      <c r="C74" s="23"/>
      <c r="D74" s="23"/>
      <c r="E74" s="22"/>
      <c r="F74" s="24"/>
      <c r="G74" s="24"/>
      <c r="H74" s="24"/>
    </row>
    <row r="75" customFormat="false" ht="15" hidden="false" customHeight="false" outlineLevel="0" collapsed="false">
      <c r="A75" s="22"/>
      <c r="B75" s="22"/>
      <c r="C75" s="23"/>
      <c r="D75" s="23"/>
      <c r="E75" s="22"/>
      <c r="F75" s="24"/>
      <c r="G75" s="24"/>
      <c r="H75" s="24"/>
    </row>
    <row r="76" customFormat="false" ht="15" hidden="false" customHeight="false" outlineLevel="0" collapsed="false">
      <c r="A76" s="22"/>
      <c r="B76" s="22"/>
      <c r="C76" s="23"/>
      <c r="D76" s="23"/>
      <c r="E76" s="22"/>
      <c r="F76" s="24"/>
      <c r="G76" s="24"/>
      <c r="H76" s="24"/>
    </row>
    <row r="77" customFormat="false" ht="15" hidden="false" customHeight="false" outlineLevel="0" collapsed="false">
      <c r="A77" s="22"/>
      <c r="B77" s="22"/>
      <c r="C77" s="23"/>
      <c r="D77" s="23"/>
      <c r="E77" s="22"/>
      <c r="F77" s="24"/>
      <c r="G77" s="24"/>
      <c r="H77" s="24"/>
    </row>
    <row r="78" customFormat="false" ht="15" hidden="false" customHeight="false" outlineLevel="0" collapsed="false">
      <c r="A78" s="22"/>
      <c r="B78" s="22"/>
      <c r="C78" s="23"/>
      <c r="D78" s="23"/>
      <c r="E78" s="22"/>
      <c r="F78" s="24"/>
      <c r="G78" s="24"/>
      <c r="H78" s="24"/>
    </row>
    <row r="79" customFormat="false" ht="15" hidden="false" customHeight="false" outlineLevel="0" collapsed="false">
      <c r="A79" s="22"/>
      <c r="B79" s="22"/>
      <c r="C79" s="23"/>
      <c r="D79" s="23"/>
      <c r="E79" s="22"/>
      <c r="F79" s="24"/>
      <c r="G79" s="24"/>
      <c r="H79" s="24"/>
    </row>
    <row r="80" customFormat="false" ht="15" hidden="false" customHeight="false" outlineLevel="0" collapsed="false">
      <c r="A80" s="22"/>
      <c r="B80" s="22"/>
      <c r="C80" s="23"/>
      <c r="D80" s="23"/>
      <c r="E80" s="22"/>
      <c r="F80" s="24"/>
      <c r="G80" s="24"/>
      <c r="H80" s="24"/>
    </row>
    <row r="81" customFormat="false" ht="15" hidden="false" customHeight="false" outlineLevel="0" collapsed="false">
      <c r="A81" s="22"/>
      <c r="B81" s="22"/>
      <c r="C81" s="23"/>
      <c r="D81" s="23"/>
      <c r="E81" s="22"/>
      <c r="F81" s="24"/>
      <c r="G81" s="24"/>
      <c r="H81" s="24"/>
    </row>
    <row r="82" customFormat="false" ht="15" hidden="false" customHeight="false" outlineLevel="0" collapsed="false">
      <c r="A82" s="22"/>
      <c r="B82" s="22"/>
      <c r="C82" s="23"/>
      <c r="D82" s="23"/>
      <c r="E82" s="22"/>
      <c r="F82" s="24"/>
      <c r="G82" s="24"/>
      <c r="H82" s="24"/>
    </row>
    <row r="83" customFormat="false" ht="15" hidden="false" customHeight="false" outlineLevel="0" collapsed="false">
      <c r="A83" s="22"/>
      <c r="B83" s="22"/>
      <c r="C83" s="23"/>
      <c r="D83" s="23"/>
      <c r="E83" s="22"/>
      <c r="F83" s="24"/>
      <c r="G83" s="24"/>
      <c r="H83" s="24"/>
    </row>
    <row r="84" customFormat="false" ht="15" hidden="false" customHeight="false" outlineLevel="0" collapsed="false">
      <c r="A84" s="22"/>
      <c r="B84" s="22"/>
      <c r="C84" s="23"/>
      <c r="D84" s="23"/>
      <c r="E84" s="22"/>
      <c r="F84" s="24"/>
      <c r="G84" s="24"/>
      <c r="H84" s="24"/>
    </row>
    <row r="85" customFormat="false" ht="15" hidden="false" customHeight="false" outlineLevel="0" collapsed="false">
      <c r="A85" s="22"/>
      <c r="B85" s="22"/>
      <c r="C85" s="23"/>
      <c r="D85" s="23"/>
      <c r="E85" s="22"/>
      <c r="F85" s="24"/>
      <c r="G85" s="24"/>
      <c r="H85" s="24"/>
    </row>
    <row r="86" customFormat="false" ht="15" hidden="false" customHeight="false" outlineLevel="0" collapsed="false">
      <c r="A86" s="22"/>
      <c r="B86" s="22"/>
      <c r="C86" s="23"/>
      <c r="D86" s="23"/>
      <c r="E86" s="22"/>
      <c r="F86" s="24"/>
      <c r="G86" s="24"/>
      <c r="H86" s="24"/>
    </row>
    <row r="87" customFormat="false" ht="15" hidden="false" customHeight="false" outlineLevel="0" collapsed="false">
      <c r="A87" s="22"/>
      <c r="B87" s="22"/>
      <c r="C87" s="23"/>
      <c r="D87" s="23"/>
      <c r="E87" s="22"/>
      <c r="F87" s="24"/>
      <c r="G87" s="24"/>
      <c r="H87" s="24"/>
    </row>
    <row r="88" customFormat="false" ht="15" hidden="false" customHeight="false" outlineLevel="0" collapsed="false">
      <c r="A88" s="22"/>
      <c r="B88" s="22"/>
      <c r="C88" s="23"/>
      <c r="D88" s="23"/>
      <c r="E88" s="22"/>
      <c r="F88" s="24"/>
      <c r="G88" s="24"/>
      <c r="H88" s="24"/>
    </row>
    <row r="89" customFormat="false" ht="15" hidden="false" customHeight="false" outlineLevel="0" collapsed="false">
      <c r="A89" s="22"/>
      <c r="B89" s="22"/>
      <c r="C89" s="23"/>
      <c r="D89" s="23"/>
      <c r="E89" s="22"/>
      <c r="F89" s="24"/>
      <c r="G89" s="24"/>
      <c r="H89" s="24"/>
    </row>
    <row r="90" customFormat="false" ht="15" hidden="false" customHeight="false" outlineLevel="0" collapsed="false">
      <c r="A90" s="22"/>
      <c r="B90" s="22"/>
      <c r="C90" s="23"/>
      <c r="D90" s="23"/>
      <c r="E90" s="22"/>
      <c r="F90" s="24"/>
      <c r="G90" s="24"/>
      <c r="H90" s="24"/>
    </row>
    <row r="91" customFormat="false" ht="15" hidden="false" customHeight="false" outlineLevel="0" collapsed="false">
      <c r="A91" s="22"/>
      <c r="B91" s="22"/>
      <c r="C91" s="23"/>
      <c r="D91" s="23"/>
      <c r="E91" s="22"/>
      <c r="F91" s="24"/>
      <c r="G91" s="24"/>
      <c r="H91" s="24"/>
    </row>
    <row r="92" customFormat="false" ht="15" hidden="false" customHeight="false" outlineLevel="0" collapsed="false">
      <c r="A92" s="22"/>
      <c r="B92" s="22"/>
      <c r="C92" s="23"/>
      <c r="D92" s="23"/>
      <c r="E92" s="22"/>
      <c r="F92" s="24"/>
      <c r="G92" s="24"/>
      <c r="H92" s="24"/>
    </row>
    <row r="93" customFormat="false" ht="15" hidden="false" customHeight="false" outlineLevel="0" collapsed="false">
      <c r="A93" s="22"/>
      <c r="B93" s="22"/>
      <c r="C93" s="23"/>
      <c r="D93" s="23"/>
      <c r="E93" s="22"/>
      <c r="F93" s="24"/>
      <c r="G93" s="24"/>
      <c r="H93" s="24"/>
    </row>
    <row r="94" customFormat="false" ht="15" hidden="false" customHeight="false" outlineLevel="0" collapsed="false">
      <c r="A94" s="22"/>
      <c r="B94" s="22"/>
      <c r="C94" s="23"/>
      <c r="D94" s="23"/>
      <c r="E94" s="22"/>
      <c r="F94" s="24"/>
      <c r="G94" s="24"/>
      <c r="H94" s="24"/>
    </row>
    <row r="95" customFormat="false" ht="15" hidden="false" customHeight="false" outlineLevel="0" collapsed="false">
      <c r="A95" s="22"/>
      <c r="B95" s="22"/>
      <c r="C95" s="23"/>
      <c r="D95" s="23"/>
      <c r="E95" s="22"/>
      <c r="F95" s="24"/>
      <c r="G95" s="24"/>
      <c r="H95" s="24"/>
    </row>
    <row r="96" customFormat="false" ht="15" hidden="false" customHeight="false" outlineLevel="0" collapsed="false">
      <c r="A96" s="22"/>
      <c r="B96" s="22"/>
      <c r="C96" s="23"/>
      <c r="D96" s="23"/>
      <c r="E96" s="22"/>
      <c r="F96" s="24"/>
      <c r="G96" s="24"/>
      <c r="H96" s="24"/>
    </row>
    <row r="97" customFormat="false" ht="15" hidden="false" customHeight="false" outlineLevel="0" collapsed="false">
      <c r="A97" s="22"/>
      <c r="B97" s="22"/>
      <c r="C97" s="23"/>
      <c r="D97" s="23"/>
      <c r="E97" s="22"/>
      <c r="F97" s="24"/>
      <c r="G97" s="24"/>
      <c r="H97" s="24"/>
    </row>
    <row r="98" customFormat="false" ht="15" hidden="false" customHeight="false" outlineLevel="0" collapsed="false">
      <c r="A98" s="22"/>
      <c r="B98" s="22"/>
      <c r="C98" s="23"/>
      <c r="D98" s="23"/>
      <c r="E98" s="22"/>
      <c r="F98" s="24"/>
      <c r="G98" s="24"/>
      <c r="H98" s="24"/>
    </row>
    <row r="99" customFormat="false" ht="15" hidden="false" customHeight="false" outlineLevel="0" collapsed="false">
      <c r="A99" s="22"/>
      <c r="B99" s="22"/>
      <c r="C99" s="23"/>
      <c r="D99" s="23"/>
      <c r="E99" s="22"/>
      <c r="F99" s="24"/>
      <c r="G99" s="24"/>
      <c r="H99" s="24"/>
    </row>
    <row r="100" customFormat="false" ht="15" hidden="false" customHeight="false" outlineLevel="0" collapsed="false">
      <c r="A100" s="22"/>
      <c r="B100" s="22"/>
      <c r="C100" s="23"/>
      <c r="D100" s="23"/>
      <c r="E100" s="22"/>
      <c r="F100" s="24"/>
      <c r="G100" s="24"/>
      <c r="H100" s="24"/>
    </row>
    <row r="101" customFormat="false" ht="15" hidden="false" customHeight="false" outlineLevel="0" collapsed="false">
      <c r="A101" s="22"/>
      <c r="B101" s="22"/>
      <c r="C101" s="23"/>
      <c r="D101" s="23"/>
      <c r="E101" s="22"/>
      <c r="F101" s="24"/>
      <c r="G101" s="24"/>
      <c r="H101" s="24"/>
    </row>
    <row r="102" customFormat="false" ht="15" hidden="false" customHeight="false" outlineLevel="0" collapsed="false">
      <c r="A102" s="22"/>
      <c r="B102" s="22"/>
      <c r="C102" s="23"/>
      <c r="D102" s="23"/>
      <c r="E102" s="22"/>
      <c r="F102" s="24"/>
      <c r="G102" s="24"/>
      <c r="H102" s="24"/>
    </row>
    <row r="103" customFormat="false" ht="15" hidden="false" customHeight="false" outlineLevel="0" collapsed="false">
      <c r="A103" s="22"/>
      <c r="B103" s="22"/>
      <c r="C103" s="23"/>
      <c r="D103" s="23"/>
      <c r="E103" s="22"/>
      <c r="F103" s="24"/>
      <c r="G103" s="24"/>
      <c r="H103" s="24"/>
    </row>
  </sheetData>
  <autoFilter ref="A3:H103"/>
  <dataValidations count="2">
    <dataValidation allowBlank="true" error="블록 / 바이브 / 상상 중에서 고르세요." errorStyle="stop" operator="between" showDropDown="false" showErrorMessage="false" showInputMessage="false" sqref="B4:B103" type="list">
      <formula1>"블록,바이브,상상"</formula1>
      <formula2>0</formula2>
    </dataValidation>
    <dataValidation allowBlank="true" error="학년반은 4-2처럼 '학년-반'으로 입력하세요 (1-1 ~ 6-7)." errorStyle="stop" errorTitle="학년반 형식" operator="between" prompt="4-2처럼 '학년-반' (목록에서 선택)" showDropDown="false" showErrorMessage="false" showInputMessage="true" sqref="C4:D103" type="list">
      <formula1>"1-1,1-2,1-3,1-4,1-5,1-6,1-7,2-1,2-2,2-3,2-4,2-5,2-6,2-7,3-1,3-2,3-3,3-4,3-5,3-6,3-7,4-1,4-2,4-3,4-4,4-5,4-6,4-7,5-1,5-2,5-3,5-4,5-5,5-6,5-7,6-1,6-2,6-3,6-4,6-5,6-6,6-7"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18" min="4" style="0" width="7.5"/>
    <col collapsed="false" customWidth="true" hidden="false" outlineLevel="0" max="19" min="19" style="0" width="11"/>
    <col collapsed="false" customWidth="true" hidden="false" outlineLevel="0" max="20" min="20" style="0" width="13"/>
  </cols>
  <sheetData>
    <row r="1" customFormat="false" ht="27.75" hidden="false" customHeight="true" outlineLevel="0" collapsed="false">
      <c r="A1" s="19" t="s">
        <v>198</v>
      </c>
    </row>
    <row r="2" customFormat="false" ht="15" hidden="false" customHeight="false" outlineLevel="0" collapsed="false">
      <c r="A2" s="20" t="s">
        <v>199</v>
      </c>
    </row>
    <row r="3" customFormat="false" ht="15" hidden="false" customHeight="true" outlineLevel="0" collapsed="false">
      <c r="A3" s="4" t="s">
        <v>50</v>
      </c>
      <c r="B3" s="4" t="s">
        <v>51</v>
      </c>
      <c r="C3" s="4" t="s">
        <v>56</v>
      </c>
      <c r="D3" s="4" t="s">
        <v>200</v>
      </c>
      <c r="E3" s="4"/>
      <c r="F3" s="4"/>
      <c r="G3" s="4"/>
      <c r="H3" s="4"/>
      <c r="I3" s="4" t="s">
        <v>201</v>
      </c>
      <c r="J3" s="4"/>
      <c r="K3" s="4"/>
      <c r="L3" s="4"/>
      <c r="M3" s="4"/>
      <c r="N3" s="4" t="s">
        <v>202</v>
      </c>
      <c r="O3" s="4"/>
      <c r="P3" s="4"/>
      <c r="Q3" s="4"/>
      <c r="R3" s="4"/>
      <c r="S3" s="4" t="s">
        <v>203</v>
      </c>
      <c r="T3" s="4" t="s">
        <v>204</v>
      </c>
    </row>
    <row r="4" customFormat="false" ht="42" hidden="false" customHeight="true" outlineLevel="0" collapsed="false">
      <c r="A4" s="4"/>
      <c r="B4" s="4"/>
      <c r="C4" s="4"/>
      <c r="D4" s="26" t="s">
        <v>205</v>
      </c>
      <c r="E4" s="26" t="s">
        <v>206</v>
      </c>
      <c r="F4" s="26" t="s">
        <v>207</v>
      </c>
      <c r="G4" s="26" t="s">
        <v>208</v>
      </c>
      <c r="H4" s="26" t="s">
        <v>209</v>
      </c>
      <c r="I4" s="26" t="s">
        <v>205</v>
      </c>
      <c r="J4" s="26" t="s">
        <v>206</v>
      </c>
      <c r="K4" s="26" t="s">
        <v>207</v>
      </c>
      <c r="L4" s="26" t="s">
        <v>208</v>
      </c>
      <c r="M4" s="26" t="s">
        <v>209</v>
      </c>
      <c r="N4" s="26" t="s">
        <v>205</v>
      </c>
      <c r="O4" s="26" t="s">
        <v>206</v>
      </c>
      <c r="P4" s="26" t="s">
        <v>207</v>
      </c>
      <c r="Q4" s="26" t="s">
        <v>208</v>
      </c>
      <c r="R4" s="26" t="s">
        <v>209</v>
      </c>
      <c r="S4" s="4"/>
      <c r="T4" s="4"/>
    </row>
    <row r="5" customFormat="false" ht="15" hidden="false" customHeight="false" outlineLevel="0" collapsed="false">
      <c r="A5" s="21" t="s">
        <v>58</v>
      </c>
      <c r="B5" s="27" t="str">
        <f aca="false">IF(A5="","",IFERROR(INDEX(작품목록!$B$4:$B$103,MATCH(A5,작품목록!$A$4:$A$103,0)),"번호 확인"))</f>
        <v>블록</v>
      </c>
      <c r="C5" s="28" t="str">
        <f aca="false">IF(A5="","",IFERROR(INDEX(작품목록!$G$4:$G$103,MATCH(A5,작품목록!$A$4:$A$103,0)),"작품목록에 없음"))</f>
        <v>구구단 우주선</v>
      </c>
      <c r="D5" s="21" t="n">
        <v>13</v>
      </c>
      <c r="E5" s="21" t="n">
        <v>14</v>
      </c>
      <c r="F5" s="21" t="n">
        <v>14</v>
      </c>
      <c r="G5" s="21" t="n">
        <v>5</v>
      </c>
      <c r="H5" s="27" t="n">
        <f aca="false">IF(COUNT(D5:G5)=0,"",SUM(D5:G5))</f>
        <v>46</v>
      </c>
      <c r="I5" s="21" t="n">
        <v>13</v>
      </c>
      <c r="J5" s="21" t="n">
        <v>13</v>
      </c>
      <c r="K5" s="21" t="n">
        <v>14</v>
      </c>
      <c r="L5" s="21" t="n">
        <v>5</v>
      </c>
      <c r="M5" s="27" t="n">
        <f aca="false">IF(COUNT(I5:L5)=0,"",SUM(I5:L5))</f>
        <v>45</v>
      </c>
      <c r="N5" s="21" t="n">
        <v>14</v>
      </c>
      <c r="O5" s="21" t="n">
        <v>14</v>
      </c>
      <c r="P5" s="21" t="n">
        <v>14</v>
      </c>
      <c r="Q5" s="21" t="n">
        <v>5</v>
      </c>
      <c r="R5" s="27" t="n">
        <f aca="false">IF(COUNT(N5:Q5)=0,"",SUM(N5:Q5))</f>
        <v>47</v>
      </c>
      <c r="S5" s="29" t="n">
        <f aca="false">IF(COUNT(H5,M5,R5)=0,"",ROUND(AVERAGE(H5,M5,R5),2))</f>
        <v>46</v>
      </c>
      <c r="T5" s="30" t="n">
        <f aca="false">IF(COUNT(F5,K5,P5)=0,"",ROUND(AVERAGE(F5,K5,P5),2))</f>
        <v>14</v>
      </c>
    </row>
    <row r="6" customFormat="false" ht="15" hidden="false" customHeight="false" outlineLevel="0" collapsed="false">
      <c r="A6" s="21" t="s">
        <v>65</v>
      </c>
      <c r="B6" s="27" t="str">
        <f aca="false">IF(A6="","",IFERROR(INDEX(작품목록!$B$4:$B$103,MATCH(A6,작품목록!$A$4:$A$103,0)),"번호 확인"))</f>
        <v>블록</v>
      </c>
      <c r="C6" s="28" t="str">
        <f aca="false">IF(A6="","",IFERROR(INDEX(작품목록!$G$4:$G$103,MATCH(A6,작품목록!$A$4:$A$103,0)),"작품목록에 없음"))</f>
        <v>영어 단어 짝 맞추기</v>
      </c>
      <c r="D6" s="21" t="n">
        <v>13</v>
      </c>
      <c r="E6" s="21" t="n">
        <v>12</v>
      </c>
      <c r="F6" s="21" t="n">
        <v>11</v>
      </c>
      <c r="G6" s="21" t="n">
        <v>4</v>
      </c>
      <c r="H6" s="27" t="n">
        <f aca="false">IF(COUNT(D6:G6)=0,"",SUM(D6:G6))</f>
        <v>40</v>
      </c>
      <c r="I6" s="21" t="n">
        <v>11</v>
      </c>
      <c r="J6" s="21" t="n">
        <v>13</v>
      </c>
      <c r="K6" s="21" t="n">
        <v>12</v>
      </c>
      <c r="L6" s="21" t="n">
        <v>4</v>
      </c>
      <c r="M6" s="27" t="n">
        <f aca="false">IF(COUNT(I6:L6)=0,"",SUM(I6:L6))</f>
        <v>40</v>
      </c>
      <c r="N6" s="21" t="n">
        <v>12</v>
      </c>
      <c r="O6" s="21" t="n">
        <v>12</v>
      </c>
      <c r="P6" s="21" t="n">
        <v>11</v>
      </c>
      <c r="Q6" s="21" t="n">
        <v>4</v>
      </c>
      <c r="R6" s="27" t="n">
        <f aca="false">IF(COUNT(N6:Q6)=0,"",SUM(N6:Q6))</f>
        <v>39</v>
      </c>
      <c r="S6" s="29" t="n">
        <f aca="false">IF(COUNT(H6,M6,R6)=0,"",ROUND(AVERAGE(H6,M6,R6),2))</f>
        <v>39.67</v>
      </c>
      <c r="T6" s="30" t="n">
        <f aca="false">IF(COUNT(F6,K6,P6)=0,"",ROUND(AVERAGE(F6,K6,P6),2))</f>
        <v>11.33</v>
      </c>
    </row>
    <row r="7" customFormat="false" ht="15" hidden="false" customHeight="false" outlineLevel="0" collapsed="false">
      <c r="A7" s="21" t="s">
        <v>71</v>
      </c>
      <c r="B7" s="27" t="str">
        <f aca="false">IF(A7="","",IFERROR(INDEX(작품목록!$B$4:$B$103,MATCH(A7,작품목록!$A$4:$A$103,0)),"번호 확인"))</f>
        <v>블록</v>
      </c>
      <c r="C7" s="28" t="str">
        <f aca="false">IF(A7="","",IFERROR(INDEX(작품목록!$G$4:$G$103,MATCH(A7,작품목록!$A$4:$A$103,0)),"작품목록에 없음"))</f>
        <v>씨앗 키우기 순서 게임</v>
      </c>
      <c r="D7" s="21" t="n">
        <v>12</v>
      </c>
      <c r="E7" s="21" t="n">
        <v>12</v>
      </c>
      <c r="F7" s="21" t="n">
        <v>11</v>
      </c>
      <c r="G7" s="21" t="n">
        <v>4</v>
      </c>
      <c r="H7" s="27" t="n">
        <f aca="false">IF(COUNT(D7:G7)=0,"",SUM(D7:G7))</f>
        <v>39</v>
      </c>
      <c r="I7" s="21" t="n">
        <v>11</v>
      </c>
      <c r="J7" s="21" t="n">
        <v>9</v>
      </c>
      <c r="K7" s="21" t="n">
        <v>10</v>
      </c>
      <c r="L7" s="21" t="n">
        <v>4</v>
      </c>
      <c r="M7" s="27" t="n">
        <f aca="false">IF(COUNT(I7:L7)=0,"",SUM(I7:L7))</f>
        <v>34</v>
      </c>
      <c r="N7" s="21" t="n">
        <v>10</v>
      </c>
      <c r="O7" s="21" t="n">
        <v>10</v>
      </c>
      <c r="P7" s="21" t="n">
        <v>11</v>
      </c>
      <c r="Q7" s="21" t="n">
        <v>4</v>
      </c>
      <c r="R7" s="27" t="n">
        <f aca="false">IF(COUNT(N7:Q7)=0,"",SUM(N7:Q7))</f>
        <v>35</v>
      </c>
      <c r="S7" s="29" t="n">
        <f aca="false">IF(COUNT(H7,M7,R7)=0,"",ROUND(AVERAGE(H7,M7,R7),2))</f>
        <v>36</v>
      </c>
      <c r="T7" s="30" t="n">
        <f aca="false">IF(COUNT(F7,K7,P7)=0,"",ROUND(AVERAGE(F7,K7,P7),2))</f>
        <v>10.67</v>
      </c>
    </row>
    <row r="8" customFormat="false" ht="15" hidden="false" customHeight="false" outlineLevel="0" collapsed="false">
      <c r="A8" s="21" t="s">
        <v>77</v>
      </c>
      <c r="B8" s="27" t="str">
        <f aca="false">IF(A8="","",IFERROR(INDEX(작품목록!$B$4:$B$103,MATCH(A8,작품목록!$A$4:$A$103,0)),"번호 확인"))</f>
        <v>블록</v>
      </c>
      <c r="C8" s="28" t="str">
        <f aca="false">IF(A8="","",IFERROR(INDEX(작품목록!$G$4:$G$103,MATCH(A8,작품목록!$A$4:$A$103,0)),"작품목록에 없음"))</f>
        <v>배수 사냥꾼</v>
      </c>
      <c r="D8" s="21" t="n">
        <v>13</v>
      </c>
      <c r="E8" s="21" t="n">
        <v>12</v>
      </c>
      <c r="F8" s="21" t="n">
        <v>13</v>
      </c>
      <c r="G8" s="21" t="n">
        <v>4</v>
      </c>
      <c r="H8" s="27" t="n">
        <f aca="false">IF(COUNT(D8:G8)=0,"",SUM(D8:G8))</f>
        <v>42</v>
      </c>
      <c r="I8" s="21" t="n">
        <v>13</v>
      </c>
      <c r="J8" s="21" t="n">
        <v>13</v>
      </c>
      <c r="K8" s="21" t="n">
        <v>13</v>
      </c>
      <c r="L8" s="21" t="n">
        <v>4</v>
      </c>
      <c r="M8" s="27" t="n">
        <f aca="false">IF(COUNT(I8:L8)=0,"",SUM(I8:L8))</f>
        <v>43</v>
      </c>
      <c r="N8" s="21" t="n">
        <v>12</v>
      </c>
      <c r="O8" s="21" t="n">
        <v>13</v>
      </c>
      <c r="P8" s="21" t="n">
        <v>14</v>
      </c>
      <c r="Q8" s="21" t="n">
        <v>4</v>
      </c>
      <c r="R8" s="27" t="n">
        <f aca="false">IF(COUNT(N8:Q8)=0,"",SUM(N8:Q8))</f>
        <v>43</v>
      </c>
      <c r="S8" s="29" t="n">
        <f aca="false">IF(COUNT(H8,M8,R8)=0,"",ROUND(AVERAGE(H8,M8,R8),2))</f>
        <v>42.67</v>
      </c>
      <c r="T8" s="30" t="n">
        <f aca="false">IF(COUNT(F8,K8,P8)=0,"",ROUND(AVERAGE(F8,K8,P8),2))</f>
        <v>13.33</v>
      </c>
    </row>
    <row r="9" customFormat="false" ht="15" hidden="false" customHeight="false" outlineLevel="0" collapsed="false">
      <c r="A9" s="21" t="s">
        <v>84</v>
      </c>
      <c r="B9" s="27" t="str">
        <f aca="false">IF(A9="","",IFERROR(INDEX(작품목록!$B$4:$B$103,MATCH(A9,작품목록!$A$4:$A$103,0)),"번호 확인"))</f>
        <v>블록</v>
      </c>
      <c r="C9" s="28" t="str">
        <f aca="false">IF(A9="","",IFERROR(INDEX(작품목록!$G$4:$G$103,MATCH(A9,작품목록!$A$4:$A$103,0)),"작품목록에 없음"))</f>
        <v>낱말 바구니 분류하기</v>
      </c>
      <c r="D9" s="21" t="n">
        <v>9</v>
      </c>
      <c r="E9" s="21" t="n">
        <v>10</v>
      </c>
      <c r="F9" s="21" t="n">
        <v>9</v>
      </c>
      <c r="G9" s="21" t="n">
        <v>3</v>
      </c>
      <c r="H9" s="27" t="n">
        <f aca="false">IF(COUNT(D9:G9)=0,"",SUM(D9:G9))</f>
        <v>31</v>
      </c>
      <c r="I9" s="21" t="n">
        <v>10</v>
      </c>
      <c r="J9" s="21" t="n">
        <v>9</v>
      </c>
      <c r="K9" s="21" t="n">
        <v>9</v>
      </c>
      <c r="L9" s="21" t="n">
        <v>3</v>
      </c>
      <c r="M9" s="27" t="n">
        <f aca="false">IF(COUNT(I9:L9)=0,"",SUM(I9:L9))</f>
        <v>31</v>
      </c>
      <c r="N9" s="21" t="n">
        <v>9</v>
      </c>
      <c r="O9" s="21" t="n">
        <v>8</v>
      </c>
      <c r="P9" s="21" t="n">
        <v>8</v>
      </c>
      <c r="Q9" s="21" t="n">
        <v>3</v>
      </c>
      <c r="R9" s="27" t="n">
        <f aca="false">IF(COUNT(N9:Q9)=0,"",SUM(N9:Q9))</f>
        <v>28</v>
      </c>
      <c r="S9" s="29" t="n">
        <f aca="false">IF(COUNT(H9,M9,R9)=0,"",ROUND(AVERAGE(H9,M9,R9),2))</f>
        <v>30</v>
      </c>
      <c r="T9" s="30" t="n">
        <f aca="false">IF(COUNT(F9,K9,P9)=0,"",ROUND(AVERAGE(F9,K9,P9),2))</f>
        <v>8.67</v>
      </c>
    </row>
    <row r="10" customFormat="false" ht="15" hidden="false" customHeight="false" outlineLevel="0" collapsed="false">
      <c r="A10" s="21" t="s">
        <v>90</v>
      </c>
      <c r="B10" s="27" t="str">
        <f aca="false">IF(A10="","",IFERROR(INDEX(작품목록!$B$4:$B$103,MATCH(A10,작품목록!$A$4:$A$103,0)),"번호 확인"))</f>
        <v>블록</v>
      </c>
      <c r="C10" s="28" t="str">
        <f aca="false">IF(A10="","",IFERROR(INDEX(작품목록!$G$4:$G$103,MATCH(A10,작품목록!$A$4:$A$103,0)),"작품목록에 없음"))</f>
        <v>행성 순서 맞히기</v>
      </c>
      <c r="D10" s="21" t="n">
        <v>13</v>
      </c>
      <c r="E10" s="21" t="n">
        <v>11</v>
      </c>
      <c r="F10" s="21" t="n">
        <v>12</v>
      </c>
      <c r="G10" s="21" t="n">
        <v>4</v>
      </c>
      <c r="H10" s="27" t="n">
        <f aca="false">IF(COUNT(D10:G10)=0,"",SUM(D10:G10))</f>
        <v>40</v>
      </c>
      <c r="I10" s="21" t="n">
        <v>12</v>
      </c>
      <c r="J10" s="21" t="n">
        <v>11</v>
      </c>
      <c r="K10" s="21" t="n">
        <v>13</v>
      </c>
      <c r="L10" s="21" t="n">
        <v>4</v>
      </c>
      <c r="M10" s="27" t="n">
        <f aca="false">IF(COUNT(I10:L10)=0,"",SUM(I10:L10))</f>
        <v>40</v>
      </c>
      <c r="N10" s="21" t="n">
        <v>12</v>
      </c>
      <c r="O10" s="21" t="n">
        <v>12</v>
      </c>
      <c r="P10" s="21" t="n">
        <v>13</v>
      </c>
      <c r="Q10" s="21" t="n">
        <v>4</v>
      </c>
      <c r="R10" s="27" t="n">
        <f aca="false">IF(COUNT(N10:Q10)=0,"",SUM(N10:Q10))</f>
        <v>41</v>
      </c>
      <c r="S10" s="29" t="n">
        <f aca="false">IF(COUNT(H10,M10,R10)=0,"",ROUND(AVERAGE(H10,M10,R10),2))</f>
        <v>40.33</v>
      </c>
      <c r="T10" s="30" t="n">
        <f aca="false">IF(COUNT(F10,K10,P10)=0,"",ROUND(AVERAGE(F10,K10,P10),2))</f>
        <v>12.67</v>
      </c>
    </row>
    <row r="11" customFormat="false" ht="15" hidden="false" customHeight="false" outlineLevel="0" collapsed="false">
      <c r="A11" s="21" t="s">
        <v>96</v>
      </c>
      <c r="B11" s="27" t="str">
        <f aca="false">IF(A11="","",IFERROR(INDEX(작품목록!$B$4:$B$103,MATCH(A11,작품목록!$A$4:$A$103,0)),"번호 확인"))</f>
        <v>블록</v>
      </c>
      <c r="C11" s="28" t="str">
        <f aca="false">IF(A11="","",IFERROR(INDEX(작품목록!$G$4:$G$103,MATCH(A11,작품목록!$A$4:$A$103,0)),"작품목록에 없음"))</f>
        <v>우리 지역 지도 탐험</v>
      </c>
      <c r="D11" s="21" t="n">
        <v>10</v>
      </c>
      <c r="E11" s="21" t="n">
        <v>10</v>
      </c>
      <c r="F11" s="21" t="n">
        <v>10</v>
      </c>
      <c r="G11" s="21" t="n">
        <v>3</v>
      </c>
      <c r="H11" s="27" t="n">
        <f aca="false">IF(COUNT(D11:G11)=0,"",SUM(D11:G11))</f>
        <v>33</v>
      </c>
      <c r="I11" s="21" t="n">
        <v>11</v>
      </c>
      <c r="J11" s="21" t="n">
        <v>10</v>
      </c>
      <c r="K11" s="21" t="n">
        <v>10</v>
      </c>
      <c r="L11" s="21" t="n">
        <v>4</v>
      </c>
      <c r="M11" s="27" t="n">
        <f aca="false">IF(COUNT(I11:L11)=0,"",SUM(I11:L11))</f>
        <v>35</v>
      </c>
      <c r="N11" s="21" t="n">
        <v>10</v>
      </c>
      <c r="O11" s="21" t="n">
        <v>9</v>
      </c>
      <c r="P11" s="21" t="n">
        <v>9</v>
      </c>
      <c r="Q11" s="21" t="n">
        <v>3</v>
      </c>
      <c r="R11" s="27" t="n">
        <f aca="false">IF(COUNT(N11:Q11)=0,"",SUM(N11:Q11))</f>
        <v>31</v>
      </c>
      <c r="S11" s="29" t="n">
        <f aca="false">IF(COUNT(H11,M11,R11)=0,"",ROUND(AVERAGE(H11,M11,R11),2))</f>
        <v>33</v>
      </c>
      <c r="T11" s="30" t="n">
        <f aca="false">IF(COUNT(F11,K11,P11)=0,"",ROUND(AVERAGE(F11,K11,P11),2))</f>
        <v>9.67</v>
      </c>
    </row>
    <row r="12" customFormat="false" ht="15" hidden="false" customHeight="false" outlineLevel="0" collapsed="false">
      <c r="A12" s="21" t="s">
        <v>102</v>
      </c>
      <c r="B12" s="27" t="str">
        <f aca="false">IF(A12="","",IFERROR(INDEX(작품목록!$B$4:$B$103,MATCH(A12,작품목록!$A$4:$A$103,0)),"번호 확인"))</f>
        <v>블록</v>
      </c>
      <c r="C12" s="28" t="str">
        <f aca="false">IF(A12="","",IFERROR(INDEX(작품목록!$G$4:$G$103,MATCH(A12,작품목록!$A$4:$A$103,0)),"작품목록에 없음"))</f>
        <v>분수 피자 가게</v>
      </c>
      <c r="D12" s="21" t="n">
        <v>13</v>
      </c>
      <c r="E12" s="21" t="n">
        <v>13</v>
      </c>
      <c r="F12" s="21" t="n">
        <v>12</v>
      </c>
      <c r="G12" s="21" t="n">
        <v>4</v>
      </c>
      <c r="H12" s="27" t="n">
        <f aca="false">IF(COUNT(D12:G12)=0,"",SUM(D12:G12))</f>
        <v>42</v>
      </c>
      <c r="I12" s="21" t="n">
        <v>13</v>
      </c>
      <c r="J12" s="21" t="n">
        <v>14</v>
      </c>
      <c r="K12" s="21" t="n">
        <v>12</v>
      </c>
      <c r="L12" s="21" t="n">
        <v>4</v>
      </c>
      <c r="M12" s="27" t="n">
        <f aca="false">IF(COUNT(I12:L12)=0,"",SUM(I12:L12))</f>
        <v>43</v>
      </c>
      <c r="N12" s="21" t="n">
        <v>13</v>
      </c>
      <c r="O12" s="21" t="n">
        <v>13</v>
      </c>
      <c r="P12" s="21" t="n">
        <v>13</v>
      </c>
      <c r="Q12" s="21" t="n">
        <v>4</v>
      </c>
      <c r="R12" s="27" t="n">
        <f aca="false">IF(COUNT(N12:Q12)=0,"",SUM(N12:Q12))</f>
        <v>43</v>
      </c>
      <c r="S12" s="29" t="n">
        <f aca="false">IF(COUNT(H12,M12,R12)=0,"",ROUND(AVERAGE(H12,M12,R12),2))</f>
        <v>42.67</v>
      </c>
      <c r="T12" s="30" t="n">
        <f aca="false">IF(COUNT(F12,K12,P12)=0,"",ROUND(AVERAGE(F12,K12,P12),2))</f>
        <v>12.33</v>
      </c>
    </row>
    <row r="13" customFormat="false" ht="15" hidden="false" customHeight="false" outlineLevel="0" collapsed="false">
      <c r="A13" s="21" t="s">
        <v>107</v>
      </c>
      <c r="B13" s="27" t="str">
        <f aca="false">IF(A13="","",IFERROR(INDEX(작품목록!$B$4:$B$103,MATCH(A13,작품목록!$A$4:$A$103,0)),"번호 확인"))</f>
        <v>바이브</v>
      </c>
      <c r="C13" s="28" t="str">
        <f aca="false">IF(A13="","",IFERROR(INDEX(작품목록!$G$4:$G$103,MATCH(A13,작품목록!$A$4:$A$103,0)),"작품목록에 없음"))</f>
        <v>각도 탐정 게임</v>
      </c>
      <c r="D13" s="21" t="n">
        <v>14</v>
      </c>
      <c r="E13" s="21" t="n">
        <v>14</v>
      </c>
      <c r="F13" s="21" t="n">
        <v>13</v>
      </c>
      <c r="G13" s="21" t="n">
        <v>5</v>
      </c>
      <c r="H13" s="27" t="n">
        <f aca="false">IF(COUNT(D13:G13)=0,"",SUM(D13:G13))</f>
        <v>46</v>
      </c>
      <c r="I13" s="21" t="n">
        <v>13</v>
      </c>
      <c r="J13" s="21" t="n">
        <v>14</v>
      </c>
      <c r="K13" s="21" t="n">
        <v>14</v>
      </c>
      <c r="L13" s="21" t="n">
        <v>5</v>
      </c>
      <c r="M13" s="27" t="n">
        <f aca="false">IF(COUNT(I13:L13)=0,"",SUM(I13:L13))</f>
        <v>46</v>
      </c>
      <c r="N13" s="21" t="n">
        <v>13</v>
      </c>
      <c r="O13" s="21" t="n">
        <v>15</v>
      </c>
      <c r="P13" s="21" t="n">
        <v>15</v>
      </c>
      <c r="Q13" s="21" t="n">
        <v>5</v>
      </c>
      <c r="R13" s="27" t="n">
        <f aca="false">IF(COUNT(N13:Q13)=0,"",SUM(N13:Q13))</f>
        <v>48</v>
      </c>
      <c r="S13" s="29" t="n">
        <f aca="false">IF(COUNT(H13,M13,R13)=0,"",ROUND(AVERAGE(H13,M13,R13),2))</f>
        <v>46.67</v>
      </c>
      <c r="T13" s="30" t="n">
        <f aca="false">IF(COUNT(F13,K13,P13)=0,"",ROUND(AVERAGE(F13,K13,P13),2))</f>
        <v>14</v>
      </c>
    </row>
    <row r="14" customFormat="false" ht="15" hidden="false" customHeight="false" outlineLevel="0" collapsed="false">
      <c r="A14" s="21" t="s">
        <v>114</v>
      </c>
      <c r="B14" s="27" t="str">
        <f aca="false">IF(A14="","",IFERROR(INDEX(작품목록!$B$4:$B$103,MATCH(A14,작품목록!$A$4:$A$103,0)),"번호 확인"))</f>
        <v>바이브</v>
      </c>
      <c r="C14" s="28" t="str">
        <f aca="false">IF(A14="","",IFERROR(INDEX(작품목록!$G$4:$G$103,MATCH(A14,작품목록!$A$4:$A$103,0)),"작품목록에 없음"))</f>
        <v>우리나라 시·도 퀴즈</v>
      </c>
      <c r="D14" s="21" t="n">
        <v>13</v>
      </c>
      <c r="E14" s="21" t="n">
        <v>12</v>
      </c>
      <c r="F14" s="21" t="n">
        <v>12</v>
      </c>
      <c r="G14" s="21" t="n">
        <v>4</v>
      </c>
      <c r="H14" s="27" t="n">
        <f aca="false">IF(COUNT(D14:G14)=0,"",SUM(D14:G14))</f>
        <v>41</v>
      </c>
      <c r="I14" s="21" t="n">
        <v>12</v>
      </c>
      <c r="J14" s="21" t="n">
        <v>13</v>
      </c>
      <c r="K14" s="21" t="n">
        <v>12</v>
      </c>
      <c r="L14" s="21" t="n">
        <v>4</v>
      </c>
      <c r="M14" s="27" t="n">
        <f aca="false">IF(COUNT(I14:L14)=0,"",SUM(I14:L14))</f>
        <v>41</v>
      </c>
      <c r="N14" s="21" t="n">
        <v>11</v>
      </c>
      <c r="O14" s="21" t="n">
        <v>11</v>
      </c>
      <c r="P14" s="21" t="n">
        <v>13</v>
      </c>
      <c r="Q14" s="21" t="n">
        <v>5</v>
      </c>
      <c r="R14" s="27" t="n">
        <f aca="false">IF(COUNT(N14:Q14)=0,"",SUM(N14:Q14))</f>
        <v>40</v>
      </c>
      <c r="S14" s="29" t="n">
        <f aca="false">IF(COUNT(H14,M14,R14)=0,"",ROUND(AVERAGE(H14,M14,R14),2))</f>
        <v>40.67</v>
      </c>
      <c r="T14" s="30" t="n">
        <f aca="false">IF(COUNT(F14,K14,P14)=0,"",ROUND(AVERAGE(F14,K14,P14),2))</f>
        <v>12.33</v>
      </c>
    </row>
    <row r="15" customFormat="false" ht="15" hidden="false" customHeight="false" outlineLevel="0" collapsed="false">
      <c r="A15" s="21" t="s">
        <v>120</v>
      </c>
      <c r="B15" s="27" t="str">
        <f aca="false">IF(A15="","",IFERROR(INDEX(작품목록!$B$4:$B$103,MATCH(A15,작품목록!$A$4:$A$103,0)),"번호 확인"))</f>
        <v>바이브</v>
      </c>
      <c r="C15" s="28" t="str">
        <f aca="false">IF(A15="","",IFERROR(INDEX(작품목록!$G$4:$G$103,MATCH(A15,작품목록!$A$4:$A$103,0)),"작품목록에 없음"))</f>
        <v>지시약 색깔 실험실</v>
      </c>
      <c r="D15" s="21" t="n">
        <v>10</v>
      </c>
      <c r="E15" s="21" t="n">
        <v>12</v>
      </c>
      <c r="F15" s="21" t="n">
        <v>11</v>
      </c>
      <c r="G15" s="21" t="n">
        <v>4</v>
      </c>
      <c r="H15" s="27" t="n">
        <f aca="false">IF(COUNT(D15:G15)=0,"",SUM(D15:G15))</f>
        <v>37</v>
      </c>
      <c r="I15" s="21" t="n">
        <v>12</v>
      </c>
      <c r="J15" s="21" t="n">
        <v>12</v>
      </c>
      <c r="K15" s="21" t="n">
        <v>12</v>
      </c>
      <c r="L15" s="21" t="n">
        <v>4</v>
      </c>
      <c r="M15" s="27" t="n">
        <f aca="false">IF(COUNT(I15:L15)=0,"",SUM(I15:L15))</f>
        <v>40</v>
      </c>
      <c r="N15" s="21" t="n">
        <v>11</v>
      </c>
      <c r="O15" s="21" t="n">
        <v>11</v>
      </c>
      <c r="P15" s="21" t="n">
        <v>12</v>
      </c>
      <c r="Q15" s="21" t="n">
        <v>4</v>
      </c>
      <c r="R15" s="27" t="n">
        <f aca="false">IF(COUNT(N15:Q15)=0,"",SUM(N15:Q15))</f>
        <v>38</v>
      </c>
      <c r="S15" s="29" t="n">
        <f aca="false">IF(COUNT(H15,M15,R15)=0,"",ROUND(AVERAGE(H15,M15,R15),2))</f>
        <v>38.33</v>
      </c>
      <c r="T15" s="30" t="n">
        <f aca="false">IF(COUNT(F15,K15,P15)=0,"",ROUND(AVERAGE(F15,K15,P15),2))</f>
        <v>11.67</v>
      </c>
    </row>
    <row r="16" customFormat="false" ht="15" hidden="false" customHeight="false" outlineLevel="0" collapsed="false">
      <c r="A16" s="21" t="s">
        <v>126</v>
      </c>
      <c r="B16" s="27" t="str">
        <f aca="false">IF(A16="","",IFERROR(INDEX(작품목록!$B$4:$B$103,MATCH(A16,작품목록!$A$4:$A$103,0)),"번호 확인"))</f>
        <v>바이브</v>
      </c>
      <c r="C16" s="28" t="str">
        <f aca="false">IF(A16="","",IFERROR(INDEX(작품목록!$G$4:$G$103,MATCH(A16,작품목록!$A$4:$A$103,0)),"작품목록에 없음"))</f>
        <v>중심 문장 찾기 놀이</v>
      </c>
      <c r="D16" s="21" t="n">
        <v>11</v>
      </c>
      <c r="E16" s="21" t="n">
        <v>10</v>
      </c>
      <c r="F16" s="21" t="n">
        <v>10</v>
      </c>
      <c r="G16" s="21" t="n">
        <v>3</v>
      </c>
      <c r="H16" s="27" t="n">
        <f aca="false">IF(COUNT(D16:G16)=0,"",SUM(D16:G16))</f>
        <v>34</v>
      </c>
      <c r="I16" s="21" t="n">
        <v>9</v>
      </c>
      <c r="J16" s="21" t="n">
        <v>10</v>
      </c>
      <c r="K16" s="21" t="n">
        <v>11</v>
      </c>
      <c r="L16" s="21" t="n">
        <v>4</v>
      </c>
      <c r="M16" s="27" t="n">
        <f aca="false">IF(COUNT(I16:L16)=0,"",SUM(I16:L16))</f>
        <v>34</v>
      </c>
      <c r="N16" s="21" t="n">
        <v>10</v>
      </c>
      <c r="O16" s="21" t="n">
        <v>9</v>
      </c>
      <c r="P16" s="21" t="n">
        <v>10</v>
      </c>
      <c r="Q16" s="21" t="n">
        <v>4</v>
      </c>
      <c r="R16" s="27" t="n">
        <f aca="false">IF(COUNT(N16:Q16)=0,"",SUM(N16:Q16))</f>
        <v>33</v>
      </c>
      <c r="S16" s="29" t="n">
        <f aca="false">IF(COUNT(H16,M16,R16)=0,"",ROUND(AVERAGE(H16,M16,R16),2))</f>
        <v>33.67</v>
      </c>
      <c r="T16" s="30" t="n">
        <f aca="false">IF(COUNT(F16,K16,P16)=0,"",ROUND(AVERAGE(F16,K16,P16),2))</f>
        <v>10.33</v>
      </c>
    </row>
    <row r="17" customFormat="false" ht="15" hidden="false" customHeight="false" outlineLevel="0" collapsed="false">
      <c r="A17" s="21" t="s">
        <v>132</v>
      </c>
      <c r="B17" s="27" t="str">
        <f aca="false">IF(A17="","",IFERROR(INDEX(작품목록!$B$4:$B$103,MATCH(A17,작품목록!$A$4:$A$103,0)),"번호 확인"))</f>
        <v>바이브</v>
      </c>
      <c r="C17" s="28" t="str">
        <f aca="false">IF(A17="","",IFERROR(INDEX(작품목록!$G$4:$G$103,MATCH(A17,작품목록!$A$4:$A$103,0)),"작품목록에 없음"))</f>
        <v>영어 시장 놀이</v>
      </c>
      <c r="D17" s="21" t="n">
        <v>13</v>
      </c>
      <c r="E17" s="21" t="n">
        <v>13</v>
      </c>
      <c r="F17" s="21" t="n">
        <v>12</v>
      </c>
      <c r="G17" s="21" t="n">
        <v>4</v>
      </c>
      <c r="H17" s="27" t="n">
        <f aca="false">IF(COUNT(D17:G17)=0,"",SUM(D17:G17))</f>
        <v>42</v>
      </c>
      <c r="I17" s="21" t="n">
        <v>13</v>
      </c>
      <c r="J17" s="21" t="n">
        <v>12</v>
      </c>
      <c r="K17" s="21" t="n">
        <v>11</v>
      </c>
      <c r="L17" s="21" t="n">
        <v>4</v>
      </c>
      <c r="M17" s="27" t="n">
        <f aca="false">IF(COUNT(I17:L17)=0,"",SUM(I17:L17))</f>
        <v>40</v>
      </c>
      <c r="N17" s="21" t="n">
        <v>11</v>
      </c>
      <c r="O17" s="21" t="n">
        <v>13</v>
      </c>
      <c r="P17" s="21" t="n">
        <v>11</v>
      </c>
      <c r="Q17" s="21" t="n">
        <v>4</v>
      </c>
      <c r="R17" s="27" t="n">
        <f aca="false">IF(COUNT(N17:Q17)=0,"",SUM(N17:Q17))</f>
        <v>39</v>
      </c>
      <c r="S17" s="29" t="n">
        <f aca="false">IF(COUNT(H17,M17,R17)=0,"",ROUND(AVERAGE(H17,M17,R17),2))</f>
        <v>40.33</v>
      </c>
      <c r="T17" s="30" t="n">
        <f aca="false">IF(COUNT(F17,K17,P17)=0,"",ROUND(AVERAGE(F17,K17,P17),2))</f>
        <v>11.33</v>
      </c>
    </row>
    <row r="18" customFormat="false" ht="15" hidden="false" customHeight="false" outlineLevel="0" collapsed="false">
      <c r="A18" s="21" t="s">
        <v>138</v>
      </c>
      <c r="B18" s="27" t="str">
        <f aca="false">IF(A18="","",IFERROR(INDEX(작품목록!$B$4:$B$103,MATCH(A18,작품목록!$A$4:$A$103,0)),"번호 확인"))</f>
        <v>바이브</v>
      </c>
      <c r="C18" s="28" t="str">
        <f aca="false">IF(A18="","",IFERROR(INDEX(작품목록!$G$4:$G$103,MATCH(A18,작품목록!$A$4:$A$103,0)),"작품목록에 없음"))</f>
        <v>얼음·물·수증기 변신 퀴즈</v>
      </c>
      <c r="D18" s="21" t="n">
        <v>10</v>
      </c>
      <c r="E18" s="21" t="n">
        <v>11</v>
      </c>
      <c r="F18" s="21" t="n">
        <v>10</v>
      </c>
      <c r="G18" s="21" t="n">
        <v>4</v>
      </c>
      <c r="H18" s="27" t="n">
        <f aca="false">IF(COUNT(D18:G18)=0,"",SUM(D18:G18))</f>
        <v>35</v>
      </c>
      <c r="I18" s="21" t="n">
        <v>10</v>
      </c>
      <c r="J18" s="21" t="n">
        <v>10</v>
      </c>
      <c r="K18" s="21" t="n">
        <v>10</v>
      </c>
      <c r="L18" s="21" t="n">
        <v>3</v>
      </c>
      <c r="M18" s="27" t="n">
        <f aca="false">IF(COUNT(I18:L18)=0,"",SUM(I18:L18))</f>
        <v>33</v>
      </c>
      <c r="N18" s="21" t="n">
        <v>12</v>
      </c>
      <c r="O18" s="21" t="n">
        <v>11</v>
      </c>
      <c r="P18" s="21" t="n">
        <v>12</v>
      </c>
      <c r="Q18" s="21" t="n">
        <v>3</v>
      </c>
      <c r="R18" s="27" t="n">
        <f aca="false">IF(COUNT(N18:Q18)=0,"",SUM(N18:Q18))</f>
        <v>38</v>
      </c>
      <c r="S18" s="29" t="n">
        <f aca="false">IF(COUNT(H18,M18,R18)=0,"",ROUND(AVERAGE(H18,M18,R18),2))</f>
        <v>35.33</v>
      </c>
      <c r="T18" s="30" t="n">
        <f aca="false">IF(COUNT(F18,K18,P18)=0,"",ROUND(AVERAGE(F18,K18,P18),2))</f>
        <v>10.67</v>
      </c>
    </row>
    <row r="19" customFormat="false" ht="15" hidden="false" customHeight="false" outlineLevel="0" collapsed="false">
      <c r="A19" s="21" t="s">
        <v>144</v>
      </c>
      <c r="B19" s="27" t="str">
        <f aca="false">IF(A19="","",IFERROR(INDEX(작품목록!$B$4:$B$103,MATCH(A19,작품목록!$A$4:$A$103,0)),"번호 확인"))</f>
        <v>바이브</v>
      </c>
      <c r="C19" s="28" t="str">
        <f aca="false">IF(A19="","",IFERROR(INDEX(작품목록!$G$4:$G$103,MATCH(A19,작품목록!$A$4:$A$103,0)),"작품목록에 없음"))</f>
        <v>비율 요리사</v>
      </c>
      <c r="D19" s="21" t="n">
        <v>13</v>
      </c>
      <c r="E19" s="21" t="n">
        <v>12</v>
      </c>
      <c r="F19" s="21" t="n">
        <v>12</v>
      </c>
      <c r="G19" s="21" t="n">
        <v>4</v>
      </c>
      <c r="H19" s="27" t="n">
        <f aca="false">IF(COUNT(D19:G19)=0,"",SUM(D19:G19))</f>
        <v>41</v>
      </c>
      <c r="I19" s="21" t="n">
        <v>13</v>
      </c>
      <c r="J19" s="21" t="n">
        <v>12</v>
      </c>
      <c r="K19" s="21" t="n">
        <v>12</v>
      </c>
      <c r="L19" s="21" t="n">
        <v>4</v>
      </c>
      <c r="M19" s="27" t="n">
        <f aca="false">IF(COUNT(I19:L19)=0,"",SUM(I19:L19))</f>
        <v>41</v>
      </c>
      <c r="N19" s="21" t="n">
        <v>14</v>
      </c>
      <c r="O19" s="21" t="n">
        <v>12</v>
      </c>
      <c r="P19" s="21" t="n">
        <v>13</v>
      </c>
      <c r="Q19" s="21" t="n">
        <v>4</v>
      </c>
      <c r="R19" s="27" t="n">
        <f aca="false">IF(COUNT(N19:Q19)=0,"",SUM(N19:Q19))</f>
        <v>43</v>
      </c>
      <c r="S19" s="29" t="n">
        <f aca="false">IF(COUNT(H19,M19,R19)=0,"",ROUND(AVERAGE(H19,M19,R19),2))</f>
        <v>41.67</v>
      </c>
      <c r="T19" s="30" t="n">
        <f aca="false">IF(COUNT(F19,K19,P19)=0,"",ROUND(AVERAGE(F19,K19,P19),2))</f>
        <v>12.33</v>
      </c>
    </row>
    <row r="20" customFormat="false" ht="15" hidden="false" customHeight="false" outlineLevel="0" collapsed="false">
      <c r="A20" s="21" t="s">
        <v>150</v>
      </c>
      <c r="B20" s="27" t="str">
        <f aca="false">IF(A20="","",IFERROR(INDEX(작품목록!$B$4:$B$103,MATCH(A20,작품목록!$A$4:$A$103,0)),"번호 확인"))</f>
        <v>바이브</v>
      </c>
      <c r="C20" s="28" t="str">
        <f aca="false">IF(A20="","",IFERROR(INDEX(작품목록!$G$4:$G$103,MATCH(A20,작품목록!$A$4:$A$103,0)),"작품목록에 없음"))</f>
        <v>고장 지도 기호 카드</v>
      </c>
      <c r="D20" s="21" t="n">
        <v>9</v>
      </c>
      <c r="E20" s="21" t="n">
        <v>10</v>
      </c>
      <c r="F20" s="21" t="n">
        <v>8</v>
      </c>
      <c r="G20" s="21" t="n">
        <v>3</v>
      </c>
      <c r="H20" s="27" t="n">
        <f aca="false">IF(COUNT(D20:G20)=0,"",SUM(D20:G20))</f>
        <v>30</v>
      </c>
      <c r="I20" s="21" t="n">
        <v>10</v>
      </c>
      <c r="J20" s="21" t="n">
        <v>8</v>
      </c>
      <c r="K20" s="21" t="n">
        <v>9</v>
      </c>
      <c r="L20" s="21" t="n">
        <v>3</v>
      </c>
      <c r="M20" s="27" t="n">
        <f aca="false">IF(COUNT(I20:L20)=0,"",SUM(I20:L20))</f>
        <v>30</v>
      </c>
      <c r="N20" s="21" t="n">
        <v>9</v>
      </c>
      <c r="O20" s="21" t="n">
        <v>10</v>
      </c>
      <c r="P20" s="21" t="n">
        <v>8</v>
      </c>
      <c r="Q20" s="21" t="n">
        <v>3</v>
      </c>
      <c r="R20" s="27" t="n">
        <f aca="false">IF(COUNT(N20:Q20)=0,"",SUM(N20:Q20))</f>
        <v>30</v>
      </c>
      <c r="S20" s="29" t="n">
        <f aca="false">IF(COUNT(H20,M20,R20)=0,"",ROUND(AVERAGE(H20,M20,R20),2))</f>
        <v>30</v>
      </c>
      <c r="T20" s="30" t="n">
        <f aca="false">IF(COUNT(F20,K20,P20)=0,"",ROUND(AVERAGE(F20,K20,P20),2))</f>
        <v>8.33</v>
      </c>
    </row>
    <row r="21" customFormat="false" ht="15" hidden="false" customHeight="false" outlineLevel="0" collapsed="false">
      <c r="A21" s="22"/>
      <c r="B21" s="27" t="str">
        <f aca="false">IF(A21="","",IFERROR(INDEX(작품목록!$B$4:$B$103,MATCH(A21,작품목록!$A$4:$A$103,0)),"번호 확인"))</f>
        <v/>
      </c>
      <c r="C21" s="28" t="str">
        <f aca="false">IF(A21="","",IFERROR(INDEX(작품목록!$G$4:$G$103,MATCH(A21,작품목록!$A$4:$A$103,0)),"작품목록에 없음"))</f>
        <v/>
      </c>
      <c r="D21" s="21"/>
      <c r="E21" s="21"/>
      <c r="F21" s="21"/>
      <c r="G21" s="21"/>
      <c r="H21" s="27" t="str">
        <f aca="false">IF(COUNT(D21:G21)=0,"",SUM(D21:G21))</f>
        <v/>
      </c>
      <c r="I21" s="21"/>
      <c r="J21" s="21"/>
      <c r="K21" s="21"/>
      <c r="L21" s="21"/>
      <c r="M21" s="27" t="str">
        <f aca="false">IF(COUNT(I21:L21)=0,"",SUM(I21:L21))</f>
        <v/>
      </c>
      <c r="N21" s="21"/>
      <c r="O21" s="21"/>
      <c r="P21" s="21"/>
      <c r="Q21" s="21"/>
      <c r="R21" s="27" t="str">
        <f aca="false">IF(COUNT(N21:Q21)=0,"",SUM(N21:Q21))</f>
        <v/>
      </c>
      <c r="S21" s="29" t="str">
        <f aca="false">IF(COUNT(H21,M21,R21)=0,"",ROUND(AVERAGE(H21,M21,R21),2))</f>
        <v/>
      </c>
      <c r="T21" s="30" t="str">
        <f aca="false">IF(COUNT(F21,K21,P21)=0,"",ROUND(AVERAGE(F21,K21,P21),2))</f>
        <v/>
      </c>
    </row>
    <row r="22" customFormat="false" ht="15" hidden="false" customHeight="false" outlineLevel="0" collapsed="false">
      <c r="A22" s="22"/>
      <c r="B22" s="27" t="str">
        <f aca="false">IF(A22="","",IFERROR(INDEX(작품목록!$B$4:$B$103,MATCH(A22,작품목록!$A$4:$A$103,0)),"번호 확인"))</f>
        <v/>
      </c>
      <c r="C22" s="28" t="str">
        <f aca="false">IF(A22="","",IFERROR(INDEX(작품목록!$G$4:$G$103,MATCH(A22,작품목록!$A$4:$A$103,0)),"작품목록에 없음"))</f>
        <v/>
      </c>
      <c r="D22" s="21"/>
      <c r="E22" s="21"/>
      <c r="F22" s="21"/>
      <c r="G22" s="21"/>
      <c r="H22" s="27" t="str">
        <f aca="false">IF(COUNT(D22:G22)=0,"",SUM(D22:G22))</f>
        <v/>
      </c>
      <c r="I22" s="21"/>
      <c r="J22" s="21"/>
      <c r="K22" s="21"/>
      <c r="L22" s="21"/>
      <c r="M22" s="27" t="str">
        <f aca="false">IF(COUNT(I22:L22)=0,"",SUM(I22:L22))</f>
        <v/>
      </c>
      <c r="N22" s="21"/>
      <c r="O22" s="21"/>
      <c r="P22" s="21"/>
      <c r="Q22" s="21"/>
      <c r="R22" s="27" t="str">
        <f aca="false">IF(COUNT(N22:Q22)=0,"",SUM(N22:Q22))</f>
        <v/>
      </c>
      <c r="S22" s="29" t="str">
        <f aca="false">IF(COUNT(H22,M22,R22)=0,"",ROUND(AVERAGE(H22,M22,R22),2))</f>
        <v/>
      </c>
      <c r="T22" s="30" t="str">
        <f aca="false">IF(COUNT(F22,K22,P22)=0,"",ROUND(AVERAGE(F22,K22,P22),2))</f>
        <v/>
      </c>
    </row>
    <row r="23" customFormat="false" ht="15" hidden="false" customHeight="false" outlineLevel="0" collapsed="false">
      <c r="A23" s="22"/>
      <c r="B23" s="27" t="str">
        <f aca="false">IF(A23="","",IFERROR(INDEX(작품목록!$B$4:$B$103,MATCH(A23,작품목록!$A$4:$A$103,0)),"번호 확인"))</f>
        <v/>
      </c>
      <c r="C23" s="28" t="str">
        <f aca="false">IF(A23="","",IFERROR(INDEX(작품목록!$G$4:$G$103,MATCH(A23,작품목록!$A$4:$A$103,0)),"작품목록에 없음"))</f>
        <v/>
      </c>
      <c r="D23" s="21"/>
      <c r="E23" s="21"/>
      <c r="F23" s="21"/>
      <c r="G23" s="21"/>
      <c r="H23" s="27" t="str">
        <f aca="false">IF(COUNT(D23:G23)=0,"",SUM(D23:G23))</f>
        <v/>
      </c>
      <c r="I23" s="21"/>
      <c r="J23" s="21"/>
      <c r="K23" s="21"/>
      <c r="L23" s="21"/>
      <c r="M23" s="27" t="str">
        <f aca="false">IF(COUNT(I23:L23)=0,"",SUM(I23:L23))</f>
        <v/>
      </c>
      <c r="N23" s="21"/>
      <c r="O23" s="21"/>
      <c r="P23" s="21"/>
      <c r="Q23" s="21"/>
      <c r="R23" s="27" t="str">
        <f aca="false">IF(COUNT(N23:Q23)=0,"",SUM(N23:Q23))</f>
        <v/>
      </c>
      <c r="S23" s="29" t="str">
        <f aca="false">IF(COUNT(H23,M23,R23)=0,"",ROUND(AVERAGE(H23,M23,R23),2))</f>
        <v/>
      </c>
      <c r="T23" s="30" t="str">
        <f aca="false">IF(COUNT(F23,K23,P23)=0,"",ROUND(AVERAGE(F23,K23,P23),2))</f>
        <v/>
      </c>
    </row>
    <row r="24" customFormat="false" ht="15" hidden="false" customHeight="false" outlineLevel="0" collapsed="false">
      <c r="A24" s="22"/>
      <c r="B24" s="27" t="str">
        <f aca="false">IF(A24="","",IFERROR(INDEX(작품목록!$B$4:$B$103,MATCH(A24,작품목록!$A$4:$A$103,0)),"번호 확인"))</f>
        <v/>
      </c>
      <c r="C24" s="28" t="str">
        <f aca="false">IF(A24="","",IFERROR(INDEX(작품목록!$G$4:$G$103,MATCH(A24,작품목록!$A$4:$A$103,0)),"작품목록에 없음"))</f>
        <v/>
      </c>
      <c r="D24" s="21"/>
      <c r="E24" s="21"/>
      <c r="F24" s="21"/>
      <c r="G24" s="21"/>
      <c r="H24" s="27" t="str">
        <f aca="false">IF(COUNT(D24:G24)=0,"",SUM(D24:G24))</f>
        <v/>
      </c>
      <c r="I24" s="21"/>
      <c r="J24" s="21"/>
      <c r="K24" s="21"/>
      <c r="L24" s="21"/>
      <c r="M24" s="27" t="str">
        <f aca="false">IF(COUNT(I24:L24)=0,"",SUM(I24:L24))</f>
        <v/>
      </c>
      <c r="N24" s="21"/>
      <c r="O24" s="21"/>
      <c r="P24" s="21"/>
      <c r="Q24" s="21"/>
      <c r="R24" s="27" t="str">
        <f aca="false">IF(COUNT(N24:Q24)=0,"",SUM(N24:Q24))</f>
        <v/>
      </c>
      <c r="S24" s="29" t="str">
        <f aca="false">IF(COUNT(H24,M24,R24)=0,"",ROUND(AVERAGE(H24,M24,R24),2))</f>
        <v/>
      </c>
      <c r="T24" s="30" t="str">
        <f aca="false">IF(COUNT(F24,K24,P24)=0,"",ROUND(AVERAGE(F24,K24,P24),2))</f>
        <v/>
      </c>
    </row>
    <row r="25" customFormat="false" ht="15" hidden="false" customHeight="false" outlineLevel="0" collapsed="false">
      <c r="A25" s="22"/>
      <c r="B25" s="27" t="str">
        <f aca="false">IF(A25="","",IFERROR(INDEX(작품목록!$B$4:$B$103,MATCH(A25,작품목록!$A$4:$A$103,0)),"번호 확인"))</f>
        <v/>
      </c>
      <c r="C25" s="28" t="str">
        <f aca="false">IF(A25="","",IFERROR(INDEX(작품목록!$G$4:$G$103,MATCH(A25,작품목록!$A$4:$A$103,0)),"작품목록에 없음"))</f>
        <v/>
      </c>
      <c r="D25" s="21"/>
      <c r="E25" s="21"/>
      <c r="F25" s="21"/>
      <c r="G25" s="21"/>
      <c r="H25" s="27" t="str">
        <f aca="false">IF(COUNT(D25:G25)=0,"",SUM(D25:G25))</f>
        <v/>
      </c>
      <c r="I25" s="21"/>
      <c r="J25" s="21"/>
      <c r="K25" s="21"/>
      <c r="L25" s="21"/>
      <c r="M25" s="27" t="str">
        <f aca="false">IF(COUNT(I25:L25)=0,"",SUM(I25:L25))</f>
        <v/>
      </c>
      <c r="N25" s="21"/>
      <c r="O25" s="21"/>
      <c r="P25" s="21"/>
      <c r="Q25" s="21"/>
      <c r="R25" s="27" t="str">
        <f aca="false">IF(COUNT(N25:Q25)=0,"",SUM(N25:Q25))</f>
        <v/>
      </c>
      <c r="S25" s="29" t="str">
        <f aca="false">IF(COUNT(H25,M25,R25)=0,"",ROUND(AVERAGE(H25,M25,R25),2))</f>
        <v/>
      </c>
      <c r="T25" s="30" t="str">
        <f aca="false">IF(COUNT(F25,K25,P25)=0,"",ROUND(AVERAGE(F25,K25,P25),2))</f>
        <v/>
      </c>
    </row>
    <row r="26" customFormat="false" ht="15" hidden="false" customHeight="false" outlineLevel="0" collapsed="false">
      <c r="A26" s="22"/>
      <c r="B26" s="27" t="str">
        <f aca="false">IF(A26="","",IFERROR(INDEX(작품목록!$B$4:$B$103,MATCH(A26,작품목록!$A$4:$A$103,0)),"번호 확인"))</f>
        <v/>
      </c>
      <c r="C26" s="28" t="str">
        <f aca="false">IF(A26="","",IFERROR(INDEX(작품목록!$G$4:$G$103,MATCH(A26,작품목록!$A$4:$A$103,0)),"작품목록에 없음"))</f>
        <v/>
      </c>
      <c r="D26" s="21"/>
      <c r="E26" s="21"/>
      <c r="F26" s="21"/>
      <c r="G26" s="21"/>
      <c r="H26" s="27" t="str">
        <f aca="false">IF(COUNT(D26:G26)=0,"",SUM(D26:G26))</f>
        <v/>
      </c>
      <c r="I26" s="21"/>
      <c r="J26" s="21"/>
      <c r="K26" s="21"/>
      <c r="L26" s="21"/>
      <c r="M26" s="27" t="str">
        <f aca="false">IF(COUNT(I26:L26)=0,"",SUM(I26:L26))</f>
        <v/>
      </c>
      <c r="N26" s="21"/>
      <c r="O26" s="21"/>
      <c r="P26" s="21"/>
      <c r="Q26" s="21"/>
      <c r="R26" s="27" t="str">
        <f aca="false">IF(COUNT(N26:Q26)=0,"",SUM(N26:Q26))</f>
        <v/>
      </c>
      <c r="S26" s="29" t="str">
        <f aca="false">IF(COUNT(H26,M26,R26)=0,"",ROUND(AVERAGE(H26,M26,R26),2))</f>
        <v/>
      </c>
      <c r="T26" s="30" t="str">
        <f aca="false">IF(COUNT(F26,K26,P26)=0,"",ROUND(AVERAGE(F26,K26,P26),2))</f>
        <v/>
      </c>
    </row>
    <row r="27" customFormat="false" ht="15" hidden="false" customHeight="false" outlineLevel="0" collapsed="false">
      <c r="A27" s="22"/>
      <c r="B27" s="27" t="str">
        <f aca="false">IF(A27="","",IFERROR(INDEX(작품목록!$B$4:$B$103,MATCH(A27,작품목록!$A$4:$A$103,0)),"번호 확인"))</f>
        <v/>
      </c>
      <c r="C27" s="28" t="str">
        <f aca="false">IF(A27="","",IFERROR(INDEX(작품목록!$G$4:$G$103,MATCH(A27,작품목록!$A$4:$A$103,0)),"작품목록에 없음"))</f>
        <v/>
      </c>
      <c r="D27" s="21"/>
      <c r="E27" s="21"/>
      <c r="F27" s="21"/>
      <c r="G27" s="21"/>
      <c r="H27" s="27" t="str">
        <f aca="false">IF(COUNT(D27:G27)=0,"",SUM(D27:G27))</f>
        <v/>
      </c>
      <c r="I27" s="21"/>
      <c r="J27" s="21"/>
      <c r="K27" s="21"/>
      <c r="L27" s="21"/>
      <c r="M27" s="27" t="str">
        <f aca="false">IF(COUNT(I27:L27)=0,"",SUM(I27:L27))</f>
        <v/>
      </c>
      <c r="N27" s="21"/>
      <c r="O27" s="21"/>
      <c r="P27" s="21"/>
      <c r="Q27" s="21"/>
      <c r="R27" s="27" t="str">
        <f aca="false">IF(COUNT(N27:Q27)=0,"",SUM(N27:Q27))</f>
        <v/>
      </c>
      <c r="S27" s="29" t="str">
        <f aca="false">IF(COUNT(H27,M27,R27)=0,"",ROUND(AVERAGE(H27,M27,R27),2))</f>
        <v/>
      </c>
      <c r="T27" s="30" t="str">
        <f aca="false">IF(COUNT(F27,K27,P27)=0,"",ROUND(AVERAGE(F27,K27,P27),2))</f>
        <v/>
      </c>
    </row>
    <row r="28" customFormat="false" ht="15" hidden="false" customHeight="false" outlineLevel="0" collapsed="false">
      <c r="A28" s="22"/>
      <c r="B28" s="27" t="str">
        <f aca="false">IF(A28="","",IFERROR(INDEX(작품목록!$B$4:$B$103,MATCH(A28,작품목록!$A$4:$A$103,0)),"번호 확인"))</f>
        <v/>
      </c>
      <c r="C28" s="28" t="str">
        <f aca="false">IF(A28="","",IFERROR(INDEX(작품목록!$G$4:$G$103,MATCH(A28,작품목록!$A$4:$A$103,0)),"작품목록에 없음"))</f>
        <v/>
      </c>
      <c r="D28" s="21"/>
      <c r="E28" s="21"/>
      <c r="F28" s="21"/>
      <c r="G28" s="21"/>
      <c r="H28" s="27" t="str">
        <f aca="false">IF(COUNT(D28:G28)=0,"",SUM(D28:G28))</f>
        <v/>
      </c>
      <c r="I28" s="21"/>
      <c r="J28" s="21"/>
      <c r="K28" s="21"/>
      <c r="L28" s="21"/>
      <c r="M28" s="27" t="str">
        <f aca="false">IF(COUNT(I28:L28)=0,"",SUM(I28:L28))</f>
        <v/>
      </c>
      <c r="N28" s="21"/>
      <c r="O28" s="21"/>
      <c r="P28" s="21"/>
      <c r="Q28" s="21"/>
      <c r="R28" s="27" t="str">
        <f aca="false">IF(COUNT(N28:Q28)=0,"",SUM(N28:Q28))</f>
        <v/>
      </c>
      <c r="S28" s="29" t="str">
        <f aca="false">IF(COUNT(H28,M28,R28)=0,"",ROUND(AVERAGE(H28,M28,R28),2))</f>
        <v/>
      </c>
      <c r="T28" s="30" t="str">
        <f aca="false">IF(COUNT(F28,K28,P28)=0,"",ROUND(AVERAGE(F28,K28,P28),2))</f>
        <v/>
      </c>
    </row>
    <row r="29" customFormat="false" ht="15" hidden="false" customHeight="false" outlineLevel="0" collapsed="false">
      <c r="A29" s="22"/>
      <c r="B29" s="27" t="str">
        <f aca="false">IF(A29="","",IFERROR(INDEX(작품목록!$B$4:$B$103,MATCH(A29,작품목록!$A$4:$A$103,0)),"번호 확인"))</f>
        <v/>
      </c>
      <c r="C29" s="28" t="str">
        <f aca="false">IF(A29="","",IFERROR(INDEX(작품목록!$G$4:$G$103,MATCH(A29,작품목록!$A$4:$A$103,0)),"작품목록에 없음"))</f>
        <v/>
      </c>
      <c r="D29" s="21"/>
      <c r="E29" s="21"/>
      <c r="F29" s="21"/>
      <c r="G29" s="21"/>
      <c r="H29" s="27" t="str">
        <f aca="false">IF(COUNT(D29:G29)=0,"",SUM(D29:G29))</f>
        <v/>
      </c>
      <c r="I29" s="21"/>
      <c r="J29" s="21"/>
      <c r="K29" s="21"/>
      <c r="L29" s="21"/>
      <c r="M29" s="27" t="str">
        <f aca="false">IF(COUNT(I29:L29)=0,"",SUM(I29:L29))</f>
        <v/>
      </c>
      <c r="N29" s="21"/>
      <c r="O29" s="21"/>
      <c r="P29" s="21"/>
      <c r="Q29" s="21"/>
      <c r="R29" s="27" t="str">
        <f aca="false">IF(COUNT(N29:Q29)=0,"",SUM(N29:Q29))</f>
        <v/>
      </c>
      <c r="S29" s="29" t="str">
        <f aca="false">IF(COUNT(H29,M29,R29)=0,"",ROUND(AVERAGE(H29,M29,R29),2))</f>
        <v/>
      </c>
      <c r="T29" s="30" t="str">
        <f aca="false">IF(COUNT(F29,K29,P29)=0,"",ROUND(AVERAGE(F29,K29,P29),2))</f>
        <v/>
      </c>
    </row>
    <row r="30" customFormat="false" ht="15" hidden="false" customHeight="false" outlineLevel="0" collapsed="false">
      <c r="A30" s="22"/>
      <c r="B30" s="27" t="str">
        <f aca="false">IF(A30="","",IFERROR(INDEX(작품목록!$B$4:$B$103,MATCH(A30,작품목록!$A$4:$A$103,0)),"번호 확인"))</f>
        <v/>
      </c>
      <c r="C30" s="28" t="str">
        <f aca="false">IF(A30="","",IFERROR(INDEX(작품목록!$G$4:$G$103,MATCH(A30,작품목록!$A$4:$A$103,0)),"작품목록에 없음"))</f>
        <v/>
      </c>
      <c r="D30" s="21"/>
      <c r="E30" s="21"/>
      <c r="F30" s="21"/>
      <c r="G30" s="21"/>
      <c r="H30" s="27" t="str">
        <f aca="false">IF(COUNT(D30:G30)=0,"",SUM(D30:G30))</f>
        <v/>
      </c>
      <c r="I30" s="21"/>
      <c r="J30" s="21"/>
      <c r="K30" s="21"/>
      <c r="L30" s="21"/>
      <c r="M30" s="27" t="str">
        <f aca="false">IF(COUNT(I30:L30)=0,"",SUM(I30:L30))</f>
        <v/>
      </c>
      <c r="N30" s="21"/>
      <c r="O30" s="21"/>
      <c r="P30" s="21"/>
      <c r="Q30" s="21"/>
      <c r="R30" s="27" t="str">
        <f aca="false">IF(COUNT(N30:Q30)=0,"",SUM(N30:Q30))</f>
        <v/>
      </c>
      <c r="S30" s="29" t="str">
        <f aca="false">IF(COUNT(H30,M30,R30)=0,"",ROUND(AVERAGE(H30,M30,R30),2))</f>
        <v/>
      </c>
      <c r="T30" s="30" t="str">
        <f aca="false">IF(COUNT(F30,K30,P30)=0,"",ROUND(AVERAGE(F30,K30,P30),2))</f>
        <v/>
      </c>
    </row>
    <row r="31" customFormat="false" ht="15" hidden="false" customHeight="false" outlineLevel="0" collapsed="false">
      <c r="A31" s="22"/>
      <c r="B31" s="27" t="str">
        <f aca="false">IF(A31="","",IFERROR(INDEX(작품목록!$B$4:$B$103,MATCH(A31,작품목록!$A$4:$A$103,0)),"번호 확인"))</f>
        <v/>
      </c>
      <c r="C31" s="28" t="str">
        <f aca="false">IF(A31="","",IFERROR(INDEX(작품목록!$G$4:$G$103,MATCH(A31,작품목록!$A$4:$A$103,0)),"작품목록에 없음"))</f>
        <v/>
      </c>
      <c r="D31" s="21"/>
      <c r="E31" s="21"/>
      <c r="F31" s="21"/>
      <c r="G31" s="21"/>
      <c r="H31" s="27" t="str">
        <f aca="false">IF(COUNT(D31:G31)=0,"",SUM(D31:G31))</f>
        <v/>
      </c>
      <c r="I31" s="21"/>
      <c r="J31" s="21"/>
      <c r="K31" s="21"/>
      <c r="L31" s="21"/>
      <c r="M31" s="27" t="str">
        <f aca="false">IF(COUNT(I31:L31)=0,"",SUM(I31:L31))</f>
        <v/>
      </c>
      <c r="N31" s="21"/>
      <c r="O31" s="21"/>
      <c r="P31" s="21"/>
      <c r="Q31" s="21"/>
      <c r="R31" s="27" t="str">
        <f aca="false">IF(COUNT(N31:Q31)=0,"",SUM(N31:Q31))</f>
        <v/>
      </c>
      <c r="S31" s="29" t="str">
        <f aca="false">IF(COUNT(H31,M31,R31)=0,"",ROUND(AVERAGE(H31,M31,R31),2))</f>
        <v/>
      </c>
      <c r="T31" s="30" t="str">
        <f aca="false">IF(COUNT(F31,K31,P31)=0,"",ROUND(AVERAGE(F31,K31,P31),2))</f>
        <v/>
      </c>
    </row>
    <row r="32" customFormat="false" ht="15" hidden="false" customHeight="false" outlineLevel="0" collapsed="false">
      <c r="A32" s="22"/>
      <c r="B32" s="27" t="str">
        <f aca="false">IF(A32="","",IFERROR(INDEX(작품목록!$B$4:$B$103,MATCH(A32,작품목록!$A$4:$A$103,0)),"번호 확인"))</f>
        <v/>
      </c>
      <c r="C32" s="28" t="str">
        <f aca="false">IF(A32="","",IFERROR(INDEX(작품목록!$G$4:$G$103,MATCH(A32,작품목록!$A$4:$A$103,0)),"작품목록에 없음"))</f>
        <v/>
      </c>
      <c r="D32" s="21"/>
      <c r="E32" s="21"/>
      <c r="F32" s="21"/>
      <c r="G32" s="21"/>
      <c r="H32" s="27" t="str">
        <f aca="false">IF(COUNT(D32:G32)=0,"",SUM(D32:G32))</f>
        <v/>
      </c>
      <c r="I32" s="21"/>
      <c r="J32" s="21"/>
      <c r="K32" s="21"/>
      <c r="L32" s="21"/>
      <c r="M32" s="27" t="str">
        <f aca="false">IF(COUNT(I32:L32)=0,"",SUM(I32:L32))</f>
        <v/>
      </c>
      <c r="N32" s="21"/>
      <c r="O32" s="21"/>
      <c r="P32" s="21"/>
      <c r="Q32" s="21"/>
      <c r="R32" s="27" t="str">
        <f aca="false">IF(COUNT(N32:Q32)=0,"",SUM(N32:Q32))</f>
        <v/>
      </c>
      <c r="S32" s="29" t="str">
        <f aca="false">IF(COUNT(H32,M32,R32)=0,"",ROUND(AVERAGE(H32,M32,R32),2))</f>
        <v/>
      </c>
      <c r="T32" s="30" t="str">
        <f aca="false">IF(COUNT(F32,K32,P32)=0,"",ROUND(AVERAGE(F32,K32,P32),2))</f>
        <v/>
      </c>
    </row>
    <row r="33" customFormat="false" ht="15" hidden="false" customHeight="false" outlineLevel="0" collapsed="false">
      <c r="A33" s="22"/>
      <c r="B33" s="27" t="str">
        <f aca="false">IF(A33="","",IFERROR(INDEX(작품목록!$B$4:$B$103,MATCH(A33,작품목록!$A$4:$A$103,0)),"번호 확인"))</f>
        <v/>
      </c>
      <c r="C33" s="28" t="str">
        <f aca="false">IF(A33="","",IFERROR(INDEX(작품목록!$G$4:$G$103,MATCH(A33,작품목록!$A$4:$A$103,0)),"작품목록에 없음"))</f>
        <v/>
      </c>
      <c r="D33" s="21"/>
      <c r="E33" s="21"/>
      <c r="F33" s="21"/>
      <c r="G33" s="21"/>
      <c r="H33" s="27" t="str">
        <f aca="false">IF(COUNT(D33:G33)=0,"",SUM(D33:G33))</f>
        <v/>
      </c>
      <c r="I33" s="21"/>
      <c r="J33" s="21"/>
      <c r="K33" s="21"/>
      <c r="L33" s="21"/>
      <c r="M33" s="27" t="str">
        <f aca="false">IF(COUNT(I33:L33)=0,"",SUM(I33:L33))</f>
        <v/>
      </c>
      <c r="N33" s="21"/>
      <c r="O33" s="21"/>
      <c r="P33" s="21"/>
      <c r="Q33" s="21"/>
      <c r="R33" s="27" t="str">
        <f aca="false">IF(COUNT(N33:Q33)=0,"",SUM(N33:Q33))</f>
        <v/>
      </c>
      <c r="S33" s="29" t="str">
        <f aca="false">IF(COUNT(H33,M33,R33)=0,"",ROUND(AVERAGE(H33,M33,R33),2))</f>
        <v/>
      </c>
      <c r="T33" s="30" t="str">
        <f aca="false">IF(COUNT(F33,K33,P33)=0,"",ROUND(AVERAGE(F33,K33,P33),2))</f>
        <v/>
      </c>
    </row>
    <row r="34" customFormat="false" ht="15" hidden="false" customHeight="false" outlineLevel="0" collapsed="false">
      <c r="A34" s="22"/>
      <c r="B34" s="27" t="str">
        <f aca="false">IF(A34="","",IFERROR(INDEX(작품목록!$B$4:$B$103,MATCH(A34,작품목록!$A$4:$A$103,0)),"번호 확인"))</f>
        <v/>
      </c>
      <c r="C34" s="28" t="str">
        <f aca="false">IF(A34="","",IFERROR(INDEX(작품목록!$G$4:$G$103,MATCH(A34,작품목록!$A$4:$A$103,0)),"작품목록에 없음"))</f>
        <v/>
      </c>
      <c r="D34" s="21"/>
      <c r="E34" s="21"/>
      <c r="F34" s="21"/>
      <c r="G34" s="21"/>
      <c r="H34" s="27" t="str">
        <f aca="false">IF(COUNT(D34:G34)=0,"",SUM(D34:G34))</f>
        <v/>
      </c>
      <c r="I34" s="21"/>
      <c r="J34" s="21"/>
      <c r="K34" s="21"/>
      <c r="L34" s="21"/>
      <c r="M34" s="27" t="str">
        <f aca="false">IF(COUNT(I34:L34)=0,"",SUM(I34:L34))</f>
        <v/>
      </c>
      <c r="N34" s="21"/>
      <c r="O34" s="21"/>
      <c r="P34" s="21"/>
      <c r="Q34" s="21"/>
      <c r="R34" s="27" t="str">
        <f aca="false">IF(COUNT(N34:Q34)=0,"",SUM(N34:Q34))</f>
        <v/>
      </c>
      <c r="S34" s="29" t="str">
        <f aca="false">IF(COUNT(H34,M34,R34)=0,"",ROUND(AVERAGE(H34,M34,R34),2))</f>
        <v/>
      </c>
      <c r="T34" s="30" t="str">
        <f aca="false">IF(COUNT(F34,K34,P34)=0,"",ROUND(AVERAGE(F34,K34,P34),2))</f>
        <v/>
      </c>
    </row>
    <row r="35" customFormat="false" ht="15" hidden="false" customHeight="false" outlineLevel="0" collapsed="false">
      <c r="A35" s="22"/>
      <c r="B35" s="27" t="str">
        <f aca="false">IF(A35="","",IFERROR(INDEX(작품목록!$B$4:$B$103,MATCH(A35,작품목록!$A$4:$A$103,0)),"번호 확인"))</f>
        <v/>
      </c>
      <c r="C35" s="28" t="str">
        <f aca="false">IF(A35="","",IFERROR(INDEX(작품목록!$G$4:$G$103,MATCH(A35,작품목록!$A$4:$A$103,0)),"작품목록에 없음"))</f>
        <v/>
      </c>
      <c r="D35" s="21"/>
      <c r="E35" s="21"/>
      <c r="F35" s="21"/>
      <c r="G35" s="21"/>
      <c r="H35" s="27" t="str">
        <f aca="false">IF(COUNT(D35:G35)=0,"",SUM(D35:G35))</f>
        <v/>
      </c>
      <c r="I35" s="21"/>
      <c r="J35" s="21"/>
      <c r="K35" s="21"/>
      <c r="L35" s="21"/>
      <c r="M35" s="27" t="str">
        <f aca="false">IF(COUNT(I35:L35)=0,"",SUM(I35:L35))</f>
        <v/>
      </c>
      <c r="N35" s="21"/>
      <c r="O35" s="21"/>
      <c r="P35" s="21"/>
      <c r="Q35" s="21"/>
      <c r="R35" s="27" t="str">
        <f aca="false">IF(COUNT(N35:Q35)=0,"",SUM(N35:Q35))</f>
        <v/>
      </c>
      <c r="S35" s="29" t="str">
        <f aca="false">IF(COUNT(H35,M35,R35)=0,"",ROUND(AVERAGE(H35,M35,R35),2))</f>
        <v/>
      </c>
      <c r="T35" s="30" t="str">
        <f aca="false">IF(COUNT(F35,K35,P35)=0,"",ROUND(AVERAGE(F35,K35,P35),2))</f>
        <v/>
      </c>
    </row>
    <row r="36" customFormat="false" ht="15" hidden="false" customHeight="false" outlineLevel="0" collapsed="false">
      <c r="A36" s="22"/>
      <c r="B36" s="27" t="str">
        <f aca="false">IF(A36="","",IFERROR(INDEX(작품목록!$B$4:$B$103,MATCH(A36,작품목록!$A$4:$A$103,0)),"번호 확인"))</f>
        <v/>
      </c>
      <c r="C36" s="28" t="str">
        <f aca="false">IF(A36="","",IFERROR(INDEX(작품목록!$G$4:$G$103,MATCH(A36,작품목록!$A$4:$A$103,0)),"작품목록에 없음"))</f>
        <v/>
      </c>
      <c r="D36" s="21"/>
      <c r="E36" s="21"/>
      <c r="F36" s="21"/>
      <c r="G36" s="21"/>
      <c r="H36" s="27" t="str">
        <f aca="false">IF(COUNT(D36:G36)=0,"",SUM(D36:G36))</f>
        <v/>
      </c>
      <c r="I36" s="21"/>
      <c r="J36" s="21"/>
      <c r="K36" s="21"/>
      <c r="L36" s="21"/>
      <c r="M36" s="27" t="str">
        <f aca="false">IF(COUNT(I36:L36)=0,"",SUM(I36:L36))</f>
        <v/>
      </c>
      <c r="N36" s="21"/>
      <c r="O36" s="21"/>
      <c r="P36" s="21"/>
      <c r="Q36" s="21"/>
      <c r="R36" s="27" t="str">
        <f aca="false">IF(COUNT(N36:Q36)=0,"",SUM(N36:Q36))</f>
        <v/>
      </c>
      <c r="S36" s="29" t="str">
        <f aca="false">IF(COUNT(H36,M36,R36)=0,"",ROUND(AVERAGE(H36,M36,R36),2))</f>
        <v/>
      </c>
      <c r="T36" s="30" t="str">
        <f aca="false">IF(COUNT(F36,K36,P36)=0,"",ROUND(AVERAGE(F36,K36,P36),2))</f>
        <v/>
      </c>
    </row>
    <row r="37" customFormat="false" ht="15" hidden="false" customHeight="false" outlineLevel="0" collapsed="false">
      <c r="A37" s="22"/>
      <c r="B37" s="27" t="str">
        <f aca="false">IF(A37="","",IFERROR(INDEX(작품목록!$B$4:$B$103,MATCH(A37,작품목록!$A$4:$A$103,0)),"번호 확인"))</f>
        <v/>
      </c>
      <c r="C37" s="28" t="str">
        <f aca="false">IF(A37="","",IFERROR(INDEX(작품목록!$G$4:$G$103,MATCH(A37,작품목록!$A$4:$A$103,0)),"작품목록에 없음"))</f>
        <v/>
      </c>
      <c r="D37" s="21"/>
      <c r="E37" s="21"/>
      <c r="F37" s="21"/>
      <c r="G37" s="21"/>
      <c r="H37" s="27" t="str">
        <f aca="false">IF(COUNT(D37:G37)=0,"",SUM(D37:G37))</f>
        <v/>
      </c>
      <c r="I37" s="21"/>
      <c r="J37" s="21"/>
      <c r="K37" s="21"/>
      <c r="L37" s="21"/>
      <c r="M37" s="27" t="str">
        <f aca="false">IF(COUNT(I37:L37)=0,"",SUM(I37:L37))</f>
        <v/>
      </c>
      <c r="N37" s="21"/>
      <c r="O37" s="21"/>
      <c r="P37" s="21"/>
      <c r="Q37" s="21"/>
      <c r="R37" s="27" t="str">
        <f aca="false">IF(COUNT(N37:Q37)=0,"",SUM(N37:Q37))</f>
        <v/>
      </c>
      <c r="S37" s="29" t="str">
        <f aca="false">IF(COUNT(H37,M37,R37)=0,"",ROUND(AVERAGE(H37,M37,R37),2))</f>
        <v/>
      </c>
      <c r="T37" s="30" t="str">
        <f aca="false">IF(COUNT(F37,K37,P37)=0,"",ROUND(AVERAGE(F37,K37,P37),2))</f>
        <v/>
      </c>
    </row>
    <row r="38" customFormat="false" ht="15" hidden="false" customHeight="false" outlineLevel="0" collapsed="false">
      <c r="A38" s="22"/>
      <c r="B38" s="27" t="str">
        <f aca="false">IF(A38="","",IFERROR(INDEX(작품목록!$B$4:$B$103,MATCH(A38,작품목록!$A$4:$A$103,0)),"번호 확인"))</f>
        <v/>
      </c>
      <c r="C38" s="28" t="str">
        <f aca="false">IF(A38="","",IFERROR(INDEX(작품목록!$G$4:$G$103,MATCH(A38,작품목록!$A$4:$A$103,0)),"작품목록에 없음"))</f>
        <v/>
      </c>
      <c r="D38" s="21"/>
      <c r="E38" s="21"/>
      <c r="F38" s="21"/>
      <c r="G38" s="21"/>
      <c r="H38" s="27" t="str">
        <f aca="false">IF(COUNT(D38:G38)=0,"",SUM(D38:G38))</f>
        <v/>
      </c>
      <c r="I38" s="21"/>
      <c r="J38" s="21"/>
      <c r="K38" s="21"/>
      <c r="L38" s="21"/>
      <c r="M38" s="27" t="str">
        <f aca="false">IF(COUNT(I38:L38)=0,"",SUM(I38:L38))</f>
        <v/>
      </c>
      <c r="N38" s="21"/>
      <c r="O38" s="21"/>
      <c r="P38" s="21"/>
      <c r="Q38" s="21"/>
      <c r="R38" s="27" t="str">
        <f aca="false">IF(COUNT(N38:Q38)=0,"",SUM(N38:Q38))</f>
        <v/>
      </c>
      <c r="S38" s="29" t="str">
        <f aca="false">IF(COUNT(H38,M38,R38)=0,"",ROUND(AVERAGE(H38,M38,R38),2))</f>
        <v/>
      </c>
      <c r="T38" s="30" t="str">
        <f aca="false">IF(COUNT(F38,K38,P38)=0,"",ROUND(AVERAGE(F38,K38,P38),2))</f>
        <v/>
      </c>
    </row>
    <row r="39" customFormat="false" ht="15" hidden="false" customHeight="false" outlineLevel="0" collapsed="false">
      <c r="A39" s="22"/>
      <c r="B39" s="27" t="str">
        <f aca="false">IF(A39="","",IFERROR(INDEX(작품목록!$B$4:$B$103,MATCH(A39,작품목록!$A$4:$A$103,0)),"번호 확인"))</f>
        <v/>
      </c>
      <c r="C39" s="28" t="str">
        <f aca="false">IF(A39="","",IFERROR(INDEX(작품목록!$G$4:$G$103,MATCH(A39,작품목록!$A$4:$A$103,0)),"작품목록에 없음"))</f>
        <v/>
      </c>
      <c r="D39" s="21"/>
      <c r="E39" s="21"/>
      <c r="F39" s="21"/>
      <c r="G39" s="21"/>
      <c r="H39" s="27" t="str">
        <f aca="false">IF(COUNT(D39:G39)=0,"",SUM(D39:G39))</f>
        <v/>
      </c>
      <c r="I39" s="21"/>
      <c r="J39" s="21"/>
      <c r="K39" s="21"/>
      <c r="L39" s="21"/>
      <c r="M39" s="27" t="str">
        <f aca="false">IF(COUNT(I39:L39)=0,"",SUM(I39:L39))</f>
        <v/>
      </c>
      <c r="N39" s="21"/>
      <c r="O39" s="21"/>
      <c r="P39" s="21"/>
      <c r="Q39" s="21"/>
      <c r="R39" s="27" t="str">
        <f aca="false">IF(COUNT(N39:Q39)=0,"",SUM(N39:Q39))</f>
        <v/>
      </c>
      <c r="S39" s="29" t="str">
        <f aca="false">IF(COUNT(H39,M39,R39)=0,"",ROUND(AVERAGE(H39,M39,R39),2))</f>
        <v/>
      </c>
      <c r="T39" s="30" t="str">
        <f aca="false">IF(COUNT(F39,K39,P39)=0,"",ROUND(AVERAGE(F39,K39,P39),2))</f>
        <v/>
      </c>
    </row>
    <row r="40" customFormat="false" ht="15" hidden="false" customHeight="false" outlineLevel="0" collapsed="false">
      <c r="A40" s="22"/>
      <c r="B40" s="27" t="str">
        <f aca="false">IF(A40="","",IFERROR(INDEX(작품목록!$B$4:$B$103,MATCH(A40,작품목록!$A$4:$A$103,0)),"번호 확인"))</f>
        <v/>
      </c>
      <c r="C40" s="28" t="str">
        <f aca="false">IF(A40="","",IFERROR(INDEX(작품목록!$G$4:$G$103,MATCH(A40,작품목록!$A$4:$A$103,0)),"작품목록에 없음"))</f>
        <v/>
      </c>
      <c r="D40" s="21"/>
      <c r="E40" s="21"/>
      <c r="F40" s="21"/>
      <c r="G40" s="21"/>
      <c r="H40" s="27" t="str">
        <f aca="false">IF(COUNT(D40:G40)=0,"",SUM(D40:G40))</f>
        <v/>
      </c>
      <c r="I40" s="21"/>
      <c r="J40" s="21"/>
      <c r="K40" s="21"/>
      <c r="L40" s="21"/>
      <c r="M40" s="27" t="str">
        <f aca="false">IF(COUNT(I40:L40)=0,"",SUM(I40:L40))</f>
        <v/>
      </c>
      <c r="N40" s="21"/>
      <c r="O40" s="21"/>
      <c r="P40" s="21"/>
      <c r="Q40" s="21"/>
      <c r="R40" s="27" t="str">
        <f aca="false">IF(COUNT(N40:Q40)=0,"",SUM(N40:Q40))</f>
        <v/>
      </c>
      <c r="S40" s="29" t="str">
        <f aca="false">IF(COUNT(H40,M40,R40)=0,"",ROUND(AVERAGE(H40,M40,R40),2))</f>
        <v/>
      </c>
      <c r="T40" s="30" t="str">
        <f aca="false">IF(COUNT(F40,K40,P40)=0,"",ROUND(AVERAGE(F40,K40,P40),2))</f>
        <v/>
      </c>
    </row>
    <row r="41" customFormat="false" ht="15" hidden="false" customHeight="false" outlineLevel="0" collapsed="false">
      <c r="A41" s="22"/>
      <c r="B41" s="27" t="str">
        <f aca="false">IF(A41="","",IFERROR(INDEX(작품목록!$B$4:$B$103,MATCH(A41,작품목록!$A$4:$A$103,0)),"번호 확인"))</f>
        <v/>
      </c>
      <c r="C41" s="28" t="str">
        <f aca="false">IF(A41="","",IFERROR(INDEX(작품목록!$G$4:$G$103,MATCH(A41,작품목록!$A$4:$A$103,0)),"작품목록에 없음"))</f>
        <v/>
      </c>
      <c r="D41" s="21"/>
      <c r="E41" s="21"/>
      <c r="F41" s="21"/>
      <c r="G41" s="21"/>
      <c r="H41" s="27" t="str">
        <f aca="false">IF(COUNT(D41:G41)=0,"",SUM(D41:G41))</f>
        <v/>
      </c>
      <c r="I41" s="21"/>
      <c r="J41" s="21"/>
      <c r="K41" s="21"/>
      <c r="L41" s="21"/>
      <c r="M41" s="27" t="str">
        <f aca="false">IF(COUNT(I41:L41)=0,"",SUM(I41:L41))</f>
        <v/>
      </c>
      <c r="N41" s="21"/>
      <c r="O41" s="21"/>
      <c r="P41" s="21"/>
      <c r="Q41" s="21"/>
      <c r="R41" s="27" t="str">
        <f aca="false">IF(COUNT(N41:Q41)=0,"",SUM(N41:Q41))</f>
        <v/>
      </c>
      <c r="S41" s="29" t="str">
        <f aca="false">IF(COUNT(H41,M41,R41)=0,"",ROUND(AVERAGE(H41,M41,R41),2))</f>
        <v/>
      </c>
      <c r="T41" s="30" t="str">
        <f aca="false">IF(COUNT(F41,K41,P41)=0,"",ROUND(AVERAGE(F41,K41,P41),2))</f>
        <v/>
      </c>
    </row>
    <row r="42" customFormat="false" ht="15" hidden="false" customHeight="false" outlineLevel="0" collapsed="false">
      <c r="A42" s="22"/>
      <c r="B42" s="27" t="str">
        <f aca="false">IF(A42="","",IFERROR(INDEX(작품목록!$B$4:$B$103,MATCH(A42,작품목록!$A$4:$A$103,0)),"번호 확인"))</f>
        <v/>
      </c>
      <c r="C42" s="28" t="str">
        <f aca="false">IF(A42="","",IFERROR(INDEX(작품목록!$G$4:$G$103,MATCH(A42,작품목록!$A$4:$A$103,0)),"작품목록에 없음"))</f>
        <v/>
      </c>
      <c r="D42" s="21"/>
      <c r="E42" s="21"/>
      <c r="F42" s="21"/>
      <c r="G42" s="21"/>
      <c r="H42" s="27" t="str">
        <f aca="false">IF(COUNT(D42:G42)=0,"",SUM(D42:G42))</f>
        <v/>
      </c>
      <c r="I42" s="21"/>
      <c r="J42" s="21"/>
      <c r="K42" s="21"/>
      <c r="L42" s="21"/>
      <c r="M42" s="27" t="str">
        <f aca="false">IF(COUNT(I42:L42)=0,"",SUM(I42:L42))</f>
        <v/>
      </c>
      <c r="N42" s="21"/>
      <c r="O42" s="21"/>
      <c r="P42" s="21"/>
      <c r="Q42" s="21"/>
      <c r="R42" s="27" t="str">
        <f aca="false">IF(COUNT(N42:Q42)=0,"",SUM(N42:Q42))</f>
        <v/>
      </c>
      <c r="S42" s="29" t="str">
        <f aca="false">IF(COUNT(H42,M42,R42)=0,"",ROUND(AVERAGE(H42,M42,R42),2))</f>
        <v/>
      </c>
      <c r="T42" s="30" t="str">
        <f aca="false">IF(COUNT(F42,K42,P42)=0,"",ROUND(AVERAGE(F42,K42,P42),2))</f>
        <v/>
      </c>
    </row>
    <row r="43" customFormat="false" ht="15" hidden="false" customHeight="false" outlineLevel="0" collapsed="false">
      <c r="A43" s="22"/>
      <c r="B43" s="27" t="str">
        <f aca="false">IF(A43="","",IFERROR(INDEX(작품목록!$B$4:$B$103,MATCH(A43,작품목록!$A$4:$A$103,0)),"번호 확인"))</f>
        <v/>
      </c>
      <c r="C43" s="28" t="str">
        <f aca="false">IF(A43="","",IFERROR(INDEX(작품목록!$G$4:$G$103,MATCH(A43,작품목록!$A$4:$A$103,0)),"작품목록에 없음"))</f>
        <v/>
      </c>
      <c r="D43" s="21"/>
      <c r="E43" s="21"/>
      <c r="F43" s="21"/>
      <c r="G43" s="21"/>
      <c r="H43" s="27" t="str">
        <f aca="false">IF(COUNT(D43:G43)=0,"",SUM(D43:G43))</f>
        <v/>
      </c>
      <c r="I43" s="21"/>
      <c r="J43" s="21"/>
      <c r="K43" s="21"/>
      <c r="L43" s="21"/>
      <c r="M43" s="27" t="str">
        <f aca="false">IF(COUNT(I43:L43)=0,"",SUM(I43:L43))</f>
        <v/>
      </c>
      <c r="N43" s="21"/>
      <c r="O43" s="21"/>
      <c r="P43" s="21"/>
      <c r="Q43" s="21"/>
      <c r="R43" s="27" t="str">
        <f aca="false">IF(COUNT(N43:Q43)=0,"",SUM(N43:Q43))</f>
        <v/>
      </c>
      <c r="S43" s="29" t="str">
        <f aca="false">IF(COUNT(H43,M43,R43)=0,"",ROUND(AVERAGE(H43,M43,R43),2))</f>
        <v/>
      </c>
      <c r="T43" s="30" t="str">
        <f aca="false">IF(COUNT(F43,K43,P43)=0,"",ROUND(AVERAGE(F43,K43,P43),2))</f>
        <v/>
      </c>
    </row>
    <row r="44" customFormat="false" ht="15" hidden="false" customHeight="false" outlineLevel="0" collapsed="false">
      <c r="A44" s="22"/>
      <c r="B44" s="27" t="str">
        <f aca="false">IF(A44="","",IFERROR(INDEX(작품목록!$B$4:$B$103,MATCH(A44,작품목록!$A$4:$A$103,0)),"번호 확인"))</f>
        <v/>
      </c>
      <c r="C44" s="28" t="str">
        <f aca="false">IF(A44="","",IFERROR(INDEX(작품목록!$G$4:$G$103,MATCH(A44,작품목록!$A$4:$A$103,0)),"작품목록에 없음"))</f>
        <v/>
      </c>
      <c r="D44" s="21"/>
      <c r="E44" s="21"/>
      <c r="F44" s="21"/>
      <c r="G44" s="21"/>
      <c r="H44" s="27" t="str">
        <f aca="false">IF(COUNT(D44:G44)=0,"",SUM(D44:G44))</f>
        <v/>
      </c>
      <c r="I44" s="21"/>
      <c r="J44" s="21"/>
      <c r="K44" s="21"/>
      <c r="L44" s="21"/>
      <c r="M44" s="27" t="str">
        <f aca="false">IF(COUNT(I44:L44)=0,"",SUM(I44:L44))</f>
        <v/>
      </c>
      <c r="N44" s="21"/>
      <c r="O44" s="21"/>
      <c r="P44" s="21"/>
      <c r="Q44" s="21"/>
      <c r="R44" s="27" t="str">
        <f aca="false">IF(COUNT(N44:Q44)=0,"",SUM(N44:Q44))</f>
        <v/>
      </c>
      <c r="S44" s="29" t="str">
        <f aca="false">IF(COUNT(H44,M44,R44)=0,"",ROUND(AVERAGE(H44,M44,R44),2))</f>
        <v/>
      </c>
      <c r="T44" s="30" t="str">
        <f aca="false">IF(COUNT(F44,K44,P44)=0,"",ROUND(AVERAGE(F44,K44,P44),2))</f>
        <v/>
      </c>
    </row>
    <row r="45" customFormat="false" ht="15" hidden="false" customHeight="false" outlineLevel="0" collapsed="false">
      <c r="A45" s="22"/>
      <c r="B45" s="27" t="str">
        <f aca="false">IF(A45="","",IFERROR(INDEX(작품목록!$B$4:$B$103,MATCH(A45,작품목록!$A$4:$A$103,0)),"번호 확인"))</f>
        <v/>
      </c>
      <c r="C45" s="28" t="str">
        <f aca="false">IF(A45="","",IFERROR(INDEX(작품목록!$G$4:$G$103,MATCH(A45,작품목록!$A$4:$A$103,0)),"작품목록에 없음"))</f>
        <v/>
      </c>
      <c r="D45" s="21"/>
      <c r="E45" s="21"/>
      <c r="F45" s="21"/>
      <c r="G45" s="21"/>
      <c r="H45" s="27" t="str">
        <f aca="false">IF(COUNT(D45:G45)=0,"",SUM(D45:G45))</f>
        <v/>
      </c>
      <c r="I45" s="21"/>
      <c r="J45" s="21"/>
      <c r="K45" s="21"/>
      <c r="L45" s="21"/>
      <c r="M45" s="27" t="str">
        <f aca="false">IF(COUNT(I45:L45)=0,"",SUM(I45:L45))</f>
        <v/>
      </c>
      <c r="N45" s="21"/>
      <c r="O45" s="21"/>
      <c r="P45" s="21"/>
      <c r="Q45" s="21"/>
      <c r="R45" s="27" t="str">
        <f aca="false">IF(COUNT(N45:Q45)=0,"",SUM(N45:Q45))</f>
        <v/>
      </c>
      <c r="S45" s="29" t="str">
        <f aca="false">IF(COUNT(H45,M45,R45)=0,"",ROUND(AVERAGE(H45,M45,R45),2))</f>
        <v/>
      </c>
      <c r="T45" s="30" t="str">
        <f aca="false">IF(COUNT(F45,K45,P45)=0,"",ROUND(AVERAGE(F45,K45,P45),2))</f>
        <v/>
      </c>
    </row>
    <row r="46" customFormat="false" ht="15" hidden="false" customHeight="false" outlineLevel="0" collapsed="false">
      <c r="A46" s="22"/>
      <c r="B46" s="27" t="str">
        <f aca="false">IF(A46="","",IFERROR(INDEX(작품목록!$B$4:$B$103,MATCH(A46,작품목록!$A$4:$A$103,0)),"번호 확인"))</f>
        <v/>
      </c>
      <c r="C46" s="28" t="str">
        <f aca="false">IF(A46="","",IFERROR(INDEX(작품목록!$G$4:$G$103,MATCH(A46,작품목록!$A$4:$A$103,0)),"작품목록에 없음"))</f>
        <v/>
      </c>
      <c r="D46" s="21"/>
      <c r="E46" s="21"/>
      <c r="F46" s="21"/>
      <c r="G46" s="21"/>
      <c r="H46" s="27" t="str">
        <f aca="false">IF(COUNT(D46:G46)=0,"",SUM(D46:G46))</f>
        <v/>
      </c>
      <c r="I46" s="21"/>
      <c r="J46" s="21"/>
      <c r="K46" s="21"/>
      <c r="L46" s="21"/>
      <c r="M46" s="27" t="str">
        <f aca="false">IF(COUNT(I46:L46)=0,"",SUM(I46:L46))</f>
        <v/>
      </c>
      <c r="N46" s="21"/>
      <c r="O46" s="21"/>
      <c r="P46" s="21"/>
      <c r="Q46" s="21"/>
      <c r="R46" s="27" t="str">
        <f aca="false">IF(COUNT(N46:Q46)=0,"",SUM(N46:Q46))</f>
        <v/>
      </c>
      <c r="S46" s="29" t="str">
        <f aca="false">IF(COUNT(H46,M46,R46)=0,"",ROUND(AVERAGE(H46,M46,R46),2))</f>
        <v/>
      </c>
      <c r="T46" s="30" t="str">
        <f aca="false">IF(COUNT(F46,K46,P46)=0,"",ROUND(AVERAGE(F46,K46,P46),2))</f>
        <v/>
      </c>
    </row>
    <row r="47" customFormat="false" ht="15" hidden="false" customHeight="false" outlineLevel="0" collapsed="false">
      <c r="A47" s="22"/>
      <c r="B47" s="27" t="str">
        <f aca="false">IF(A47="","",IFERROR(INDEX(작품목록!$B$4:$B$103,MATCH(A47,작품목록!$A$4:$A$103,0)),"번호 확인"))</f>
        <v/>
      </c>
      <c r="C47" s="28" t="str">
        <f aca="false">IF(A47="","",IFERROR(INDEX(작품목록!$G$4:$G$103,MATCH(A47,작품목록!$A$4:$A$103,0)),"작품목록에 없음"))</f>
        <v/>
      </c>
      <c r="D47" s="21"/>
      <c r="E47" s="21"/>
      <c r="F47" s="21"/>
      <c r="G47" s="21"/>
      <c r="H47" s="27" t="str">
        <f aca="false">IF(COUNT(D47:G47)=0,"",SUM(D47:G47))</f>
        <v/>
      </c>
      <c r="I47" s="21"/>
      <c r="J47" s="21"/>
      <c r="K47" s="21"/>
      <c r="L47" s="21"/>
      <c r="M47" s="27" t="str">
        <f aca="false">IF(COUNT(I47:L47)=0,"",SUM(I47:L47))</f>
        <v/>
      </c>
      <c r="N47" s="21"/>
      <c r="O47" s="21"/>
      <c r="P47" s="21"/>
      <c r="Q47" s="21"/>
      <c r="R47" s="27" t="str">
        <f aca="false">IF(COUNT(N47:Q47)=0,"",SUM(N47:Q47))</f>
        <v/>
      </c>
      <c r="S47" s="29" t="str">
        <f aca="false">IF(COUNT(H47,M47,R47)=0,"",ROUND(AVERAGE(H47,M47,R47),2))</f>
        <v/>
      </c>
      <c r="T47" s="30" t="str">
        <f aca="false">IF(COUNT(F47,K47,P47)=0,"",ROUND(AVERAGE(F47,K47,P47),2))</f>
        <v/>
      </c>
    </row>
    <row r="48" customFormat="false" ht="15" hidden="false" customHeight="false" outlineLevel="0" collapsed="false">
      <c r="A48" s="22"/>
      <c r="B48" s="27" t="str">
        <f aca="false">IF(A48="","",IFERROR(INDEX(작품목록!$B$4:$B$103,MATCH(A48,작품목록!$A$4:$A$103,0)),"번호 확인"))</f>
        <v/>
      </c>
      <c r="C48" s="28" t="str">
        <f aca="false">IF(A48="","",IFERROR(INDEX(작품목록!$G$4:$G$103,MATCH(A48,작품목록!$A$4:$A$103,0)),"작품목록에 없음"))</f>
        <v/>
      </c>
      <c r="D48" s="21"/>
      <c r="E48" s="21"/>
      <c r="F48" s="21"/>
      <c r="G48" s="21"/>
      <c r="H48" s="27" t="str">
        <f aca="false">IF(COUNT(D48:G48)=0,"",SUM(D48:G48))</f>
        <v/>
      </c>
      <c r="I48" s="21"/>
      <c r="J48" s="21"/>
      <c r="K48" s="21"/>
      <c r="L48" s="21"/>
      <c r="M48" s="27" t="str">
        <f aca="false">IF(COUNT(I48:L48)=0,"",SUM(I48:L48))</f>
        <v/>
      </c>
      <c r="N48" s="21"/>
      <c r="O48" s="21"/>
      <c r="P48" s="21"/>
      <c r="Q48" s="21"/>
      <c r="R48" s="27" t="str">
        <f aca="false">IF(COUNT(N48:Q48)=0,"",SUM(N48:Q48))</f>
        <v/>
      </c>
      <c r="S48" s="29" t="str">
        <f aca="false">IF(COUNT(H48,M48,R48)=0,"",ROUND(AVERAGE(H48,M48,R48),2))</f>
        <v/>
      </c>
      <c r="T48" s="30" t="str">
        <f aca="false">IF(COUNT(F48,K48,P48)=0,"",ROUND(AVERAGE(F48,K48,P48),2))</f>
        <v/>
      </c>
    </row>
    <row r="49" customFormat="false" ht="15" hidden="false" customHeight="false" outlineLevel="0" collapsed="false">
      <c r="A49" s="22"/>
      <c r="B49" s="27" t="str">
        <f aca="false">IF(A49="","",IFERROR(INDEX(작품목록!$B$4:$B$103,MATCH(A49,작품목록!$A$4:$A$103,0)),"번호 확인"))</f>
        <v/>
      </c>
      <c r="C49" s="28" t="str">
        <f aca="false">IF(A49="","",IFERROR(INDEX(작품목록!$G$4:$G$103,MATCH(A49,작품목록!$A$4:$A$103,0)),"작품목록에 없음"))</f>
        <v/>
      </c>
      <c r="D49" s="21"/>
      <c r="E49" s="21"/>
      <c r="F49" s="21"/>
      <c r="G49" s="21"/>
      <c r="H49" s="27" t="str">
        <f aca="false">IF(COUNT(D49:G49)=0,"",SUM(D49:G49))</f>
        <v/>
      </c>
      <c r="I49" s="21"/>
      <c r="J49" s="21"/>
      <c r="K49" s="21"/>
      <c r="L49" s="21"/>
      <c r="M49" s="27" t="str">
        <f aca="false">IF(COUNT(I49:L49)=0,"",SUM(I49:L49))</f>
        <v/>
      </c>
      <c r="N49" s="21"/>
      <c r="O49" s="21"/>
      <c r="P49" s="21"/>
      <c r="Q49" s="21"/>
      <c r="R49" s="27" t="str">
        <f aca="false">IF(COUNT(N49:Q49)=0,"",SUM(N49:Q49))</f>
        <v/>
      </c>
      <c r="S49" s="29" t="str">
        <f aca="false">IF(COUNT(H49,M49,R49)=0,"",ROUND(AVERAGE(H49,M49,R49),2))</f>
        <v/>
      </c>
      <c r="T49" s="30" t="str">
        <f aca="false">IF(COUNT(F49,K49,P49)=0,"",ROUND(AVERAGE(F49,K49,P49),2))</f>
        <v/>
      </c>
    </row>
    <row r="50" customFormat="false" ht="15" hidden="false" customHeight="false" outlineLevel="0" collapsed="false">
      <c r="A50" s="22"/>
      <c r="B50" s="27" t="str">
        <f aca="false">IF(A50="","",IFERROR(INDEX(작품목록!$B$4:$B$103,MATCH(A50,작품목록!$A$4:$A$103,0)),"번호 확인"))</f>
        <v/>
      </c>
      <c r="C50" s="28" t="str">
        <f aca="false">IF(A50="","",IFERROR(INDEX(작품목록!$G$4:$G$103,MATCH(A50,작품목록!$A$4:$A$103,0)),"작품목록에 없음"))</f>
        <v/>
      </c>
      <c r="D50" s="21"/>
      <c r="E50" s="21"/>
      <c r="F50" s="21"/>
      <c r="G50" s="21"/>
      <c r="H50" s="27" t="str">
        <f aca="false">IF(COUNT(D50:G50)=0,"",SUM(D50:G50))</f>
        <v/>
      </c>
      <c r="I50" s="21"/>
      <c r="J50" s="21"/>
      <c r="K50" s="21"/>
      <c r="L50" s="21"/>
      <c r="M50" s="27" t="str">
        <f aca="false">IF(COUNT(I50:L50)=0,"",SUM(I50:L50))</f>
        <v/>
      </c>
      <c r="N50" s="21"/>
      <c r="O50" s="21"/>
      <c r="P50" s="21"/>
      <c r="Q50" s="21"/>
      <c r="R50" s="27" t="str">
        <f aca="false">IF(COUNT(N50:Q50)=0,"",SUM(N50:Q50))</f>
        <v/>
      </c>
      <c r="S50" s="29" t="str">
        <f aca="false">IF(COUNT(H50,M50,R50)=0,"",ROUND(AVERAGE(H50,M50,R50),2))</f>
        <v/>
      </c>
      <c r="T50" s="30" t="str">
        <f aca="false">IF(COUNT(F50,K50,P50)=0,"",ROUND(AVERAGE(F50,K50,P50),2))</f>
        <v/>
      </c>
    </row>
    <row r="51" customFormat="false" ht="15" hidden="false" customHeight="false" outlineLevel="0" collapsed="false">
      <c r="A51" s="22"/>
      <c r="B51" s="27" t="str">
        <f aca="false">IF(A51="","",IFERROR(INDEX(작품목록!$B$4:$B$103,MATCH(A51,작품목록!$A$4:$A$103,0)),"번호 확인"))</f>
        <v/>
      </c>
      <c r="C51" s="28" t="str">
        <f aca="false">IF(A51="","",IFERROR(INDEX(작품목록!$G$4:$G$103,MATCH(A51,작품목록!$A$4:$A$103,0)),"작품목록에 없음"))</f>
        <v/>
      </c>
      <c r="D51" s="21"/>
      <c r="E51" s="21"/>
      <c r="F51" s="21"/>
      <c r="G51" s="21"/>
      <c r="H51" s="27" t="str">
        <f aca="false">IF(COUNT(D51:G51)=0,"",SUM(D51:G51))</f>
        <v/>
      </c>
      <c r="I51" s="21"/>
      <c r="J51" s="21"/>
      <c r="K51" s="21"/>
      <c r="L51" s="21"/>
      <c r="M51" s="27" t="str">
        <f aca="false">IF(COUNT(I51:L51)=0,"",SUM(I51:L51))</f>
        <v/>
      </c>
      <c r="N51" s="21"/>
      <c r="O51" s="21"/>
      <c r="P51" s="21"/>
      <c r="Q51" s="21"/>
      <c r="R51" s="27" t="str">
        <f aca="false">IF(COUNT(N51:Q51)=0,"",SUM(N51:Q51))</f>
        <v/>
      </c>
      <c r="S51" s="29" t="str">
        <f aca="false">IF(COUNT(H51,M51,R51)=0,"",ROUND(AVERAGE(H51,M51,R51),2))</f>
        <v/>
      </c>
      <c r="T51" s="30" t="str">
        <f aca="false">IF(COUNT(F51,K51,P51)=0,"",ROUND(AVERAGE(F51,K51,P51),2))</f>
        <v/>
      </c>
    </row>
    <row r="52" customFormat="false" ht="15" hidden="false" customHeight="false" outlineLevel="0" collapsed="false">
      <c r="A52" s="22"/>
      <c r="B52" s="27" t="str">
        <f aca="false">IF(A52="","",IFERROR(INDEX(작품목록!$B$4:$B$103,MATCH(A52,작품목록!$A$4:$A$103,0)),"번호 확인"))</f>
        <v/>
      </c>
      <c r="C52" s="28" t="str">
        <f aca="false">IF(A52="","",IFERROR(INDEX(작품목록!$G$4:$G$103,MATCH(A52,작품목록!$A$4:$A$103,0)),"작품목록에 없음"))</f>
        <v/>
      </c>
      <c r="D52" s="21"/>
      <c r="E52" s="21"/>
      <c r="F52" s="21"/>
      <c r="G52" s="21"/>
      <c r="H52" s="27" t="str">
        <f aca="false">IF(COUNT(D52:G52)=0,"",SUM(D52:G52))</f>
        <v/>
      </c>
      <c r="I52" s="21"/>
      <c r="J52" s="21"/>
      <c r="K52" s="21"/>
      <c r="L52" s="21"/>
      <c r="M52" s="27" t="str">
        <f aca="false">IF(COUNT(I52:L52)=0,"",SUM(I52:L52))</f>
        <v/>
      </c>
      <c r="N52" s="21"/>
      <c r="O52" s="21"/>
      <c r="P52" s="21"/>
      <c r="Q52" s="21"/>
      <c r="R52" s="27" t="str">
        <f aca="false">IF(COUNT(N52:Q52)=0,"",SUM(N52:Q52))</f>
        <v/>
      </c>
      <c r="S52" s="29" t="str">
        <f aca="false">IF(COUNT(H52,M52,R52)=0,"",ROUND(AVERAGE(H52,M52,R52),2))</f>
        <v/>
      </c>
      <c r="T52" s="30" t="str">
        <f aca="false">IF(COUNT(F52,K52,P52)=0,"",ROUND(AVERAGE(F52,K52,P52),2))</f>
        <v/>
      </c>
    </row>
    <row r="53" customFormat="false" ht="15" hidden="false" customHeight="false" outlineLevel="0" collapsed="false">
      <c r="A53" s="22"/>
      <c r="B53" s="27" t="str">
        <f aca="false">IF(A53="","",IFERROR(INDEX(작품목록!$B$4:$B$103,MATCH(A53,작품목록!$A$4:$A$103,0)),"번호 확인"))</f>
        <v/>
      </c>
      <c r="C53" s="28" t="str">
        <f aca="false">IF(A53="","",IFERROR(INDEX(작품목록!$G$4:$G$103,MATCH(A53,작품목록!$A$4:$A$103,0)),"작품목록에 없음"))</f>
        <v/>
      </c>
      <c r="D53" s="21"/>
      <c r="E53" s="21"/>
      <c r="F53" s="21"/>
      <c r="G53" s="21"/>
      <c r="H53" s="27" t="str">
        <f aca="false">IF(COUNT(D53:G53)=0,"",SUM(D53:G53))</f>
        <v/>
      </c>
      <c r="I53" s="21"/>
      <c r="J53" s="21"/>
      <c r="K53" s="21"/>
      <c r="L53" s="21"/>
      <c r="M53" s="27" t="str">
        <f aca="false">IF(COUNT(I53:L53)=0,"",SUM(I53:L53))</f>
        <v/>
      </c>
      <c r="N53" s="21"/>
      <c r="O53" s="21"/>
      <c r="P53" s="21"/>
      <c r="Q53" s="21"/>
      <c r="R53" s="27" t="str">
        <f aca="false">IF(COUNT(N53:Q53)=0,"",SUM(N53:Q53))</f>
        <v/>
      </c>
      <c r="S53" s="29" t="str">
        <f aca="false">IF(COUNT(H53,M53,R53)=0,"",ROUND(AVERAGE(H53,M53,R53),2))</f>
        <v/>
      </c>
      <c r="T53" s="30" t="str">
        <f aca="false">IF(COUNT(F53,K53,P53)=0,"",ROUND(AVERAGE(F53,K53,P53),2))</f>
        <v/>
      </c>
    </row>
    <row r="54" customFormat="false" ht="15" hidden="false" customHeight="false" outlineLevel="0" collapsed="false">
      <c r="A54" s="22"/>
      <c r="B54" s="27" t="str">
        <f aca="false">IF(A54="","",IFERROR(INDEX(작품목록!$B$4:$B$103,MATCH(A54,작품목록!$A$4:$A$103,0)),"번호 확인"))</f>
        <v/>
      </c>
      <c r="C54" s="28" t="str">
        <f aca="false">IF(A54="","",IFERROR(INDEX(작품목록!$G$4:$G$103,MATCH(A54,작품목록!$A$4:$A$103,0)),"작품목록에 없음"))</f>
        <v/>
      </c>
      <c r="D54" s="21"/>
      <c r="E54" s="21"/>
      <c r="F54" s="21"/>
      <c r="G54" s="21"/>
      <c r="H54" s="27" t="str">
        <f aca="false">IF(COUNT(D54:G54)=0,"",SUM(D54:G54))</f>
        <v/>
      </c>
      <c r="I54" s="21"/>
      <c r="J54" s="21"/>
      <c r="K54" s="21"/>
      <c r="L54" s="21"/>
      <c r="M54" s="27" t="str">
        <f aca="false">IF(COUNT(I54:L54)=0,"",SUM(I54:L54))</f>
        <v/>
      </c>
      <c r="N54" s="21"/>
      <c r="O54" s="21"/>
      <c r="P54" s="21"/>
      <c r="Q54" s="21"/>
      <c r="R54" s="27" t="str">
        <f aca="false">IF(COUNT(N54:Q54)=0,"",SUM(N54:Q54))</f>
        <v/>
      </c>
      <c r="S54" s="29" t="str">
        <f aca="false">IF(COUNT(H54,M54,R54)=0,"",ROUND(AVERAGE(H54,M54,R54),2))</f>
        <v/>
      </c>
      <c r="T54" s="30" t="str">
        <f aca="false">IF(COUNT(F54,K54,P54)=0,"",ROUND(AVERAGE(F54,K54,P54),2))</f>
        <v/>
      </c>
    </row>
    <row r="55" customFormat="false" ht="15" hidden="false" customHeight="false" outlineLevel="0" collapsed="false">
      <c r="A55" s="22"/>
      <c r="B55" s="27" t="str">
        <f aca="false">IF(A55="","",IFERROR(INDEX(작품목록!$B$4:$B$103,MATCH(A55,작품목록!$A$4:$A$103,0)),"번호 확인"))</f>
        <v/>
      </c>
      <c r="C55" s="28" t="str">
        <f aca="false">IF(A55="","",IFERROR(INDEX(작품목록!$G$4:$G$103,MATCH(A55,작품목록!$A$4:$A$103,0)),"작품목록에 없음"))</f>
        <v/>
      </c>
      <c r="D55" s="21"/>
      <c r="E55" s="21"/>
      <c r="F55" s="21"/>
      <c r="G55" s="21"/>
      <c r="H55" s="27" t="str">
        <f aca="false">IF(COUNT(D55:G55)=0,"",SUM(D55:G55))</f>
        <v/>
      </c>
      <c r="I55" s="21"/>
      <c r="J55" s="21"/>
      <c r="K55" s="21"/>
      <c r="L55" s="21"/>
      <c r="M55" s="27" t="str">
        <f aca="false">IF(COUNT(I55:L55)=0,"",SUM(I55:L55))</f>
        <v/>
      </c>
      <c r="N55" s="21"/>
      <c r="O55" s="21"/>
      <c r="P55" s="21"/>
      <c r="Q55" s="21"/>
      <c r="R55" s="27" t="str">
        <f aca="false">IF(COUNT(N55:Q55)=0,"",SUM(N55:Q55))</f>
        <v/>
      </c>
      <c r="S55" s="29" t="str">
        <f aca="false">IF(COUNT(H55,M55,R55)=0,"",ROUND(AVERAGE(H55,M55,R55),2))</f>
        <v/>
      </c>
      <c r="T55" s="30" t="str">
        <f aca="false">IF(COUNT(F55,K55,P55)=0,"",ROUND(AVERAGE(F55,K55,P55),2))</f>
        <v/>
      </c>
    </row>
    <row r="56" customFormat="false" ht="15" hidden="false" customHeight="false" outlineLevel="0" collapsed="false">
      <c r="A56" s="22"/>
      <c r="B56" s="27" t="str">
        <f aca="false">IF(A56="","",IFERROR(INDEX(작품목록!$B$4:$B$103,MATCH(A56,작품목록!$A$4:$A$103,0)),"번호 확인"))</f>
        <v/>
      </c>
      <c r="C56" s="28" t="str">
        <f aca="false">IF(A56="","",IFERROR(INDEX(작품목록!$G$4:$G$103,MATCH(A56,작품목록!$A$4:$A$103,0)),"작품목록에 없음"))</f>
        <v/>
      </c>
      <c r="D56" s="21"/>
      <c r="E56" s="21"/>
      <c r="F56" s="21"/>
      <c r="G56" s="21"/>
      <c r="H56" s="27" t="str">
        <f aca="false">IF(COUNT(D56:G56)=0,"",SUM(D56:G56))</f>
        <v/>
      </c>
      <c r="I56" s="21"/>
      <c r="J56" s="21"/>
      <c r="K56" s="21"/>
      <c r="L56" s="21"/>
      <c r="M56" s="27" t="str">
        <f aca="false">IF(COUNT(I56:L56)=0,"",SUM(I56:L56))</f>
        <v/>
      </c>
      <c r="N56" s="21"/>
      <c r="O56" s="21"/>
      <c r="P56" s="21"/>
      <c r="Q56" s="21"/>
      <c r="R56" s="27" t="str">
        <f aca="false">IF(COUNT(N56:Q56)=0,"",SUM(N56:Q56))</f>
        <v/>
      </c>
      <c r="S56" s="29" t="str">
        <f aca="false">IF(COUNT(H56,M56,R56)=0,"",ROUND(AVERAGE(H56,M56,R56),2))</f>
        <v/>
      </c>
      <c r="T56" s="30" t="str">
        <f aca="false">IF(COUNT(F56,K56,P56)=0,"",ROUND(AVERAGE(F56,K56,P56),2))</f>
        <v/>
      </c>
    </row>
    <row r="57" customFormat="false" ht="15" hidden="false" customHeight="false" outlineLevel="0" collapsed="false">
      <c r="A57" s="22"/>
      <c r="B57" s="27" t="str">
        <f aca="false">IF(A57="","",IFERROR(INDEX(작품목록!$B$4:$B$103,MATCH(A57,작품목록!$A$4:$A$103,0)),"번호 확인"))</f>
        <v/>
      </c>
      <c r="C57" s="28" t="str">
        <f aca="false">IF(A57="","",IFERROR(INDEX(작품목록!$G$4:$G$103,MATCH(A57,작품목록!$A$4:$A$103,0)),"작품목록에 없음"))</f>
        <v/>
      </c>
      <c r="D57" s="21"/>
      <c r="E57" s="21"/>
      <c r="F57" s="21"/>
      <c r="G57" s="21"/>
      <c r="H57" s="27" t="str">
        <f aca="false">IF(COUNT(D57:G57)=0,"",SUM(D57:G57))</f>
        <v/>
      </c>
      <c r="I57" s="21"/>
      <c r="J57" s="21"/>
      <c r="K57" s="21"/>
      <c r="L57" s="21"/>
      <c r="M57" s="27" t="str">
        <f aca="false">IF(COUNT(I57:L57)=0,"",SUM(I57:L57))</f>
        <v/>
      </c>
      <c r="N57" s="21"/>
      <c r="O57" s="21"/>
      <c r="P57" s="21"/>
      <c r="Q57" s="21"/>
      <c r="R57" s="27" t="str">
        <f aca="false">IF(COUNT(N57:Q57)=0,"",SUM(N57:Q57))</f>
        <v/>
      </c>
      <c r="S57" s="29" t="str">
        <f aca="false">IF(COUNT(H57,M57,R57)=0,"",ROUND(AVERAGE(H57,M57,R57),2))</f>
        <v/>
      </c>
      <c r="T57" s="30" t="str">
        <f aca="false">IF(COUNT(F57,K57,P57)=0,"",ROUND(AVERAGE(F57,K57,P57),2))</f>
        <v/>
      </c>
    </row>
    <row r="58" customFormat="false" ht="15" hidden="false" customHeight="false" outlineLevel="0" collapsed="false">
      <c r="A58" s="22"/>
      <c r="B58" s="27" t="str">
        <f aca="false">IF(A58="","",IFERROR(INDEX(작품목록!$B$4:$B$103,MATCH(A58,작품목록!$A$4:$A$103,0)),"번호 확인"))</f>
        <v/>
      </c>
      <c r="C58" s="28" t="str">
        <f aca="false">IF(A58="","",IFERROR(INDEX(작품목록!$G$4:$G$103,MATCH(A58,작품목록!$A$4:$A$103,0)),"작품목록에 없음"))</f>
        <v/>
      </c>
      <c r="D58" s="21"/>
      <c r="E58" s="21"/>
      <c r="F58" s="21"/>
      <c r="G58" s="21"/>
      <c r="H58" s="27" t="str">
        <f aca="false">IF(COUNT(D58:G58)=0,"",SUM(D58:G58))</f>
        <v/>
      </c>
      <c r="I58" s="21"/>
      <c r="J58" s="21"/>
      <c r="K58" s="21"/>
      <c r="L58" s="21"/>
      <c r="M58" s="27" t="str">
        <f aca="false">IF(COUNT(I58:L58)=0,"",SUM(I58:L58))</f>
        <v/>
      </c>
      <c r="N58" s="21"/>
      <c r="O58" s="21"/>
      <c r="P58" s="21"/>
      <c r="Q58" s="21"/>
      <c r="R58" s="27" t="str">
        <f aca="false">IF(COUNT(N58:Q58)=0,"",SUM(N58:Q58))</f>
        <v/>
      </c>
      <c r="S58" s="29" t="str">
        <f aca="false">IF(COUNT(H58,M58,R58)=0,"",ROUND(AVERAGE(H58,M58,R58),2))</f>
        <v/>
      </c>
      <c r="T58" s="30" t="str">
        <f aca="false">IF(COUNT(F58,K58,P58)=0,"",ROUND(AVERAGE(F58,K58,P58),2))</f>
        <v/>
      </c>
    </row>
    <row r="59" customFormat="false" ht="15" hidden="false" customHeight="false" outlineLevel="0" collapsed="false">
      <c r="A59" s="22"/>
      <c r="B59" s="27" t="str">
        <f aca="false">IF(A59="","",IFERROR(INDEX(작품목록!$B$4:$B$103,MATCH(A59,작품목록!$A$4:$A$103,0)),"번호 확인"))</f>
        <v/>
      </c>
      <c r="C59" s="28" t="str">
        <f aca="false">IF(A59="","",IFERROR(INDEX(작품목록!$G$4:$G$103,MATCH(A59,작품목록!$A$4:$A$103,0)),"작품목록에 없음"))</f>
        <v/>
      </c>
      <c r="D59" s="21"/>
      <c r="E59" s="21"/>
      <c r="F59" s="21"/>
      <c r="G59" s="21"/>
      <c r="H59" s="27" t="str">
        <f aca="false">IF(COUNT(D59:G59)=0,"",SUM(D59:G59))</f>
        <v/>
      </c>
      <c r="I59" s="21"/>
      <c r="J59" s="21"/>
      <c r="K59" s="21"/>
      <c r="L59" s="21"/>
      <c r="M59" s="27" t="str">
        <f aca="false">IF(COUNT(I59:L59)=0,"",SUM(I59:L59))</f>
        <v/>
      </c>
      <c r="N59" s="21"/>
      <c r="O59" s="21"/>
      <c r="P59" s="21"/>
      <c r="Q59" s="21"/>
      <c r="R59" s="27" t="str">
        <f aca="false">IF(COUNT(N59:Q59)=0,"",SUM(N59:Q59))</f>
        <v/>
      </c>
      <c r="S59" s="29" t="str">
        <f aca="false">IF(COUNT(H59,M59,R59)=0,"",ROUND(AVERAGE(H59,M59,R59),2))</f>
        <v/>
      </c>
      <c r="T59" s="30" t="str">
        <f aca="false">IF(COUNT(F59,K59,P59)=0,"",ROUND(AVERAGE(F59,K59,P59),2))</f>
        <v/>
      </c>
    </row>
    <row r="60" customFormat="false" ht="15" hidden="false" customHeight="false" outlineLevel="0" collapsed="false">
      <c r="A60" s="22"/>
      <c r="B60" s="27" t="str">
        <f aca="false">IF(A60="","",IFERROR(INDEX(작품목록!$B$4:$B$103,MATCH(A60,작품목록!$A$4:$A$103,0)),"번호 확인"))</f>
        <v/>
      </c>
      <c r="C60" s="28" t="str">
        <f aca="false">IF(A60="","",IFERROR(INDEX(작품목록!$G$4:$G$103,MATCH(A60,작품목록!$A$4:$A$103,0)),"작품목록에 없음"))</f>
        <v/>
      </c>
      <c r="D60" s="21"/>
      <c r="E60" s="21"/>
      <c r="F60" s="21"/>
      <c r="G60" s="21"/>
      <c r="H60" s="27" t="str">
        <f aca="false">IF(COUNT(D60:G60)=0,"",SUM(D60:G60))</f>
        <v/>
      </c>
      <c r="I60" s="21"/>
      <c r="J60" s="21"/>
      <c r="K60" s="21"/>
      <c r="L60" s="21"/>
      <c r="M60" s="27" t="str">
        <f aca="false">IF(COUNT(I60:L60)=0,"",SUM(I60:L60))</f>
        <v/>
      </c>
      <c r="N60" s="21"/>
      <c r="O60" s="21"/>
      <c r="P60" s="21"/>
      <c r="Q60" s="21"/>
      <c r="R60" s="27" t="str">
        <f aca="false">IF(COUNT(N60:Q60)=0,"",SUM(N60:Q60))</f>
        <v/>
      </c>
      <c r="S60" s="29" t="str">
        <f aca="false">IF(COUNT(H60,M60,R60)=0,"",ROUND(AVERAGE(H60,M60,R60),2))</f>
        <v/>
      </c>
      <c r="T60" s="30" t="str">
        <f aca="false">IF(COUNT(F60,K60,P60)=0,"",ROUND(AVERAGE(F60,K60,P60),2))</f>
        <v/>
      </c>
    </row>
    <row r="61" customFormat="false" ht="15" hidden="false" customHeight="false" outlineLevel="0" collapsed="false">
      <c r="A61" s="22"/>
      <c r="B61" s="27" t="str">
        <f aca="false">IF(A61="","",IFERROR(INDEX(작품목록!$B$4:$B$103,MATCH(A61,작품목록!$A$4:$A$103,0)),"번호 확인"))</f>
        <v/>
      </c>
      <c r="C61" s="28" t="str">
        <f aca="false">IF(A61="","",IFERROR(INDEX(작품목록!$G$4:$G$103,MATCH(A61,작품목록!$A$4:$A$103,0)),"작품목록에 없음"))</f>
        <v/>
      </c>
      <c r="D61" s="21"/>
      <c r="E61" s="21"/>
      <c r="F61" s="21"/>
      <c r="G61" s="21"/>
      <c r="H61" s="27" t="str">
        <f aca="false">IF(COUNT(D61:G61)=0,"",SUM(D61:G61))</f>
        <v/>
      </c>
      <c r="I61" s="21"/>
      <c r="J61" s="21"/>
      <c r="K61" s="21"/>
      <c r="L61" s="21"/>
      <c r="M61" s="27" t="str">
        <f aca="false">IF(COUNT(I61:L61)=0,"",SUM(I61:L61))</f>
        <v/>
      </c>
      <c r="N61" s="21"/>
      <c r="O61" s="21"/>
      <c r="P61" s="21"/>
      <c r="Q61" s="21"/>
      <c r="R61" s="27" t="str">
        <f aca="false">IF(COUNT(N61:Q61)=0,"",SUM(N61:Q61))</f>
        <v/>
      </c>
      <c r="S61" s="29" t="str">
        <f aca="false">IF(COUNT(H61,M61,R61)=0,"",ROUND(AVERAGE(H61,M61,R61),2))</f>
        <v/>
      </c>
      <c r="T61" s="30" t="str">
        <f aca="false">IF(COUNT(F61,K61,P61)=0,"",ROUND(AVERAGE(F61,K61,P61),2))</f>
        <v/>
      </c>
    </row>
    <row r="62" customFormat="false" ht="15" hidden="false" customHeight="false" outlineLevel="0" collapsed="false">
      <c r="A62" s="22"/>
      <c r="B62" s="27" t="str">
        <f aca="false">IF(A62="","",IFERROR(INDEX(작품목록!$B$4:$B$103,MATCH(A62,작품목록!$A$4:$A$103,0)),"번호 확인"))</f>
        <v/>
      </c>
      <c r="C62" s="28" t="str">
        <f aca="false">IF(A62="","",IFERROR(INDEX(작품목록!$G$4:$G$103,MATCH(A62,작품목록!$A$4:$A$103,0)),"작품목록에 없음"))</f>
        <v/>
      </c>
      <c r="D62" s="21"/>
      <c r="E62" s="21"/>
      <c r="F62" s="21"/>
      <c r="G62" s="21"/>
      <c r="H62" s="27" t="str">
        <f aca="false">IF(COUNT(D62:G62)=0,"",SUM(D62:G62))</f>
        <v/>
      </c>
      <c r="I62" s="21"/>
      <c r="J62" s="21"/>
      <c r="K62" s="21"/>
      <c r="L62" s="21"/>
      <c r="M62" s="27" t="str">
        <f aca="false">IF(COUNT(I62:L62)=0,"",SUM(I62:L62))</f>
        <v/>
      </c>
      <c r="N62" s="21"/>
      <c r="O62" s="21"/>
      <c r="P62" s="21"/>
      <c r="Q62" s="21"/>
      <c r="R62" s="27" t="str">
        <f aca="false">IF(COUNT(N62:Q62)=0,"",SUM(N62:Q62))</f>
        <v/>
      </c>
      <c r="S62" s="29" t="str">
        <f aca="false">IF(COUNT(H62,M62,R62)=0,"",ROUND(AVERAGE(H62,M62,R62),2))</f>
        <v/>
      </c>
      <c r="T62" s="30" t="str">
        <f aca="false">IF(COUNT(F62,K62,P62)=0,"",ROUND(AVERAGE(F62,K62,P62),2))</f>
        <v/>
      </c>
    </row>
    <row r="63" customFormat="false" ht="15" hidden="false" customHeight="false" outlineLevel="0" collapsed="false">
      <c r="A63" s="22"/>
      <c r="B63" s="27" t="str">
        <f aca="false">IF(A63="","",IFERROR(INDEX(작품목록!$B$4:$B$103,MATCH(A63,작품목록!$A$4:$A$103,0)),"번호 확인"))</f>
        <v/>
      </c>
      <c r="C63" s="28" t="str">
        <f aca="false">IF(A63="","",IFERROR(INDEX(작품목록!$G$4:$G$103,MATCH(A63,작품목록!$A$4:$A$103,0)),"작품목록에 없음"))</f>
        <v/>
      </c>
      <c r="D63" s="21"/>
      <c r="E63" s="21"/>
      <c r="F63" s="21"/>
      <c r="G63" s="21"/>
      <c r="H63" s="27" t="str">
        <f aca="false">IF(COUNT(D63:G63)=0,"",SUM(D63:G63))</f>
        <v/>
      </c>
      <c r="I63" s="21"/>
      <c r="J63" s="21"/>
      <c r="K63" s="21"/>
      <c r="L63" s="21"/>
      <c r="M63" s="27" t="str">
        <f aca="false">IF(COUNT(I63:L63)=0,"",SUM(I63:L63))</f>
        <v/>
      </c>
      <c r="N63" s="21"/>
      <c r="O63" s="21"/>
      <c r="P63" s="21"/>
      <c r="Q63" s="21"/>
      <c r="R63" s="27" t="str">
        <f aca="false">IF(COUNT(N63:Q63)=0,"",SUM(N63:Q63))</f>
        <v/>
      </c>
      <c r="S63" s="29" t="str">
        <f aca="false">IF(COUNT(H63,M63,R63)=0,"",ROUND(AVERAGE(H63,M63,R63),2))</f>
        <v/>
      </c>
      <c r="T63" s="30" t="str">
        <f aca="false">IF(COUNT(F63,K63,P63)=0,"",ROUND(AVERAGE(F63,K63,P63),2))</f>
        <v/>
      </c>
    </row>
    <row r="64" customFormat="false" ht="15" hidden="false" customHeight="false" outlineLevel="0" collapsed="false">
      <c r="A64" s="22"/>
      <c r="B64" s="27" t="str">
        <f aca="false">IF(A64="","",IFERROR(INDEX(작품목록!$B$4:$B$103,MATCH(A64,작품목록!$A$4:$A$103,0)),"번호 확인"))</f>
        <v/>
      </c>
      <c r="C64" s="28" t="str">
        <f aca="false">IF(A64="","",IFERROR(INDEX(작품목록!$G$4:$G$103,MATCH(A64,작품목록!$A$4:$A$103,0)),"작품목록에 없음"))</f>
        <v/>
      </c>
      <c r="D64" s="21"/>
      <c r="E64" s="21"/>
      <c r="F64" s="21"/>
      <c r="G64" s="21"/>
      <c r="H64" s="27" t="str">
        <f aca="false">IF(COUNT(D64:G64)=0,"",SUM(D64:G64))</f>
        <v/>
      </c>
      <c r="I64" s="21"/>
      <c r="J64" s="21"/>
      <c r="K64" s="21"/>
      <c r="L64" s="21"/>
      <c r="M64" s="27" t="str">
        <f aca="false">IF(COUNT(I64:L64)=0,"",SUM(I64:L64))</f>
        <v/>
      </c>
      <c r="N64" s="21"/>
      <c r="O64" s="21"/>
      <c r="P64" s="21"/>
      <c r="Q64" s="21"/>
      <c r="R64" s="27" t="str">
        <f aca="false">IF(COUNT(N64:Q64)=0,"",SUM(N64:Q64))</f>
        <v/>
      </c>
      <c r="S64" s="29" t="str">
        <f aca="false">IF(COUNT(H64,M64,R64)=0,"",ROUND(AVERAGE(H64,M64,R64),2))</f>
        <v/>
      </c>
      <c r="T64" s="30" t="str">
        <f aca="false">IF(COUNT(F64,K64,P64)=0,"",ROUND(AVERAGE(F64,K64,P64),2))</f>
        <v/>
      </c>
    </row>
    <row r="65" customFormat="false" ht="15" hidden="false" customHeight="false" outlineLevel="0" collapsed="false">
      <c r="A65" s="22"/>
      <c r="B65" s="27" t="str">
        <f aca="false">IF(A65="","",IFERROR(INDEX(작품목록!$B$4:$B$103,MATCH(A65,작품목록!$A$4:$A$103,0)),"번호 확인"))</f>
        <v/>
      </c>
      <c r="C65" s="28" t="str">
        <f aca="false">IF(A65="","",IFERROR(INDEX(작품목록!$G$4:$G$103,MATCH(A65,작품목록!$A$4:$A$103,0)),"작품목록에 없음"))</f>
        <v/>
      </c>
      <c r="D65" s="21"/>
      <c r="E65" s="21"/>
      <c r="F65" s="21"/>
      <c r="G65" s="21"/>
      <c r="H65" s="27" t="str">
        <f aca="false">IF(COUNT(D65:G65)=0,"",SUM(D65:G65))</f>
        <v/>
      </c>
      <c r="I65" s="21"/>
      <c r="J65" s="21"/>
      <c r="K65" s="21"/>
      <c r="L65" s="21"/>
      <c r="M65" s="27" t="str">
        <f aca="false">IF(COUNT(I65:L65)=0,"",SUM(I65:L65))</f>
        <v/>
      </c>
      <c r="N65" s="21"/>
      <c r="O65" s="21"/>
      <c r="P65" s="21"/>
      <c r="Q65" s="21"/>
      <c r="R65" s="27" t="str">
        <f aca="false">IF(COUNT(N65:Q65)=0,"",SUM(N65:Q65))</f>
        <v/>
      </c>
      <c r="S65" s="29" t="str">
        <f aca="false">IF(COUNT(H65,M65,R65)=0,"",ROUND(AVERAGE(H65,M65,R65),2))</f>
        <v/>
      </c>
      <c r="T65" s="30" t="str">
        <f aca="false">IF(COUNT(F65,K65,P65)=0,"",ROUND(AVERAGE(F65,K65,P65),2))</f>
        <v/>
      </c>
    </row>
    <row r="66" customFormat="false" ht="15" hidden="false" customHeight="false" outlineLevel="0" collapsed="false">
      <c r="A66" s="22"/>
      <c r="B66" s="27" t="str">
        <f aca="false">IF(A66="","",IFERROR(INDEX(작품목록!$B$4:$B$103,MATCH(A66,작품목록!$A$4:$A$103,0)),"번호 확인"))</f>
        <v/>
      </c>
      <c r="C66" s="28" t="str">
        <f aca="false">IF(A66="","",IFERROR(INDEX(작품목록!$G$4:$G$103,MATCH(A66,작품목록!$A$4:$A$103,0)),"작품목록에 없음"))</f>
        <v/>
      </c>
      <c r="D66" s="21"/>
      <c r="E66" s="21"/>
      <c r="F66" s="21"/>
      <c r="G66" s="21"/>
      <c r="H66" s="27" t="str">
        <f aca="false">IF(COUNT(D66:G66)=0,"",SUM(D66:G66))</f>
        <v/>
      </c>
      <c r="I66" s="21"/>
      <c r="J66" s="21"/>
      <c r="K66" s="21"/>
      <c r="L66" s="21"/>
      <c r="M66" s="27" t="str">
        <f aca="false">IF(COUNT(I66:L66)=0,"",SUM(I66:L66))</f>
        <v/>
      </c>
      <c r="N66" s="21"/>
      <c r="O66" s="21"/>
      <c r="P66" s="21"/>
      <c r="Q66" s="21"/>
      <c r="R66" s="27" t="str">
        <f aca="false">IF(COUNT(N66:Q66)=0,"",SUM(N66:Q66))</f>
        <v/>
      </c>
      <c r="S66" s="29" t="str">
        <f aca="false">IF(COUNT(H66,M66,R66)=0,"",ROUND(AVERAGE(H66,M66,R66),2))</f>
        <v/>
      </c>
      <c r="T66" s="30" t="str">
        <f aca="false">IF(COUNT(F66,K66,P66)=0,"",ROUND(AVERAGE(F66,K66,P66),2))</f>
        <v/>
      </c>
    </row>
    <row r="67" customFormat="false" ht="15" hidden="false" customHeight="false" outlineLevel="0" collapsed="false">
      <c r="A67" s="22"/>
      <c r="B67" s="27" t="str">
        <f aca="false">IF(A67="","",IFERROR(INDEX(작품목록!$B$4:$B$103,MATCH(A67,작품목록!$A$4:$A$103,0)),"번호 확인"))</f>
        <v/>
      </c>
      <c r="C67" s="28" t="str">
        <f aca="false">IF(A67="","",IFERROR(INDEX(작품목록!$G$4:$G$103,MATCH(A67,작품목록!$A$4:$A$103,0)),"작품목록에 없음"))</f>
        <v/>
      </c>
      <c r="D67" s="21"/>
      <c r="E67" s="21"/>
      <c r="F67" s="21"/>
      <c r="G67" s="21"/>
      <c r="H67" s="27" t="str">
        <f aca="false">IF(COUNT(D67:G67)=0,"",SUM(D67:G67))</f>
        <v/>
      </c>
      <c r="I67" s="21"/>
      <c r="J67" s="21"/>
      <c r="K67" s="21"/>
      <c r="L67" s="21"/>
      <c r="M67" s="27" t="str">
        <f aca="false">IF(COUNT(I67:L67)=0,"",SUM(I67:L67))</f>
        <v/>
      </c>
      <c r="N67" s="21"/>
      <c r="O67" s="21"/>
      <c r="P67" s="21"/>
      <c r="Q67" s="21"/>
      <c r="R67" s="27" t="str">
        <f aca="false">IF(COUNT(N67:Q67)=0,"",SUM(N67:Q67))</f>
        <v/>
      </c>
      <c r="S67" s="29" t="str">
        <f aca="false">IF(COUNT(H67,M67,R67)=0,"",ROUND(AVERAGE(H67,M67,R67),2))</f>
        <v/>
      </c>
      <c r="T67" s="30" t="str">
        <f aca="false">IF(COUNT(F67,K67,P67)=0,"",ROUND(AVERAGE(F67,K67,P67),2))</f>
        <v/>
      </c>
    </row>
    <row r="68" customFormat="false" ht="15" hidden="false" customHeight="false" outlineLevel="0" collapsed="false">
      <c r="A68" s="22"/>
      <c r="B68" s="27" t="str">
        <f aca="false">IF(A68="","",IFERROR(INDEX(작품목록!$B$4:$B$103,MATCH(A68,작품목록!$A$4:$A$103,0)),"번호 확인"))</f>
        <v/>
      </c>
      <c r="C68" s="28" t="str">
        <f aca="false">IF(A68="","",IFERROR(INDEX(작품목록!$G$4:$G$103,MATCH(A68,작품목록!$A$4:$A$103,0)),"작품목록에 없음"))</f>
        <v/>
      </c>
      <c r="D68" s="21"/>
      <c r="E68" s="21"/>
      <c r="F68" s="21"/>
      <c r="G68" s="21"/>
      <c r="H68" s="27" t="str">
        <f aca="false">IF(COUNT(D68:G68)=0,"",SUM(D68:G68))</f>
        <v/>
      </c>
      <c r="I68" s="21"/>
      <c r="J68" s="21"/>
      <c r="K68" s="21"/>
      <c r="L68" s="21"/>
      <c r="M68" s="27" t="str">
        <f aca="false">IF(COUNT(I68:L68)=0,"",SUM(I68:L68))</f>
        <v/>
      </c>
      <c r="N68" s="21"/>
      <c r="O68" s="21"/>
      <c r="P68" s="21"/>
      <c r="Q68" s="21"/>
      <c r="R68" s="27" t="str">
        <f aca="false">IF(COUNT(N68:Q68)=0,"",SUM(N68:Q68))</f>
        <v/>
      </c>
      <c r="S68" s="29" t="str">
        <f aca="false">IF(COUNT(H68,M68,R68)=0,"",ROUND(AVERAGE(H68,M68,R68),2))</f>
        <v/>
      </c>
      <c r="T68" s="30" t="str">
        <f aca="false">IF(COUNT(F68,K68,P68)=0,"",ROUND(AVERAGE(F68,K68,P68),2))</f>
        <v/>
      </c>
    </row>
    <row r="69" customFormat="false" ht="15" hidden="false" customHeight="false" outlineLevel="0" collapsed="false">
      <c r="A69" s="22"/>
      <c r="B69" s="27" t="str">
        <f aca="false">IF(A69="","",IFERROR(INDEX(작품목록!$B$4:$B$103,MATCH(A69,작품목록!$A$4:$A$103,0)),"번호 확인"))</f>
        <v/>
      </c>
      <c r="C69" s="28" t="str">
        <f aca="false">IF(A69="","",IFERROR(INDEX(작품목록!$G$4:$G$103,MATCH(A69,작품목록!$A$4:$A$103,0)),"작품목록에 없음"))</f>
        <v/>
      </c>
      <c r="D69" s="21"/>
      <c r="E69" s="21"/>
      <c r="F69" s="21"/>
      <c r="G69" s="21"/>
      <c r="H69" s="27" t="str">
        <f aca="false">IF(COUNT(D69:G69)=0,"",SUM(D69:G69))</f>
        <v/>
      </c>
      <c r="I69" s="21"/>
      <c r="J69" s="21"/>
      <c r="K69" s="21"/>
      <c r="L69" s="21"/>
      <c r="M69" s="27" t="str">
        <f aca="false">IF(COUNT(I69:L69)=0,"",SUM(I69:L69))</f>
        <v/>
      </c>
      <c r="N69" s="21"/>
      <c r="O69" s="21"/>
      <c r="P69" s="21"/>
      <c r="Q69" s="21"/>
      <c r="R69" s="27" t="str">
        <f aca="false">IF(COUNT(N69:Q69)=0,"",SUM(N69:Q69))</f>
        <v/>
      </c>
      <c r="S69" s="29" t="str">
        <f aca="false">IF(COUNT(H69,M69,R69)=0,"",ROUND(AVERAGE(H69,M69,R69),2))</f>
        <v/>
      </c>
      <c r="T69" s="30" t="str">
        <f aca="false">IF(COUNT(F69,K69,P69)=0,"",ROUND(AVERAGE(F69,K69,P69),2))</f>
        <v/>
      </c>
    </row>
    <row r="70" customFormat="false" ht="15" hidden="false" customHeight="false" outlineLevel="0" collapsed="false">
      <c r="A70" s="22"/>
      <c r="B70" s="27" t="str">
        <f aca="false">IF(A70="","",IFERROR(INDEX(작품목록!$B$4:$B$103,MATCH(A70,작품목록!$A$4:$A$103,0)),"번호 확인"))</f>
        <v/>
      </c>
      <c r="C70" s="28" t="str">
        <f aca="false">IF(A70="","",IFERROR(INDEX(작품목록!$G$4:$G$103,MATCH(A70,작품목록!$A$4:$A$103,0)),"작품목록에 없음"))</f>
        <v/>
      </c>
      <c r="D70" s="21"/>
      <c r="E70" s="21"/>
      <c r="F70" s="21"/>
      <c r="G70" s="21"/>
      <c r="H70" s="27" t="str">
        <f aca="false">IF(COUNT(D70:G70)=0,"",SUM(D70:G70))</f>
        <v/>
      </c>
      <c r="I70" s="21"/>
      <c r="J70" s="21"/>
      <c r="K70" s="21"/>
      <c r="L70" s="21"/>
      <c r="M70" s="27" t="str">
        <f aca="false">IF(COUNT(I70:L70)=0,"",SUM(I70:L70))</f>
        <v/>
      </c>
      <c r="N70" s="21"/>
      <c r="O70" s="21"/>
      <c r="P70" s="21"/>
      <c r="Q70" s="21"/>
      <c r="R70" s="27" t="str">
        <f aca="false">IF(COUNT(N70:Q70)=0,"",SUM(N70:Q70))</f>
        <v/>
      </c>
      <c r="S70" s="29" t="str">
        <f aca="false">IF(COUNT(H70,M70,R70)=0,"",ROUND(AVERAGE(H70,M70,R70),2))</f>
        <v/>
      </c>
      <c r="T70" s="30" t="str">
        <f aca="false">IF(COUNT(F70,K70,P70)=0,"",ROUND(AVERAGE(F70,K70,P70),2))</f>
        <v/>
      </c>
    </row>
    <row r="71" customFormat="false" ht="15" hidden="false" customHeight="false" outlineLevel="0" collapsed="false">
      <c r="A71" s="22"/>
      <c r="B71" s="27" t="str">
        <f aca="false">IF(A71="","",IFERROR(INDEX(작품목록!$B$4:$B$103,MATCH(A71,작품목록!$A$4:$A$103,0)),"번호 확인"))</f>
        <v/>
      </c>
      <c r="C71" s="28" t="str">
        <f aca="false">IF(A71="","",IFERROR(INDEX(작품목록!$G$4:$G$103,MATCH(A71,작품목록!$A$4:$A$103,0)),"작품목록에 없음"))</f>
        <v/>
      </c>
      <c r="D71" s="21"/>
      <c r="E71" s="21"/>
      <c r="F71" s="21"/>
      <c r="G71" s="21"/>
      <c r="H71" s="27" t="str">
        <f aca="false">IF(COUNT(D71:G71)=0,"",SUM(D71:G71))</f>
        <v/>
      </c>
      <c r="I71" s="21"/>
      <c r="J71" s="21"/>
      <c r="K71" s="21"/>
      <c r="L71" s="21"/>
      <c r="M71" s="27" t="str">
        <f aca="false">IF(COUNT(I71:L71)=0,"",SUM(I71:L71))</f>
        <v/>
      </c>
      <c r="N71" s="21"/>
      <c r="O71" s="21"/>
      <c r="P71" s="21"/>
      <c r="Q71" s="21"/>
      <c r="R71" s="27" t="str">
        <f aca="false">IF(COUNT(N71:Q71)=0,"",SUM(N71:Q71))</f>
        <v/>
      </c>
      <c r="S71" s="29" t="str">
        <f aca="false">IF(COUNT(H71,M71,R71)=0,"",ROUND(AVERAGE(H71,M71,R71),2))</f>
        <v/>
      </c>
      <c r="T71" s="30" t="str">
        <f aca="false">IF(COUNT(F71,K71,P71)=0,"",ROUND(AVERAGE(F71,K71,P71),2))</f>
        <v/>
      </c>
    </row>
    <row r="72" customFormat="false" ht="15" hidden="false" customHeight="false" outlineLevel="0" collapsed="false">
      <c r="A72" s="22"/>
      <c r="B72" s="27" t="str">
        <f aca="false">IF(A72="","",IFERROR(INDEX(작품목록!$B$4:$B$103,MATCH(A72,작품목록!$A$4:$A$103,0)),"번호 확인"))</f>
        <v/>
      </c>
      <c r="C72" s="28" t="str">
        <f aca="false">IF(A72="","",IFERROR(INDEX(작품목록!$G$4:$G$103,MATCH(A72,작품목록!$A$4:$A$103,0)),"작품목록에 없음"))</f>
        <v/>
      </c>
      <c r="D72" s="21"/>
      <c r="E72" s="21"/>
      <c r="F72" s="21"/>
      <c r="G72" s="21"/>
      <c r="H72" s="27" t="str">
        <f aca="false">IF(COUNT(D72:G72)=0,"",SUM(D72:G72))</f>
        <v/>
      </c>
      <c r="I72" s="21"/>
      <c r="J72" s="21"/>
      <c r="K72" s="21"/>
      <c r="L72" s="21"/>
      <c r="M72" s="27" t="str">
        <f aca="false">IF(COUNT(I72:L72)=0,"",SUM(I72:L72))</f>
        <v/>
      </c>
      <c r="N72" s="21"/>
      <c r="O72" s="21"/>
      <c r="P72" s="21"/>
      <c r="Q72" s="21"/>
      <c r="R72" s="27" t="str">
        <f aca="false">IF(COUNT(N72:Q72)=0,"",SUM(N72:Q72))</f>
        <v/>
      </c>
      <c r="S72" s="29" t="str">
        <f aca="false">IF(COUNT(H72,M72,R72)=0,"",ROUND(AVERAGE(H72,M72,R72),2))</f>
        <v/>
      </c>
      <c r="T72" s="30" t="str">
        <f aca="false">IF(COUNT(F72,K72,P72)=0,"",ROUND(AVERAGE(F72,K72,P72),2))</f>
        <v/>
      </c>
    </row>
    <row r="73" customFormat="false" ht="15" hidden="false" customHeight="false" outlineLevel="0" collapsed="false">
      <c r="A73" s="22"/>
      <c r="B73" s="27" t="str">
        <f aca="false">IF(A73="","",IFERROR(INDEX(작품목록!$B$4:$B$103,MATCH(A73,작품목록!$A$4:$A$103,0)),"번호 확인"))</f>
        <v/>
      </c>
      <c r="C73" s="28" t="str">
        <f aca="false">IF(A73="","",IFERROR(INDEX(작품목록!$G$4:$G$103,MATCH(A73,작품목록!$A$4:$A$103,0)),"작품목록에 없음"))</f>
        <v/>
      </c>
      <c r="D73" s="21"/>
      <c r="E73" s="21"/>
      <c r="F73" s="21"/>
      <c r="G73" s="21"/>
      <c r="H73" s="27" t="str">
        <f aca="false">IF(COUNT(D73:G73)=0,"",SUM(D73:G73))</f>
        <v/>
      </c>
      <c r="I73" s="21"/>
      <c r="J73" s="21"/>
      <c r="K73" s="21"/>
      <c r="L73" s="21"/>
      <c r="M73" s="27" t="str">
        <f aca="false">IF(COUNT(I73:L73)=0,"",SUM(I73:L73))</f>
        <v/>
      </c>
      <c r="N73" s="21"/>
      <c r="O73" s="21"/>
      <c r="P73" s="21"/>
      <c r="Q73" s="21"/>
      <c r="R73" s="27" t="str">
        <f aca="false">IF(COUNT(N73:Q73)=0,"",SUM(N73:Q73))</f>
        <v/>
      </c>
      <c r="S73" s="29" t="str">
        <f aca="false">IF(COUNT(H73,M73,R73)=0,"",ROUND(AVERAGE(H73,M73,R73),2))</f>
        <v/>
      </c>
      <c r="T73" s="30" t="str">
        <f aca="false">IF(COUNT(F73,K73,P73)=0,"",ROUND(AVERAGE(F73,K73,P73),2))</f>
        <v/>
      </c>
    </row>
    <row r="74" customFormat="false" ht="15" hidden="false" customHeight="false" outlineLevel="0" collapsed="false">
      <c r="A74" s="22"/>
      <c r="B74" s="27" t="str">
        <f aca="false">IF(A74="","",IFERROR(INDEX(작품목록!$B$4:$B$103,MATCH(A74,작품목록!$A$4:$A$103,0)),"번호 확인"))</f>
        <v/>
      </c>
      <c r="C74" s="28" t="str">
        <f aca="false">IF(A74="","",IFERROR(INDEX(작품목록!$G$4:$G$103,MATCH(A74,작품목록!$A$4:$A$103,0)),"작품목록에 없음"))</f>
        <v/>
      </c>
      <c r="D74" s="21"/>
      <c r="E74" s="21"/>
      <c r="F74" s="21"/>
      <c r="G74" s="21"/>
      <c r="H74" s="27" t="str">
        <f aca="false">IF(COUNT(D74:G74)=0,"",SUM(D74:G74))</f>
        <v/>
      </c>
      <c r="I74" s="21"/>
      <c r="J74" s="21"/>
      <c r="K74" s="21"/>
      <c r="L74" s="21"/>
      <c r="M74" s="27" t="str">
        <f aca="false">IF(COUNT(I74:L74)=0,"",SUM(I74:L74))</f>
        <v/>
      </c>
      <c r="N74" s="21"/>
      <c r="O74" s="21"/>
      <c r="P74" s="21"/>
      <c r="Q74" s="21"/>
      <c r="R74" s="27" t="str">
        <f aca="false">IF(COUNT(N74:Q74)=0,"",SUM(N74:Q74))</f>
        <v/>
      </c>
      <c r="S74" s="29" t="str">
        <f aca="false">IF(COUNT(H74,M74,R74)=0,"",ROUND(AVERAGE(H74,M74,R74),2))</f>
        <v/>
      </c>
      <c r="T74" s="30" t="str">
        <f aca="false">IF(COUNT(F74,K74,P74)=0,"",ROUND(AVERAGE(F74,K74,P74),2))</f>
        <v/>
      </c>
    </row>
    <row r="75" customFormat="false" ht="15" hidden="false" customHeight="false" outlineLevel="0" collapsed="false">
      <c r="A75" s="22"/>
      <c r="B75" s="27" t="str">
        <f aca="false">IF(A75="","",IFERROR(INDEX(작품목록!$B$4:$B$103,MATCH(A75,작품목록!$A$4:$A$103,0)),"번호 확인"))</f>
        <v/>
      </c>
      <c r="C75" s="28" t="str">
        <f aca="false">IF(A75="","",IFERROR(INDEX(작품목록!$G$4:$G$103,MATCH(A75,작품목록!$A$4:$A$103,0)),"작품목록에 없음"))</f>
        <v/>
      </c>
      <c r="D75" s="21"/>
      <c r="E75" s="21"/>
      <c r="F75" s="21"/>
      <c r="G75" s="21"/>
      <c r="H75" s="27" t="str">
        <f aca="false">IF(COUNT(D75:G75)=0,"",SUM(D75:G75))</f>
        <v/>
      </c>
      <c r="I75" s="21"/>
      <c r="J75" s="21"/>
      <c r="K75" s="21"/>
      <c r="L75" s="21"/>
      <c r="M75" s="27" t="str">
        <f aca="false">IF(COUNT(I75:L75)=0,"",SUM(I75:L75))</f>
        <v/>
      </c>
      <c r="N75" s="21"/>
      <c r="O75" s="21"/>
      <c r="P75" s="21"/>
      <c r="Q75" s="21"/>
      <c r="R75" s="27" t="str">
        <f aca="false">IF(COUNT(N75:Q75)=0,"",SUM(N75:Q75))</f>
        <v/>
      </c>
      <c r="S75" s="29" t="str">
        <f aca="false">IF(COUNT(H75,M75,R75)=0,"",ROUND(AVERAGE(H75,M75,R75),2))</f>
        <v/>
      </c>
      <c r="T75" s="30" t="str">
        <f aca="false">IF(COUNT(F75,K75,P75)=0,"",ROUND(AVERAGE(F75,K75,P75),2))</f>
        <v/>
      </c>
    </row>
    <row r="76" customFormat="false" ht="15" hidden="false" customHeight="false" outlineLevel="0" collapsed="false">
      <c r="A76" s="22"/>
      <c r="B76" s="27" t="str">
        <f aca="false">IF(A76="","",IFERROR(INDEX(작품목록!$B$4:$B$103,MATCH(A76,작품목록!$A$4:$A$103,0)),"번호 확인"))</f>
        <v/>
      </c>
      <c r="C76" s="28" t="str">
        <f aca="false">IF(A76="","",IFERROR(INDEX(작품목록!$G$4:$G$103,MATCH(A76,작품목록!$A$4:$A$103,0)),"작품목록에 없음"))</f>
        <v/>
      </c>
      <c r="D76" s="21"/>
      <c r="E76" s="21"/>
      <c r="F76" s="21"/>
      <c r="G76" s="21"/>
      <c r="H76" s="27" t="str">
        <f aca="false">IF(COUNT(D76:G76)=0,"",SUM(D76:G76))</f>
        <v/>
      </c>
      <c r="I76" s="21"/>
      <c r="J76" s="21"/>
      <c r="K76" s="21"/>
      <c r="L76" s="21"/>
      <c r="M76" s="27" t="str">
        <f aca="false">IF(COUNT(I76:L76)=0,"",SUM(I76:L76))</f>
        <v/>
      </c>
      <c r="N76" s="21"/>
      <c r="O76" s="21"/>
      <c r="P76" s="21"/>
      <c r="Q76" s="21"/>
      <c r="R76" s="27" t="str">
        <f aca="false">IF(COUNT(N76:Q76)=0,"",SUM(N76:Q76))</f>
        <v/>
      </c>
      <c r="S76" s="29" t="str">
        <f aca="false">IF(COUNT(H76,M76,R76)=0,"",ROUND(AVERAGE(H76,M76,R76),2))</f>
        <v/>
      </c>
      <c r="T76" s="30" t="str">
        <f aca="false">IF(COUNT(F76,K76,P76)=0,"",ROUND(AVERAGE(F76,K76,P76),2))</f>
        <v/>
      </c>
    </row>
    <row r="77" customFormat="false" ht="15" hidden="false" customHeight="false" outlineLevel="0" collapsed="false">
      <c r="A77" s="22"/>
      <c r="B77" s="27" t="str">
        <f aca="false">IF(A77="","",IFERROR(INDEX(작품목록!$B$4:$B$103,MATCH(A77,작품목록!$A$4:$A$103,0)),"번호 확인"))</f>
        <v/>
      </c>
      <c r="C77" s="28" t="str">
        <f aca="false">IF(A77="","",IFERROR(INDEX(작품목록!$G$4:$G$103,MATCH(A77,작품목록!$A$4:$A$103,0)),"작품목록에 없음"))</f>
        <v/>
      </c>
      <c r="D77" s="21"/>
      <c r="E77" s="21"/>
      <c r="F77" s="21"/>
      <c r="G77" s="21"/>
      <c r="H77" s="27" t="str">
        <f aca="false">IF(COUNT(D77:G77)=0,"",SUM(D77:G77))</f>
        <v/>
      </c>
      <c r="I77" s="21"/>
      <c r="J77" s="21"/>
      <c r="K77" s="21"/>
      <c r="L77" s="21"/>
      <c r="M77" s="27" t="str">
        <f aca="false">IF(COUNT(I77:L77)=0,"",SUM(I77:L77))</f>
        <v/>
      </c>
      <c r="N77" s="21"/>
      <c r="O77" s="21"/>
      <c r="P77" s="21"/>
      <c r="Q77" s="21"/>
      <c r="R77" s="27" t="str">
        <f aca="false">IF(COUNT(N77:Q77)=0,"",SUM(N77:Q77))</f>
        <v/>
      </c>
      <c r="S77" s="29" t="str">
        <f aca="false">IF(COUNT(H77,M77,R77)=0,"",ROUND(AVERAGE(H77,M77,R77),2))</f>
        <v/>
      </c>
      <c r="T77" s="30" t="str">
        <f aca="false">IF(COUNT(F77,K77,P77)=0,"",ROUND(AVERAGE(F77,K77,P77),2))</f>
        <v/>
      </c>
    </row>
    <row r="78" customFormat="false" ht="15" hidden="false" customHeight="false" outlineLevel="0" collapsed="false">
      <c r="A78" s="22"/>
      <c r="B78" s="27" t="str">
        <f aca="false">IF(A78="","",IFERROR(INDEX(작품목록!$B$4:$B$103,MATCH(A78,작품목록!$A$4:$A$103,0)),"번호 확인"))</f>
        <v/>
      </c>
      <c r="C78" s="28" t="str">
        <f aca="false">IF(A78="","",IFERROR(INDEX(작품목록!$G$4:$G$103,MATCH(A78,작품목록!$A$4:$A$103,0)),"작품목록에 없음"))</f>
        <v/>
      </c>
      <c r="D78" s="21"/>
      <c r="E78" s="21"/>
      <c r="F78" s="21"/>
      <c r="G78" s="21"/>
      <c r="H78" s="27" t="str">
        <f aca="false">IF(COUNT(D78:G78)=0,"",SUM(D78:G78))</f>
        <v/>
      </c>
      <c r="I78" s="21"/>
      <c r="J78" s="21"/>
      <c r="K78" s="21"/>
      <c r="L78" s="21"/>
      <c r="M78" s="27" t="str">
        <f aca="false">IF(COUNT(I78:L78)=0,"",SUM(I78:L78))</f>
        <v/>
      </c>
      <c r="N78" s="21"/>
      <c r="O78" s="21"/>
      <c r="P78" s="21"/>
      <c r="Q78" s="21"/>
      <c r="R78" s="27" t="str">
        <f aca="false">IF(COUNT(N78:Q78)=0,"",SUM(N78:Q78))</f>
        <v/>
      </c>
      <c r="S78" s="29" t="str">
        <f aca="false">IF(COUNT(H78,M78,R78)=0,"",ROUND(AVERAGE(H78,M78,R78),2))</f>
        <v/>
      </c>
      <c r="T78" s="30" t="str">
        <f aca="false">IF(COUNT(F78,K78,P78)=0,"",ROUND(AVERAGE(F78,K78,P78),2))</f>
        <v/>
      </c>
    </row>
    <row r="79" customFormat="false" ht="15" hidden="false" customHeight="false" outlineLevel="0" collapsed="false">
      <c r="A79" s="22"/>
      <c r="B79" s="27" t="str">
        <f aca="false">IF(A79="","",IFERROR(INDEX(작품목록!$B$4:$B$103,MATCH(A79,작품목록!$A$4:$A$103,0)),"번호 확인"))</f>
        <v/>
      </c>
      <c r="C79" s="28" t="str">
        <f aca="false">IF(A79="","",IFERROR(INDEX(작품목록!$G$4:$G$103,MATCH(A79,작품목록!$A$4:$A$103,0)),"작품목록에 없음"))</f>
        <v/>
      </c>
      <c r="D79" s="21"/>
      <c r="E79" s="21"/>
      <c r="F79" s="21"/>
      <c r="G79" s="21"/>
      <c r="H79" s="27" t="str">
        <f aca="false">IF(COUNT(D79:G79)=0,"",SUM(D79:G79))</f>
        <v/>
      </c>
      <c r="I79" s="21"/>
      <c r="J79" s="21"/>
      <c r="K79" s="21"/>
      <c r="L79" s="21"/>
      <c r="M79" s="27" t="str">
        <f aca="false">IF(COUNT(I79:L79)=0,"",SUM(I79:L79))</f>
        <v/>
      </c>
      <c r="N79" s="21"/>
      <c r="O79" s="21"/>
      <c r="P79" s="21"/>
      <c r="Q79" s="21"/>
      <c r="R79" s="27" t="str">
        <f aca="false">IF(COUNT(N79:Q79)=0,"",SUM(N79:Q79))</f>
        <v/>
      </c>
      <c r="S79" s="29" t="str">
        <f aca="false">IF(COUNT(H79,M79,R79)=0,"",ROUND(AVERAGE(H79,M79,R79),2))</f>
        <v/>
      </c>
      <c r="T79" s="30" t="str">
        <f aca="false">IF(COUNT(F79,K79,P79)=0,"",ROUND(AVERAGE(F79,K79,P79),2))</f>
        <v/>
      </c>
    </row>
    <row r="80" customFormat="false" ht="15" hidden="false" customHeight="false" outlineLevel="0" collapsed="false">
      <c r="A80" s="22"/>
      <c r="B80" s="27" t="str">
        <f aca="false">IF(A80="","",IFERROR(INDEX(작품목록!$B$4:$B$103,MATCH(A80,작품목록!$A$4:$A$103,0)),"번호 확인"))</f>
        <v/>
      </c>
      <c r="C80" s="28" t="str">
        <f aca="false">IF(A80="","",IFERROR(INDEX(작품목록!$G$4:$G$103,MATCH(A80,작품목록!$A$4:$A$103,0)),"작품목록에 없음"))</f>
        <v/>
      </c>
      <c r="D80" s="21"/>
      <c r="E80" s="21"/>
      <c r="F80" s="21"/>
      <c r="G80" s="21"/>
      <c r="H80" s="27" t="str">
        <f aca="false">IF(COUNT(D80:G80)=0,"",SUM(D80:G80))</f>
        <v/>
      </c>
      <c r="I80" s="21"/>
      <c r="J80" s="21"/>
      <c r="K80" s="21"/>
      <c r="L80" s="21"/>
      <c r="M80" s="27" t="str">
        <f aca="false">IF(COUNT(I80:L80)=0,"",SUM(I80:L80))</f>
        <v/>
      </c>
      <c r="N80" s="21"/>
      <c r="O80" s="21"/>
      <c r="P80" s="21"/>
      <c r="Q80" s="21"/>
      <c r="R80" s="27" t="str">
        <f aca="false">IF(COUNT(N80:Q80)=0,"",SUM(N80:Q80))</f>
        <v/>
      </c>
      <c r="S80" s="29" t="str">
        <f aca="false">IF(COUNT(H80,M80,R80)=0,"",ROUND(AVERAGE(H80,M80,R80),2))</f>
        <v/>
      </c>
      <c r="T80" s="30" t="str">
        <f aca="false">IF(COUNT(F80,K80,P80)=0,"",ROUND(AVERAGE(F80,K80,P80),2))</f>
        <v/>
      </c>
    </row>
    <row r="81" customFormat="false" ht="15" hidden="false" customHeight="false" outlineLevel="0" collapsed="false">
      <c r="A81" s="22"/>
      <c r="B81" s="27" t="str">
        <f aca="false">IF(A81="","",IFERROR(INDEX(작품목록!$B$4:$B$103,MATCH(A81,작품목록!$A$4:$A$103,0)),"번호 확인"))</f>
        <v/>
      </c>
      <c r="C81" s="28" t="str">
        <f aca="false">IF(A81="","",IFERROR(INDEX(작품목록!$G$4:$G$103,MATCH(A81,작품목록!$A$4:$A$103,0)),"작품목록에 없음"))</f>
        <v/>
      </c>
      <c r="D81" s="21"/>
      <c r="E81" s="21"/>
      <c r="F81" s="21"/>
      <c r="G81" s="21"/>
      <c r="H81" s="27" t="str">
        <f aca="false">IF(COUNT(D81:G81)=0,"",SUM(D81:G81))</f>
        <v/>
      </c>
      <c r="I81" s="21"/>
      <c r="J81" s="21"/>
      <c r="K81" s="21"/>
      <c r="L81" s="21"/>
      <c r="M81" s="27" t="str">
        <f aca="false">IF(COUNT(I81:L81)=0,"",SUM(I81:L81))</f>
        <v/>
      </c>
      <c r="N81" s="21"/>
      <c r="O81" s="21"/>
      <c r="P81" s="21"/>
      <c r="Q81" s="21"/>
      <c r="R81" s="27" t="str">
        <f aca="false">IF(COUNT(N81:Q81)=0,"",SUM(N81:Q81))</f>
        <v/>
      </c>
      <c r="S81" s="29" t="str">
        <f aca="false">IF(COUNT(H81,M81,R81)=0,"",ROUND(AVERAGE(H81,M81,R81),2))</f>
        <v/>
      </c>
      <c r="T81" s="30" t="str">
        <f aca="false">IF(COUNT(F81,K81,P81)=0,"",ROUND(AVERAGE(F81,K81,P81),2))</f>
        <v/>
      </c>
    </row>
    <row r="82" customFormat="false" ht="15" hidden="false" customHeight="false" outlineLevel="0" collapsed="false">
      <c r="A82" s="22"/>
      <c r="B82" s="27" t="str">
        <f aca="false">IF(A82="","",IFERROR(INDEX(작품목록!$B$4:$B$103,MATCH(A82,작품목록!$A$4:$A$103,0)),"번호 확인"))</f>
        <v/>
      </c>
      <c r="C82" s="28" t="str">
        <f aca="false">IF(A82="","",IFERROR(INDEX(작품목록!$G$4:$G$103,MATCH(A82,작품목록!$A$4:$A$103,0)),"작품목록에 없음"))</f>
        <v/>
      </c>
      <c r="D82" s="21"/>
      <c r="E82" s="21"/>
      <c r="F82" s="21"/>
      <c r="G82" s="21"/>
      <c r="H82" s="27" t="str">
        <f aca="false">IF(COUNT(D82:G82)=0,"",SUM(D82:G82))</f>
        <v/>
      </c>
      <c r="I82" s="21"/>
      <c r="J82" s="21"/>
      <c r="K82" s="21"/>
      <c r="L82" s="21"/>
      <c r="M82" s="27" t="str">
        <f aca="false">IF(COUNT(I82:L82)=0,"",SUM(I82:L82))</f>
        <v/>
      </c>
      <c r="N82" s="21"/>
      <c r="O82" s="21"/>
      <c r="P82" s="21"/>
      <c r="Q82" s="21"/>
      <c r="R82" s="27" t="str">
        <f aca="false">IF(COUNT(N82:Q82)=0,"",SUM(N82:Q82))</f>
        <v/>
      </c>
      <c r="S82" s="29" t="str">
        <f aca="false">IF(COUNT(H82,M82,R82)=0,"",ROUND(AVERAGE(H82,M82,R82),2))</f>
        <v/>
      </c>
      <c r="T82" s="30" t="str">
        <f aca="false">IF(COUNT(F82,K82,P82)=0,"",ROUND(AVERAGE(F82,K82,P82),2))</f>
        <v/>
      </c>
    </row>
    <row r="83" customFormat="false" ht="15" hidden="false" customHeight="false" outlineLevel="0" collapsed="false">
      <c r="A83" s="22"/>
      <c r="B83" s="27" t="str">
        <f aca="false">IF(A83="","",IFERROR(INDEX(작품목록!$B$4:$B$103,MATCH(A83,작품목록!$A$4:$A$103,0)),"번호 확인"))</f>
        <v/>
      </c>
      <c r="C83" s="28" t="str">
        <f aca="false">IF(A83="","",IFERROR(INDEX(작품목록!$G$4:$G$103,MATCH(A83,작품목록!$A$4:$A$103,0)),"작품목록에 없음"))</f>
        <v/>
      </c>
      <c r="D83" s="21"/>
      <c r="E83" s="21"/>
      <c r="F83" s="21"/>
      <c r="G83" s="21"/>
      <c r="H83" s="27" t="str">
        <f aca="false">IF(COUNT(D83:G83)=0,"",SUM(D83:G83))</f>
        <v/>
      </c>
      <c r="I83" s="21"/>
      <c r="J83" s="21"/>
      <c r="K83" s="21"/>
      <c r="L83" s="21"/>
      <c r="M83" s="27" t="str">
        <f aca="false">IF(COUNT(I83:L83)=0,"",SUM(I83:L83))</f>
        <v/>
      </c>
      <c r="N83" s="21"/>
      <c r="O83" s="21"/>
      <c r="P83" s="21"/>
      <c r="Q83" s="21"/>
      <c r="R83" s="27" t="str">
        <f aca="false">IF(COUNT(N83:Q83)=0,"",SUM(N83:Q83))</f>
        <v/>
      </c>
      <c r="S83" s="29" t="str">
        <f aca="false">IF(COUNT(H83,M83,R83)=0,"",ROUND(AVERAGE(H83,M83,R83),2))</f>
        <v/>
      </c>
      <c r="T83" s="30" t="str">
        <f aca="false">IF(COUNT(F83,K83,P83)=0,"",ROUND(AVERAGE(F83,K83,P83),2))</f>
        <v/>
      </c>
    </row>
    <row r="84" customFormat="false" ht="15" hidden="false" customHeight="false" outlineLevel="0" collapsed="false">
      <c r="A84" s="22"/>
      <c r="B84" s="27" t="str">
        <f aca="false">IF(A84="","",IFERROR(INDEX(작품목록!$B$4:$B$103,MATCH(A84,작품목록!$A$4:$A$103,0)),"번호 확인"))</f>
        <v/>
      </c>
      <c r="C84" s="28" t="str">
        <f aca="false">IF(A84="","",IFERROR(INDEX(작품목록!$G$4:$G$103,MATCH(A84,작품목록!$A$4:$A$103,0)),"작품목록에 없음"))</f>
        <v/>
      </c>
      <c r="D84" s="21"/>
      <c r="E84" s="21"/>
      <c r="F84" s="21"/>
      <c r="G84" s="21"/>
      <c r="H84" s="27" t="str">
        <f aca="false">IF(COUNT(D84:G84)=0,"",SUM(D84:G84))</f>
        <v/>
      </c>
      <c r="I84" s="21"/>
      <c r="J84" s="21"/>
      <c r="K84" s="21"/>
      <c r="L84" s="21"/>
      <c r="M84" s="27" t="str">
        <f aca="false">IF(COUNT(I84:L84)=0,"",SUM(I84:L84))</f>
        <v/>
      </c>
      <c r="N84" s="21"/>
      <c r="O84" s="21"/>
      <c r="P84" s="21"/>
      <c r="Q84" s="21"/>
      <c r="R84" s="27" t="str">
        <f aca="false">IF(COUNT(N84:Q84)=0,"",SUM(N84:Q84))</f>
        <v/>
      </c>
      <c r="S84" s="29" t="str">
        <f aca="false">IF(COUNT(H84,M84,R84)=0,"",ROUND(AVERAGE(H84,M84,R84),2))</f>
        <v/>
      </c>
      <c r="T84" s="30" t="str">
        <f aca="false">IF(COUNT(F84,K84,P84)=0,"",ROUND(AVERAGE(F84,K84,P84),2))</f>
        <v/>
      </c>
    </row>
    <row r="85" customFormat="false" ht="15" hidden="false" customHeight="false" outlineLevel="0" collapsed="false">
      <c r="A85" s="22"/>
      <c r="B85" s="27" t="str">
        <f aca="false">IF(A85="","",IFERROR(INDEX(작품목록!$B$4:$B$103,MATCH(A85,작품목록!$A$4:$A$103,0)),"번호 확인"))</f>
        <v/>
      </c>
      <c r="C85" s="28" t="str">
        <f aca="false">IF(A85="","",IFERROR(INDEX(작품목록!$G$4:$G$103,MATCH(A85,작품목록!$A$4:$A$103,0)),"작품목록에 없음"))</f>
        <v/>
      </c>
      <c r="D85" s="21"/>
      <c r="E85" s="21"/>
      <c r="F85" s="21"/>
      <c r="G85" s="21"/>
      <c r="H85" s="27" t="str">
        <f aca="false">IF(COUNT(D85:G85)=0,"",SUM(D85:G85))</f>
        <v/>
      </c>
      <c r="I85" s="21"/>
      <c r="J85" s="21"/>
      <c r="K85" s="21"/>
      <c r="L85" s="21"/>
      <c r="M85" s="27" t="str">
        <f aca="false">IF(COUNT(I85:L85)=0,"",SUM(I85:L85))</f>
        <v/>
      </c>
      <c r="N85" s="21"/>
      <c r="O85" s="21"/>
      <c r="P85" s="21"/>
      <c r="Q85" s="21"/>
      <c r="R85" s="27" t="str">
        <f aca="false">IF(COUNT(N85:Q85)=0,"",SUM(N85:Q85))</f>
        <v/>
      </c>
      <c r="S85" s="29" t="str">
        <f aca="false">IF(COUNT(H85,M85,R85)=0,"",ROUND(AVERAGE(H85,M85,R85),2))</f>
        <v/>
      </c>
      <c r="T85" s="30" t="str">
        <f aca="false">IF(COUNT(F85,K85,P85)=0,"",ROUND(AVERAGE(F85,K85,P85),2))</f>
        <v/>
      </c>
    </row>
    <row r="86" customFormat="false" ht="15" hidden="false" customHeight="false" outlineLevel="0" collapsed="false">
      <c r="A86" s="22"/>
      <c r="B86" s="27" t="str">
        <f aca="false">IF(A86="","",IFERROR(INDEX(작품목록!$B$4:$B$103,MATCH(A86,작품목록!$A$4:$A$103,0)),"번호 확인"))</f>
        <v/>
      </c>
      <c r="C86" s="28" t="str">
        <f aca="false">IF(A86="","",IFERROR(INDEX(작품목록!$G$4:$G$103,MATCH(A86,작품목록!$A$4:$A$103,0)),"작품목록에 없음"))</f>
        <v/>
      </c>
      <c r="D86" s="21"/>
      <c r="E86" s="21"/>
      <c r="F86" s="21"/>
      <c r="G86" s="21"/>
      <c r="H86" s="27" t="str">
        <f aca="false">IF(COUNT(D86:G86)=0,"",SUM(D86:G86))</f>
        <v/>
      </c>
      <c r="I86" s="21"/>
      <c r="J86" s="21"/>
      <c r="K86" s="21"/>
      <c r="L86" s="21"/>
      <c r="M86" s="27" t="str">
        <f aca="false">IF(COUNT(I86:L86)=0,"",SUM(I86:L86))</f>
        <v/>
      </c>
      <c r="N86" s="21"/>
      <c r="O86" s="21"/>
      <c r="P86" s="21"/>
      <c r="Q86" s="21"/>
      <c r="R86" s="27" t="str">
        <f aca="false">IF(COUNT(N86:Q86)=0,"",SUM(N86:Q86))</f>
        <v/>
      </c>
      <c r="S86" s="29" t="str">
        <f aca="false">IF(COUNT(H86,M86,R86)=0,"",ROUND(AVERAGE(H86,M86,R86),2))</f>
        <v/>
      </c>
      <c r="T86" s="30" t="str">
        <f aca="false">IF(COUNT(F86,K86,P86)=0,"",ROUND(AVERAGE(F86,K86,P86),2))</f>
        <v/>
      </c>
    </row>
    <row r="87" customFormat="false" ht="15" hidden="false" customHeight="false" outlineLevel="0" collapsed="false">
      <c r="A87" s="22"/>
      <c r="B87" s="27" t="str">
        <f aca="false">IF(A87="","",IFERROR(INDEX(작품목록!$B$4:$B$103,MATCH(A87,작품목록!$A$4:$A$103,0)),"번호 확인"))</f>
        <v/>
      </c>
      <c r="C87" s="28" t="str">
        <f aca="false">IF(A87="","",IFERROR(INDEX(작품목록!$G$4:$G$103,MATCH(A87,작품목록!$A$4:$A$103,0)),"작품목록에 없음"))</f>
        <v/>
      </c>
      <c r="D87" s="21"/>
      <c r="E87" s="21"/>
      <c r="F87" s="21"/>
      <c r="G87" s="21"/>
      <c r="H87" s="27" t="str">
        <f aca="false">IF(COUNT(D87:G87)=0,"",SUM(D87:G87))</f>
        <v/>
      </c>
      <c r="I87" s="21"/>
      <c r="J87" s="21"/>
      <c r="K87" s="21"/>
      <c r="L87" s="21"/>
      <c r="M87" s="27" t="str">
        <f aca="false">IF(COUNT(I87:L87)=0,"",SUM(I87:L87))</f>
        <v/>
      </c>
      <c r="N87" s="21"/>
      <c r="O87" s="21"/>
      <c r="P87" s="21"/>
      <c r="Q87" s="21"/>
      <c r="R87" s="27" t="str">
        <f aca="false">IF(COUNT(N87:Q87)=0,"",SUM(N87:Q87))</f>
        <v/>
      </c>
      <c r="S87" s="29" t="str">
        <f aca="false">IF(COUNT(H87,M87,R87)=0,"",ROUND(AVERAGE(H87,M87,R87),2))</f>
        <v/>
      </c>
      <c r="T87" s="30" t="str">
        <f aca="false">IF(COUNT(F87,K87,P87)=0,"",ROUND(AVERAGE(F87,K87,P87),2))</f>
        <v/>
      </c>
    </row>
    <row r="88" customFormat="false" ht="15" hidden="false" customHeight="false" outlineLevel="0" collapsed="false">
      <c r="A88" s="22"/>
      <c r="B88" s="27" t="str">
        <f aca="false">IF(A88="","",IFERROR(INDEX(작품목록!$B$4:$B$103,MATCH(A88,작품목록!$A$4:$A$103,0)),"번호 확인"))</f>
        <v/>
      </c>
      <c r="C88" s="28" t="str">
        <f aca="false">IF(A88="","",IFERROR(INDEX(작품목록!$G$4:$G$103,MATCH(A88,작품목록!$A$4:$A$103,0)),"작품목록에 없음"))</f>
        <v/>
      </c>
      <c r="D88" s="21"/>
      <c r="E88" s="21"/>
      <c r="F88" s="21"/>
      <c r="G88" s="21"/>
      <c r="H88" s="27" t="str">
        <f aca="false">IF(COUNT(D88:G88)=0,"",SUM(D88:G88))</f>
        <v/>
      </c>
      <c r="I88" s="21"/>
      <c r="J88" s="21"/>
      <c r="K88" s="21"/>
      <c r="L88" s="21"/>
      <c r="M88" s="27" t="str">
        <f aca="false">IF(COUNT(I88:L88)=0,"",SUM(I88:L88))</f>
        <v/>
      </c>
      <c r="N88" s="21"/>
      <c r="O88" s="21"/>
      <c r="P88" s="21"/>
      <c r="Q88" s="21"/>
      <c r="R88" s="27" t="str">
        <f aca="false">IF(COUNT(N88:Q88)=0,"",SUM(N88:Q88))</f>
        <v/>
      </c>
      <c r="S88" s="29" t="str">
        <f aca="false">IF(COUNT(H88,M88,R88)=0,"",ROUND(AVERAGE(H88,M88,R88),2))</f>
        <v/>
      </c>
      <c r="T88" s="30" t="str">
        <f aca="false">IF(COUNT(F88,K88,P88)=0,"",ROUND(AVERAGE(F88,K88,P88),2))</f>
        <v/>
      </c>
    </row>
    <row r="89" customFormat="false" ht="15" hidden="false" customHeight="false" outlineLevel="0" collapsed="false">
      <c r="A89" s="22"/>
      <c r="B89" s="27" t="str">
        <f aca="false">IF(A89="","",IFERROR(INDEX(작품목록!$B$4:$B$103,MATCH(A89,작품목록!$A$4:$A$103,0)),"번호 확인"))</f>
        <v/>
      </c>
      <c r="C89" s="28" t="str">
        <f aca="false">IF(A89="","",IFERROR(INDEX(작품목록!$G$4:$G$103,MATCH(A89,작품목록!$A$4:$A$103,0)),"작품목록에 없음"))</f>
        <v/>
      </c>
      <c r="D89" s="21"/>
      <c r="E89" s="21"/>
      <c r="F89" s="21"/>
      <c r="G89" s="21"/>
      <c r="H89" s="27" t="str">
        <f aca="false">IF(COUNT(D89:G89)=0,"",SUM(D89:G89))</f>
        <v/>
      </c>
      <c r="I89" s="21"/>
      <c r="J89" s="21"/>
      <c r="K89" s="21"/>
      <c r="L89" s="21"/>
      <c r="M89" s="27" t="str">
        <f aca="false">IF(COUNT(I89:L89)=0,"",SUM(I89:L89))</f>
        <v/>
      </c>
      <c r="N89" s="21"/>
      <c r="O89" s="21"/>
      <c r="P89" s="21"/>
      <c r="Q89" s="21"/>
      <c r="R89" s="27" t="str">
        <f aca="false">IF(COUNT(N89:Q89)=0,"",SUM(N89:Q89))</f>
        <v/>
      </c>
      <c r="S89" s="29" t="str">
        <f aca="false">IF(COUNT(H89,M89,R89)=0,"",ROUND(AVERAGE(H89,M89,R89),2))</f>
        <v/>
      </c>
      <c r="T89" s="30" t="str">
        <f aca="false">IF(COUNT(F89,K89,P89)=0,"",ROUND(AVERAGE(F89,K89,P89),2))</f>
        <v/>
      </c>
    </row>
    <row r="90" customFormat="false" ht="15" hidden="false" customHeight="false" outlineLevel="0" collapsed="false">
      <c r="A90" s="22"/>
      <c r="B90" s="27" t="str">
        <f aca="false">IF(A90="","",IFERROR(INDEX(작품목록!$B$4:$B$103,MATCH(A90,작품목록!$A$4:$A$103,0)),"번호 확인"))</f>
        <v/>
      </c>
      <c r="C90" s="28" t="str">
        <f aca="false">IF(A90="","",IFERROR(INDEX(작품목록!$G$4:$G$103,MATCH(A90,작품목록!$A$4:$A$103,0)),"작품목록에 없음"))</f>
        <v/>
      </c>
      <c r="D90" s="21"/>
      <c r="E90" s="21"/>
      <c r="F90" s="21"/>
      <c r="G90" s="21"/>
      <c r="H90" s="27" t="str">
        <f aca="false">IF(COUNT(D90:G90)=0,"",SUM(D90:G90))</f>
        <v/>
      </c>
      <c r="I90" s="21"/>
      <c r="J90" s="21"/>
      <c r="K90" s="21"/>
      <c r="L90" s="21"/>
      <c r="M90" s="27" t="str">
        <f aca="false">IF(COUNT(I90:L90)=0,"",SUM(I90:L90))</f>
        <v/>
      </c>
      <c r="N90" s="21"/>
      <c r="O90" s="21"/>
      <c r="P90" s="21"/>
      <c r="Q90" s="21"/>
      <c r="R90" s="27" t="str">
        <f aca="false">IF(COUNT(N90:Q90)=0,"",SUM(N90:Q90))</f>
        <v/>
      </c>
      <c r="S90" s="29" t="str">
        <f aca="false">IF(COUNT(H90,M90,R90)=0,"",ROUND(AVERAGE(H90,M90,R90),2))</f>
        <v/>
      </c>
      <c r="T90" s="30" t="str">
        <f aca="false">IF(COUNT(F90,K90,P90)=0,"",ROUND(AVERAGE(F90,K90,P90),2))</f>
        <v/>
      </c>
    </row>
    <row r="91" customFormat="false" ht="15" hidden="false" customHeight="false" outlineLevel="0" collapsed="false">
      <c r="A91" s="22"/>
      <c r="B91" s="27" t="str">
        <f aca="false">IF(A91="","",IFERROR(INDEX(작품목록!$B$4:$B$103,MATCH(A91,작품목록!$A$4:$A$103,0)),"번호 확인"))</f>
        <v/>
      </c>
      <c r="C91" s="28" t="str">
        <f aca="false">IF(A91="","",IFERROR(INDEX(작품목록!$G$4:$G$103,MATCH(A91,작품목록!$A$4:$A$103,0)),"작품목록에 없음"))</f>
        <v/>
      </c>
      <c r="D91" s="21"/>
      <c r="E91" s="21"/>
      <c r="F91" s="21"/>
      <c r="G91" s="21"/>
      <c r="H91" s="27" t="str">
        <f aca="false">IF(COUNT(D91:G91)=0,"",SUM(D91:G91))</f>
        <v/>
      </c>
      <c r="I91" s="21"/>
      <c r="J91" s="21"/>
      <c r="K91" s="21"/>
      <c r="L91" s="21"/>
      <c r="M91" s="27" t="str">
        <f aca="false">IF(COUNT(I91:L91)=0,"",SUM(I91:L91))</f>
        <v/>
      </c>
      <c r="N91" s="21"/>
      <c r="O91" s="21"/>
      <c r="P91" s="21"/>
      <c r="Q91" s="21"/>
      <c r="R91" s="27" t="str">
        <f aca="false">IF(COUNT(N91:Q91)=0,"",SUM(N91:Q91))</f>
        <v/>
      </c>
      <c r="S91" s="29" t="str">
        <f aca="false">IF(COUNT(H91,M91,R91)=0,"",ROUND(AVERAGE(H91,M91,R91),2))</f>
        <v/>
      </c>
      <c r="T91" s="30" t="str">
        <f aca="false">IF(COUNT(F91,K91,P91)=0,"",ROUND(AVERAGE(F91,K91,P91),2))</f>
        <v/>
      </c>
    </row>
    <row r="92" customFormat="false" ht="15" hidden="false" customHeight="false" outlineLevel="0" collapsed="false">
      <c r="A92" s="22"/>
      <c r="B92" s="27" t="str">
        <f aca="false">IF(A92="","",IFERROR(INDEX(작품목록!$B$4:$B$103,MATCH(A92,작품목록!$A$4:$A$103,0)),"번호 확인"))</f>
        <v/>
      </c>
      <c r="C92" s="28" t="str">
        <f aca="false">IF(A92="","",IFERROR(INDEX(작품목록!$G$4:$G$103,MATCH(A92,작품목록!$A$4:$A$103,0)),"작품목록에 없음"))</f>
        <v/>
      </c>
      <c r="D92" s="21"/>
      <c r="E92" s="21"/>
      <c r="F92" s="21"/>
      <c r="G92" s="21"/>
      <c r="H92" s="27" t="str">
        <f aca="false">IF(COUNT(D92:G92)=0,"",SUM(D92:G92))</f>
        <v/>
      </c>
      <c r="I92" s="21"/>
      <c r="J92" s="21"/>
      <c r="K92" s="21"/>
      <c r="L92" s="21"/>
      <c r="M92" s="27" t="str">
        <f aca="false">IF(COUNT(I92:L92)=0,"",SUM(I92:L92))</f>
        <v/>
      </c>
      <c r="N92" s="21"/>
      <c r="O92" s="21"/>
      <c r="P92" s="21"/>
      <c r="Q92" s="21"/>
      <c r="R92" s="27" t="str">
        <f aca="false">IF(COUNT(N92:Q92)=0,"",SUM(N92:Q92))</f>
        <v/>
      </c>
      <c r="S92" s="29" t="str">
        <f aca="false">IF(COUNT(H92,M92,R92)=0,"",ROUND(AVERAGE(H92,M92,R92),2))</f>
        <v/>
      </c>
      <c r="T92" s="30" t="str">
        <f aca="false">IF(COUNT(F92,K92,P92)=0,"",ROUND(AVERAGE(F92,K92,P92),2))</f>
        <v/>
      </c>
    </row>
    <row r="93" customFormat="false" ht="15" hidden="false" customHeight="false" outlineLevel="0" collapsed="false">
      <c r="A93" s="22"/>
      <c r="B93" s="27" t="str">
        <f aca="false">IF(A93="","",IFERROR(INDEX(작품목록!$B$4:$B$103,MATCH(A93,작품목록!$A$4:$A$103,0)),"번호 확인"))</f>
        <v/>
      </c>
      <c r="C93" s="28" t="str">
        <f aca="false">IF(A93="","",IFERROR(INDEX(작품목록!$G$4:$G$103,MATCH(A93,작품목록!$A$4:$A$103,0)),"작품목록에 없음"))</f>
        <v/>
      </c>
      <c r="D93" s="21"/>
      <c r="E93" s="21"/>
      <c r="F93" s="21"/>
      <c r="G93" s="21"/>
      <c r="H93" s="27" t="str">
        <f aca="false">IF(COUNT(D93:G93)=0,"",SUM(D93:G93))</f>
        <v/>
      </c>
      <c r="I93" s="21"/>
      <c r="J93" s="21"/>
      <c r="K93" s="21"/>
      <c r="L93" s="21"/>
      <c r="M93" s="27" t="str">
        <f aca="false">IF(COUNT(I93:L93)=0,"",SUM(I93:L93))</f>
        <v/>
      </c>
      <c r="N93" s="21"/>
      <c r="O93" s="21"/>
      <c r="P93" s="21"/>
      <c r="Q93" s="21"/>
      <c r="R93" s="27" t="str">
        <f aca="false">IF(COUNT(N93:Q93)=0,"",SUM(N93:Q93))</f>
        <v/>
      </c>
      <c r="S93" s="29" t="str">
        <f aca="false">IF(COUNT(H93,M93,R93)=0,"",ROUND(AVERAGE(H93,M93,R93),2))</f>
        <v/>
      </c>
      <c r="T93" s="30" t="str">
        <f aca="false">IF(COUNT(F93,K93,P93)=0,"",ROUND(AVERAGE(F93,K93,P93),2))</f>
        <v/>
      </c>
    </row>
    <row r="94" customFormat="false" ht="15" hidden="false" customHeight="false" outlineLevel="0" collapsed="false">
      <c r="A94" s="22"/>
      <c r="B94" s="27" t="str">
        <f aca="false">IF(A94="","",IFERROR(INDEX(작품목록!$B$4:$B$103,MATCH(A94,작품목록!$A$4:$A$103,0)),"번호 확인"))</f>
        <v/>
      </c>
      <c r="C94" s="28" t="str">
        <f aca="false">IF(A94="","",IFERROR(INDEX(작품목록!$G$4:$G$103,MATCH(A94,작품목록!$A$4:$A$103,0)),"작품목록에 없음"))</f>
        <v/>
      </c>
      <c r="D94" s="21"/>
      <c r="E94" s="21"/>
      <c r="F94" s="21"/>
      <c r="G94" s="21"/>
      <c r="H94" s="27" t="str">
        <f aca="false">IF(COUNT(D94:G94)=0,"",SUM(D94:G94))</f>
        <v/>
      </c>
      <c r="I94" s="21"/>
      <c r="J94" s="21"/>
      <c r="K94" s="21"/>
      <c r="L94" s="21"/>
      <c r="M94" s="27" t="str">
        <f aca="false">IF(COUNT(I94:L94)=0,"",SUM(I94:L94))</f>
        <v/>
      </c>
      <c r="N94" s="21"/>
      <c r="O94" s="21"/>
      <c r="P94" s="21"/>
      <c r="Q94" s="21"/>
      <c r="R94" s="27" t="str">
        <f aca="false">IF(COUNT(N94:Q94)=0,"",SUM(N94:Q94))</f>
        <v/>
      </c>
      <c r="S94" s="29" t="str">
        <f aca="false">IF(COUNT(H94,M94,R94)=0,"",ROUND(AVERAGE(H94,M94,R94),2))</f>
        <v/>
      </c>
      <c r="T94" s="30" t="str">
        <f aca="false">IF(COUNT(F94,K94,P94)=0,"",ROUND(AVERAGE(F94,K94,P94),2))</f>
        <v/>
      </c>
    </row>
    <row r="95" customFormat="false" ht="15" hidden="false" customHeight="false" outlineLevel="0" collapsed="false">
      <c r="A95" s="22"/>
      <c r="B95" s="27" t="str">
        <f aca="false">IF(A95="","",IFERROR(INDEX(작품목록!$B$4:$B$103,MATCH(A95,작품목록!$A$4:$A$103,0)),"번호 확인"))</f>
        <v/>
      </c>
      <c r="C95" s="28" t="str">
        <f aca="false">IF(A95="","",IFERROR(INDEX(작품목록!$G$4:$G$103,MATCH(A95,작품목록!$A$4:$A$103,0)),"작품목록에 없음"))</f>
        <v/>
      </c>
      <c r="D95" s="21"/>
      <c r="E95" s="21"/>
      <c r="F95" s="21"/>
      <c r="G95" s="21"/>
      <c r="H95" s="27" t="str">
        <f aca="false">IF(COUNT(D95:G95)=0,"",SUM(D95:G95))</f>
        <v/>
      </c>
      <c r="I95" s="21"/>
      <c r="J95" s="21"/>
      <c r="K95" s="21"/>
      <c r="L95" s="21"/>
      <c r="M95" s="27" t="str">
        <f aca="false">IF(COUNT(I95:L95)=0,"",SUM(I95:L95))</f>
        <v/>
      </c>
      <c r="N95" s="21"/>
      <c r="O95" s="21"/>
      <c r="P95" s="21"/>
      <c r="Q95" s="21"/>
      <c r="R95" s="27" t="str">
        <f aca="false">IF(COUNT(N95:Q95)=0,"",SUM(N95:Q95))</f>
        <v/>
      </c>
      <c r="S95" s="29" t="str">
        <f aca="false">IF(COUNT(H95,M95,R95)=0,"",ROUND(AVERAGE(H95,M95,R95),2))</f>
        <v/>
      </c>
      <c r="T95" s="30" t="str">
        <f aca="false">IF(COUNT(F95,K95,P95)=0,"",ROUND(AVERAGE(F95,K95,P95),2))</f>
        <v/>
      </c>
    </row>
    <row r="96" customFormat="false" ht="15" hidden="false" customHeight="false" outlineLevel="0" collapsed="false">
      <c r="A96" s="22"/>
      <c r="B96" s="27" t="str">
        <f aca="false">IF(A96="","",IFERROR(INDEX(작품목록!$B$4:$B$103,MATCH(A96,작품목록!$A$4:$A$103,0)),"번호 확인"))</f>
        <v/>
      </c>
      <c r="C96" s="28" t="str">
        <f aca="false">IF(A96="","",IFERROR(INDEX(작품목록!$G$4:$G$103,MATCH(A96,작품목록!$A$4:$A$103,0)),"작품목록에 없음"))</f>
        <v/>
      </c>
      <c r="D96" s="21"/>
      <c r="E96" s="21"/>
      <c r="F96" s="21"/>
      <c r="G96" s="21"/>
      <c r="H96" s="27" t="str">
        <f aca="false">IF(COUNT(D96:G96)=0,"",SUM(D96:G96))</f>
        <v/>
      </c>
      <c r="I96" s="21"/>
      <c r="J96" s="21"/>
      <c r="K96" s="21"/>
      <c r="L96" s="21"/>
      <c r="M96" s="27" t="str">
        <f aca="false">IF(COUNT(I96:L96)=0,"",SUM(I96:L96))</f>
        <v/>
      </c>
      <c r="N96" s="21"/>
      <c r="O96" s="21"/>
      <c r="P96" s="21"/>
      <c r="Q96" s="21"/>
      <c r="R96" s="27" t="str">
        <f aca="false">IF(COUNT(N96:Q96)=0,"",SUM(N96:Q96))</f>
        <v/>
      </c>
      <c r="S96" s="29" t="str">
        <f aca="false">IF(COUNT(H96,M96,R96)=0,"",ROUND(AVERAGE(H96,M96,R96),2))</f>
        <v/>
      </c>
      <c r="T96" s="30" t="str">
        <f aca="false">IF(COUNT(F96,K96,P96)=0,"",ROUND(AVERAGE(F96,K96,P96),2))</f>
        <v/>
      </c>
    </row>
    <row r="97" customFormat="false" ht="15" hidden="false" customHeight="false" outlineLevel="0" collapsed="false">
      <c r="A97" s="22"/>
      <c r="B97" s="27" t="str">
        <f aca="false">IF(A97="","",IFERROR(INDEX(작품목록!$B$4:$B$103,MATCH(A97,작품목록!$A$4:$A$103,0)),"번호 확인"))</f>
        <v/>
      </c>
      <c r="C97" s="28" t="str">
        <f aca="false">IF(A97="","",IFERROR(INDEX(작품목록!$G$4:$G$103,MATCH(A97,작품목록!$A$4:$A$103,0)),"작품목록에 없음"))</f>
        <v/>
      </c>
      <c r="D97" s="21"/>
      <c r="E97" s="21"/>
      <c r="F97" s="21"/>
      <c r="G97" s="21"/>
      <c r="H97" s="27" t="str">
        <f aca="false">IF(COUNT(D97:G97)=0,"",SUM(D97:G97))</f>
        <v/>
      </c>
      <c r="I97" s="21"/>
      <c r="J97" s="21"/>
      <c r="K97" s="21"/>
      <c r="L97" s="21"/>
      <c r="M97" s="27" t="str">
        <f aca="false">IF(COUNT(I97:L97)=0,"",SUM(I97:L97))</f>
        <v/>
      </c>
      <c r="N97" s="21"/>
      <c r="O97" s="21"/>
      <c r="P97" s="21"/>
      <c r="Q97" s="21"/>
      <c r="R97" s="27" t="str">
        <f aca="false">IF(COUNT(N97:Q97)=0,"",SUM(N97:Q97))</f>
        <v/>
      </c>
      <c r="S97" s="29" t="str">
        <f aca="false">IF(COUNT(H97,M97,R97)=0,"",ROUND(AVERAGE(H97,M97,R97),2))</f>
        <v/>
      </c>
      <c r="T97" s="30" t="str">
        <f aca="false">IF(COUNT(F97,K97,P97)=0,"",ROUND(AVERAGE(F97,K97,P97),2))</f>
        <v/>
      </c>
    </row>
    <row r="98" customFormat="false" ht="15" hidden="false" customHeight="false" outlineLevel="0" collapsed="false">
      <c r="A98" s="22"/>
      <c r="B98" s="27" t="str">
        <f aca="false">IF(A98="","",IFERROR(INDEX(작품목록!$B$4:$B$103,MATCH(A98,작품목록!$A$4:$A$103,0)),"번호 확인"))</f>
        <v/>
      </c>
      <c r="C98" s="28" t="str">
        <f aca="false">IF(A98="","",IFERROR(INDEX(작품목록!$G$4:$G$103,MATCH(A98,작품목록!$A$4:$A$103,0)),"작품목록에 없음"))</f>
        <v/>
      </c>
      <c r="D98" s="21"/>
      <c r="E98" s="21"/>
      <c r="F98" s="21"/>
      <c r="G98" s="21"/>
      <c r="H98" s="27" t="str">
        <f aca="false">IF(COUNT(D98:G98)=0,"",SUM(D98:G98))</f>
        <v/>
      </c>
      <c r="I98" s="21"/>
      <c r="J98" s="21"/>
      <c r="K98" s="21"/>
      <c r="L98" s="21"/>
      <c r="M98" s="27" t="str">
        <f aca="false">IF(COUNT(I98:L98)=0,"",SUM(I98:L98))</f>
        <v/>
      </c>
      <c r="N98" s="21"/>
      <c r="O98" s="21"/>
      <c r="P98" s="21"/>
      <c r="Q98" s="21"/>
      <c r="R98" s="27" t="str">
        <f aca="false">IF(COUNT(N98:Q98)=0,"",SUM(N98:Q98))</f>
        <v/>
      </c>
      <c r="S98" s="29" t="str">
        <f aca="false">IF(COUNT(H98,M98,R98)=0,"",ROUND(AVERAGE(H98,M98,R98),2))</f>
        <v/>
      </c>
      <c r="T98" s="30" t="str">
        <f aca="false">IF(COUNT(F98,K98,P98)=0,"",ROUND(AVERAGE(F98,K98,P98),2))</f>
        <v/>
      </c>
    </row>
    <row r="99" customFormat="false" ht="15" hidden="false" customHeight="false" outlineLevel="0" collapsed="false">
      <c r="A99" s="22"/>
      <c r="B99" s="27" t="str">
        <f aca="false">IF(A99="","",IFERROR(INDEX(작품목록!$B$4:$B$103,MATCH(A99,작품목록!$A$4:$A$103,0)),"번호 확인"))</f>
        <v/>
      </c>
      <c r="C99" s="28" t="str">
        <f aca="false">IF(A99="","",IFERROR(INDEX(작품목록!$G$4:$G$103,MATCH(A99,작품목록!$A$4:$A$103,0)),"작품목록에 없음"))</f>
        <v/>
      </c>
      <c r="D99" s="21"/>
      <c r="E99" s="21"/>
      <c r="F99" s="21"/>
      <c r="G99" s="21"/>
      <c r="H99" s="27" t="str">
        <f aca="false">IF(COUNT(D99:G99)=0,"",SUM(D99:G99))</f>
        <v/>
      </c>
      <c r="I99" s="21"/>
      <c r="J99" s="21"/>
      <c r="K99" s="21"/>
      <c r="L99" s="21"/>
      <c r="M99" s="27" t="str">
        <f aca="false">IF(COUNT(I99:L99)=0,"",SUM(I99:L99))</f>
        <v/>
      </c>
      <c r="N99" s="21"/>
      <c r="O99" s="21"/>
      <c r="P99" s="21"/>
      <c r="Q99" s="21"/>
      <c r="R99" s="27" t="str">
        <f aca="false">IF(COUNT(N99:Q99)=0,"",SUM(N99:Q99))</f>
        <v/>
      </c>
      <c r="S99" s="29" t="str">
        <f aca="false">IF(COUNT(H99,M99,R99)=0,"",ROUND(AVERAGE(H99,M99,R99),2))</f>
        <v/>
      </c>
      <c r="T99" s="30" t="str">
        <f aca="false">IF(COUNT(F99,K99,P99)=0,"",ROUND(AVERAGE(F99,K99,P99),2))</f>
        <v/>
      </c>
    </row>
    <row r="100" customFormat="false" ht="15" hidden="false" customHeight="false" outlineLevel="0" collapsed="false">
      <c r="A100" s="22"/>
      <c r="B100" s="27" t="str">
        <f aca="false">IF(A100="","",IFERROR(INDEX(작품목록!$B$4:$B$103,MATCH(A100,작품목록!$A$4:$A$103,0)),"번호 확인"))</f>
        <v/>
      </c>
      <c r="C100" s="28" t="str">
        <f aca="false">IF(A100="","",IFERROR(INDEX(작품목록!$G$4:$G$103,MATCH(A100,작품목록!$A$4:$A$103,0)),"작품목록에 없음"))</f>
        <v/>
      </c>
      <c r="D100" s="21"/>
      <c r="E100" s="21"/>
      <c r="F100" s="21"/>
      <c r="G100" s="21"/>
      <c r="H100" s="27" t="str">
        <f aca="false">IF(COUNT(D100:G100)=0,"",SUM(D100:G100))</f>
        <v/>
      </c>
      <c r="I100" s="21"/>
      <c r="J100" s="21"/>
      <c r="K100" s="21"/>
      <c r="L100" s="21"/>
      <c r="M100" s="27" t="str">
        <f aca="false">IF(COUNT(I100:L100)=0,"",SUM(I100:L100))</f>
        <v/>
      </c>
      <c r="N100" s="21"/>
      <c r="O100" s="21"/>
      <c r="P100" s="21"/>
      <c r="Q100" s="21"/>
      <c r="R100" s="27" t="str">
        <f aca="false">IF(COUNT(N100:Q100)=0,"",SUM(N100:Q100))</f>
        <v/>
      </c>
      <c r="S100" s="29" t="str">
        <f aca="false">IF(COUNT(H100,M100,R100)=0,"",ROUND(AVERAGE(H100,M100,R100),2))</f>
        <v/>
      </c>
      <c r="T100" s="30" t="str">
        <f aca="false">IF(COUNT(F100,K100,P100)=0,"",ROUND(AVERAGE(F100,K100,P100),2))</f>
        <v/>
      </c>
    </row>
    <row r="101" customFormat="false" ht="15" hidden="false" customHeight="false" outlineLevel="0" collapsed="false">
      <c r="A101" s="22"/>
      <c r="B101" s="27" t="str">
        <f aca="false">IF(A101="","",IFERROR(INDEX(작품목록!$B$4:$B$103,MATCH(A101,작품목록!$A$4:$A$103,0)),"번호 확인"))</f>
        <v/>
      </c>
      <c r="C101" s="28" t="str">
        <f aca="false">IF(A101="","",IFERROR(INDEX(작품목록!$G$4:$G$103,MATCH(A101,작품목록!$A$4:$A$103,0)),"작품목록에 없음"))</f>
        <v/>
      </c>
      <c r="D101" s="21"/>
      <c r="E101" s="21"/>
      <c r="F101" s="21"/>
      <c r="G101" s="21"/>
      <c r="H101" s="27" t="str">
        <f aca="false">IF(COUNT(D101:G101)=0,"",SUM(D101:G101))</f>
        <v/>
      </c>
      <c r="I101" s="21"/>
      <c r="J101" s="21"/>
      <c r="K101" s="21"/>
      <c r="L101" s="21"/>
      <c r="M101" s="27" t="str">
        <f aca="false">IF(COUNT(I101:L101)=0,"",SUM(I101:L101))</f>
        <v/>
      </c>
      <c r="N101" s="21"/>
      <c r="O101" s="21"/>
      <c r="P101" s="21"/>
      <c r="Q101" s="21"/>
      <c r="R101" s="27" t="str">
        <f aca="false">IF(COUNT(N101:Q101)=0,"",SUM(N101:Q101))</f>
        <v/>
      </c>
      <c r="S101" s="29" t="str">
        <f aca="false">IF(COUNT(H101,M101,R101)=0,"",ROUND(AVERAGE(H101,M101,R101),2))</f>
        <v/>
      </c>
      <c r="T101" s="30" t="str">
        <f aca="false">IF(COUNT(F101,K101,P101)=0,"",ROUND(AVERAGE(F101,K101,P101),2))</f>
        <v/>
      </c>
    </row>
    <row r="102" customFormat="false" ht="15" hidden="false" customHeight="false" outlineLevel="0" collapsed="false">
      <c r="A102" s="22"/>
      <c r="B102" s="27" t="str">
        <f aca="false">IF(A102="","",IFERROR(INDEX(작품목록!$B$4:$B$103,MATCH(A102,작품목록!$A$4:$A$103,0)),"번호 확인"))</f>
        <v/>
      </c>
      <c r="C102" s="28" t="str">
        <f aca="false">IF(A102="","",IFERROR(INDEX(작품목록!$G$4:$G$103,MATCH(A102,작품목록!$A$4:$A$103,0)),"작품목록에 없음"))</f>
        <v/>
      </c>
      <c r="D102" s="21"/>
      <c r="E102" s="21"/>
      <c r="F102" s="21"/>
      <c r="G102" s="21"/>
      <c r="H102" s="27" t="str">
        <f aca="false">IF(COUNT(D102:G102)=0,"",SUM(D102:G102))</f>
        <v/>
      </c>
      <c r="I102" s="21"/>
      <c r="J102" s="21"/>
      <c r="K102" s="21"/>
      <c r="L102" s="21"/>
      <c r="M102" s="27" t="str">
        <f aca="false">IF(COUNT(I102:L102)=0,"",SUM(I102:L102))</f>
        <v/>
      </c>
      <c r="N102" s="21"/>
      <c r="O102" s="21"/>
      <c r="P102" s="21"/>
      <c r="Q102" s="21"/>
      <c r="R102" s="27" t="str">
        <f aca="false">IF(COUNT(N102:Q102)=0,"",SUM(N102:Q102))</f>
        <v/>
      </c>
      <c r="S102" s="29" t="str">
        <f aca="false">IF(COUNT(H102,M102,R102)=0,"",ROUND(AVERAGE(H102,M102,R102),2))</f>
        <v/>
      </c>
      <c r="T102" s="30" t="str">
        <f aca="false">IF(COUNT(F102,K102,P102)=0,"",ROUND(AVERAGE(F102,K102,P102),2))</f>
        <v/>
      </c>
    </row>
    <row r="103" customFormat="false" ht="15" hidden="false" customHeight="false" outlineLevel="0" collapsed="false">
      <c r="A103" s="22"/>
      <c r="B103" s="27" t="str">
        <f aca="false">IF(A103="","",IFERROR(INDEX(작품목록!$B$4:$B$103,MATCH(A103,작품목록!$A$4:$A$103,0)),"번호 확인"))</f>
        <v/>
      </c>
      <c r="C103" s="28" t="str">
        <f aca="false">IF(A103="","",IFERROR(INDEX(작품목록!$G$4:$G$103,MATCH(A103,작품목록!$A$4:$A$103,0)),"작품목록에 없음"))</f>
        <v/>
      </c>
      <c r="D103" s="21"/>
      <c r="E103" s="21"/>
      <c r="F103" s="21"/>
      <c r="G103" s="21"/>
      <c r="H103" s="27" t="str">
        <f aca="false">IF(COUNT(D103:G103)=0,"",SUM(D103:G103))</f>
        <v/>
      </c>
      <c r="I103" s="21"/>
      <c r="J103" s="21"/>
      <c r="K103" s="21"/>
      <c r="L103" s="21"/>
      <c r="M103" s="27" t="str">
        <f aca="false">IF(COUNT(I103:L103)=0,"",SUM(I103:L103))</f>
        <v/>
      </c>
      <c r="N103" s="21"/>
      <c r="O103" s="21"/>
      <c r="P103" s="21"/>
      <c r="Q103" s="21"/>
      <c r="R103" s="27" t="str">
        <f aca="false">IF(COUNT(N103:Q103)=0,"",SUM(N103:Q103))</f>
        <v/>
      </c>
      <c r="S103" s="29" t="str">
        <f aca="false">IF(COUNT(H103,M103,R103)=0,"",ROUND(AVERAGE(H103,M103,R103),2))</f>
        <v/>
      </c>
      <c r="T103" s="30" t="str">
        <f aca="false">IF(COUNT(F103,K103,P103)=0,"",ROUND(AVERAGE(F103,K103,P103),2))</f>
        <v/>
      </c>
    </row>
    <row r="104" customFormat="false" ht="15" hidden="false" customHeight="false" outlineLevel="0" collapsed="false">
      <c r="A104" s="22"/>
      <c r="B104" s="27" t="str">
        <f aca="false">IF(A104="","",IFERROR(INDEX(작품목록!$B$4:$B$103,MATCH(A104,작품목록!$A$4:$A$103,0)),"번호 확인"))</f>
        <v/>
      </c>
      <c r="C104" s="28" t="str">
        <f aca="false">IF(A104="","",IFERROR(INDEX(작품목록!$G$4:$G$103,MATCH(A104,작품목록!$A$4:$A$103,0)),"작품목록에 없음"))</f>
        <v/>
      </c>
      <c r="D104" s="21"/>
      <c r="E104" s="21"/>
      <c r="F104" s="21"/>
      <c r="G104" s="21"/>
      <c r="H104" s="27" t="str">
        <f aca="false">IF(COUNT(D104:G104)=0,"",SUM(D104:G104))</f>
        <v/>
      </c>
      <c r="I104" s="21"/>
      <c r="J104" s="21"/>
      <c r="K104" s="21"/>
      <c r="L104" s="21"/>
      <c r="M104" s="27" t="str">
        <f aca="false">IF(COUNT(I104:L104)=0,"",SUM(I104:L104))</f>
        <v/>
      </c>
      <c r="N104" s="21"/>
      <c r="O104" s="21"/>
      <c r="P104" s="21"/>
      <c r="Q104" s="21"/>
      <c r="R104" s="27" t="str">
        <f aca="false">IF(COUNT(N104:Q104)=0,"",SUM(N104:Q104))</f>
        <v/>
      </c>
      <c r="S104" s="29" t="str">
        <f aca="false">IF(COUNT(H104,M104,R104)=0,"",ROUND(AVERAGE(H104,M104,R104),2))</f>
        <v/>
      </c>
      <c r="T104" s="30" t="str">
        <f aca="false">IF(COUNT(F104,K104,P104)=0,"",ROUND(AVERAGE(F104,K104,P104),2))</f>
        <v/>
      </c>
    </row>
  </sheetData>
  <mergeCells count="8">
    <mergeCell ref="A3:A4"/>
    <mergeCell ref="B3:B4"/>
    <mergeCell ref="C3:C4"/>
    <mergeCell ref="D3:H3"/>
    <mergeCell ref="I3:M3"/>
    <mergeCell ref="N3:R3"/>
    <mergeCell ref="S3:S4"/>
    <mergeCell ref="T3:T4"/>
  </mergeCells>
  <dataValidations count="4">
    <dataValidation allowBlank="true" error="교과&#10;연계성은(는) 0~15점 사이로 입력하세요." errorStyle="stop" errorTitle="점수 범위" operator="between" prompt="0~15점" showDropDown="false" showErrorMessage="false" showInputMessage="true" sqref="D5:D104 I5:I104 N5:N104" type="decimal">
      <formula1>0</formula1>
      <formula2>15</formula2>
    </dataValidation>
    <dataValidation allowBlank="true" error="학습&#10;도움은(는) 0~15점 사이로 입력하세요." errorStyle="stop" errorTitle="점수 범위" operator="between" prompt="0~15점" showDropDown="false" showErrorMessage="false" showInputMessage="true" sqref="E5:E104 J5:J104 O5:O104" type="decimal">
      <formula1>0</formula1>
      <formula2>15</formula2>
    </dataValidation>
    <dataValidation allowBlank="true" error="제작&#10;과정은(는) 0~15점 사이로 입력하세요." errorStyle="stop" errorTitle="점수 범위" operator="between" prompt="0~15점" showDropDown="false" showErrorMessage="false" showInputMessage="true" sqref="F5:F104 K5:K104 P5:P104" type="decimal">
      <formula1>0</formula1>
      <formula2>15</formula2>
    </dataValidation>
    <dataValidation allowBlank="true" error="창의성은(는) 0~5점 사이로 입력하세요." errorStyle="stop" errorTitle="점수 범위" operator="between" prompt="0~5점" showDropDown="false" showErrorMessage="false" showInputMessage="true" sqref="G5:G104 L5:L104 Q5:Q104" type="decimal">
      <formula1>0</formula1>
      <formula2>5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15" min="4" style="0" width="7.5"/>
    <col collapsed="false" customWidth="true" hidden="false" outlineLevel="0" max="16" min="16" style="0" width="11"/>
    <col collapsed="false" customWidth="true" hidden="false" outlineLevel="0" max="17" min="17" style="0" width="13"/>
  </cols>
  <sheetData>
    <row r="1" customFormat="false" ht="27.75" hidden="false" customHeight="true" outlineLevel="0" collapsed="false">
      <c r="A1" s="19" t="s">
        <v>210</v>
      </c>
    </row>
    <row r="2" customFormat="false" ht="15" hidden="false" customHeight="false" outlineLevel="0" collapsed="false">
      <c r="A2" s="20" t="s">
        <v>199</v>
      </c>
    </row>
    <row r="3" customFormat="false" ht="15" hidden="false" customHeight="true" outlineLevel="0" collapsed="false">
      <c r="A3" s="4" t="s">
        <v>50</v>
      </c>
      <c r="B3" s="4" t="s">
        <v>51</v>
      </c>
      <c r="C3" s="4" t="s">
        <v>56</v>
      </c>
      <c r="D3" s="4" t="s">
        <v>200</v>
      </c>
      <c r="E3" s="4"/>
      <c r="F3" s="4"/>
      <c r="G3" s="4"/>
      <c r="H3" s="4" t="s">
        <v>201</v>
      </c>
      <c r="I3" s="4"/>
      <c r="J3" s="4"/>
      <c r="K3" s="4"/>
      <c r="L3" s="4" t="s">
        <v>202</v>
      </c>
      <c r="M3" s="4"/>
      <c r="N3" s="4"/>
      <c r="O3" s="4"/>
      <c r="P3" s="4" t="s">
        <v>203</v>
      </c>
      <c r="Q3" s="4" t="s">
        <v>211</v>
      </c>
    </row>
    <row r="4" customFormat="false" ht="42" hidden="false" customHeight="true" outlineLevel="0" collapsed="false">
      <c r="A4" s="4"/>
      <c r="B4" s="4"/>
      <c r="C4" s="4"/>
      <c r="D4" s="26" t="s">
        <v>205</v>
      </c>
      <c r="E4" s="26" t="s">
        <v>212</v>
      </c>
      <c r="F4" s="26" t="s">
        <v>213</v>
      </c>
      <c r="G4" s="26" t="s">
        <v>209</v>
      </c>
      <c r="H4" s="26" t="s">
        <v>205</v>
      </c>
      <c r="I4" s="26" t="s">
        <v>212</v>
      </c>
      <c r="J4" s="26" t="s">
        <v>213</v>
      </c>
      <c r="K4" s="26" t="s">
        <v>209</v>
      </c>
      <c r="L4" s="26" t="s">
        <v>205</v>
      </c>
      <c r="M4" s="26" t="s">
        <v>212</v>
      </c>
      <c r="N4" s="26" t="s">
        <v>213</v>
      </c>
      <c r="O4" s="26" t="s">
        <v>209</v>
      </c>
      <c r="P4" s="4"/>
      <c r="Q4" s="4"/>
    </row>
    <row r="5" customFormat="false" ht="15" hidden="false" customHeight="false" outlineLevel="0" collapsed="false">
      <c r="A5" s="21" t="s">
        <v>156</v>
      </c>
      <c r="B5" s="27" t="str">
        <f aca="false">IF(A5="","",IFERROR(INDEX(작품목록!$B$4:$B$103,MATCH(A5,작품목록!$A$4:$A$103,0)),"번호 확인"))</f>
        <v>상상</v>
      </c>
      <c r="C5" s="28" t="str">
        <f aca="false">IF(A5="","",IFERROR(INDEX(작품목록!$G$4:$G$103,MATCH(A5,작품목록!$A$4:$A$103,0)),"작품목록에 없음"))</f>
        <v>받침 친구 로봇 '받침이'</v>
      </c>
      <c r="D5" s="21" t="n">
        <v>14</v>
      </c>
      <c r="E5" s="21" t="n">
        <v>18</v>
      </c>
      <c r="F5" s="21" t="n">
        <v>14</v>
      </c>
      <c r="G5" s="27" t="n">
        <f aca="false">IF(COUNT(D5:F5)=0,"",SUM(D5:F5))</f>
        <v>46</v>
      </c>
      <c r="H5" s="21" t="n">
        <v>13</v>
      </c>
      <c r="I5" s="21" t="n">
        <v>18</v>
      </c>
      <c r="J5" s="21" t="n">
        <v>13</v>
      </c>
      <c r="K5" s="27" t="n">
        <f aca="false">IF(COUNT(H5:J5)=0,"",SUM(H5:J5))</f>
        <v>44</v>
      </c>
      <c r="L5" s="21" t="n">
        <v>13</v>
      </c>
      <c r="M5" s="21" t="n">
        <v>18</v>
      </c>
      <c r="N5" s="21" t="n">
        <v>14</v>
      </c>
      <c r="O5" s="27" t="n">
        <f aca="false">IF(COUNT(L5:N5)=0,"",SUM(L5:N5))</f>
        <v>45</v>
      </c>
      <c r="P5" s="29" t="n">
        <f aca="false">IF(COUNT(G5,K5,O5)=0,"",ROUND(AVERAGE(G5,K5,O5),2))</f>
        <v>45</v>
      </c>
      <c r="Q5" s="30" t="n">
        <f aca="false">IF(COUNT(E5,I5,M5)=0,"",ROUND(AVERAGE(E5,I5,M5),2))</f>
        <v>18</v>
      </c>
    </row>
    <row r="6" customFormat="false" ht="15" hidden="false" customHeight="false" outlineLevel="0" collapsed="false">
      <c r="A6" s="21" t="s">
        <v>163</v>
      </c>
      <c r="B6" s="27" t="str">
        <f aca="false">IF(A6="","",IFERROR(INDEX(작품목록!$B$4:$B$103,MATCH(A6,작품목록!$A$4:$A$103,0)),"번호 확인"))</f>
        <v>상상</v>
      </c>
      <c r="C6" s="28" t="str">
        <f aca="false">IF(A6="","",IFERROR(INDEX(작품목록!$G$4:$G$103,MATCH(A6,작품목록!$A$4:$A$103,0)),"작품목록에 없음"))</f>
        <v>덧셈 요정 '더하리'</v>
      </c>
      <c r="D6" s="21" t="n">
        <v>12</v>
      </c>
      <c r="E6" s="21" t="n">
        <v>16</v>
      </c>
      <c r="F6" s="21" t="n">
        <v>12</v>
      </c>
      <c r="G6" s="27" t="n">
        <f aca="false">IF(COUNT(D6:F6)=0,"",SUM(D6:F6))</f>
        <v>40</v>
      </c>
      <c r="H6" s="21" t="n">
        <v>12</v>
      </c>
      <c r="I6" s="21" t="n">
        <v>15</v>
      </c>
      <c r="J6" s="21" t="n">
        <v>13</v>
      </c>
      <c r="K6" s="27" t="n">
        <f aca="false">IF(COUNT(H6:J6)=0,"",SUM(H6:J6))</f>
        <v>40</v>
      </c>
      <c r="L6" s="21" t="n">
        <v>13</v>
      </c>
      <c r="M6" s="21" t="n">
        <v>17</v>
      </c>
      <c r="N6" s="21" t="n">
        <v>13</v>
      </c>
      <c r="O6" s="27" t="n">
        <f aca="false">IF(COUNT(L6:N6)=0,"",SUM(L6:N6))</f>
        <v>43</v>
      </c>
      <c r="P6" s="29" t="n">
        <f aca="false">IF(COUNT(G6,K6,O6)=0,"",ROUND(AVERAGE(G6,K6,O6),2))</f>
        <v>41</v>
      </c>
      <c r="Q6" s="30" t="n">
        <f aca="false">IF(COUNT(E6,I6,M6)=0,"",ROUND(AVERAGE(E6,I6,M6),2))</f>
        <v>16</v>
      </c>
    </row>
    <row r="7" customFormat="false" ht="15" hidden="false" customHeight="false" outlineLevel="0" collapsed="false">
      <c r="A7" s="21" t="s">
        <v>168</v>
      </c>
      <c r="B7" s="27" t="str">
        <f aca="false">IF(A7="","",IFERROR(INDEX(작품목록!$B$4:$B$103,MATCH(A7,작품목록!$A$4:$A$103,0)),"번호 확인"))</f>
        <v>상상</v>
      </c>
      <c r="C7" s="28" t="str">
        <f aca="false">IF(A7="","",IFERROR(INDEX(작품목록!$G$4:$G$103,MATCH(A7,작품목록!$A$4:$A$103,0)),"작품목록에 없음"))</f>
        <v>낙엽 이름 알려 주는 다람쥐 AI</v>
      </c>
      <c r="D7" s="21" t="n">
        <v>10</v>
      </c>
      <c r="E7" s="21" t="n">
        <v>15</v>
      </c>
      <c r="F7" s="21" t="n">
        <v>11</v>
      </c>
      <c r="G7" s="27" t="n">
        <f aca="false">IF(COUNT(D7:F7)=0,"",SUM(D7:F7))</f>
        <v>36</v>
      </c>
      <c r="H7" s="21" t="n">
        <v>11</v>
      </c>
      <c r="I7" s="21" t="n">
        <v>14</v>
      </c>
      <c r="J7" s="21" t="n">
        <v>11</v>
      </c>
      <c r="K7" s="27" t="n">
        <f aca="false">IF(COUNT(H7:J7)=0,"",SUM(H7:J7))</f>
        <v>36</v>
      </c>
      <c r="L7" s="21" t="n">
        <v>11</v>
      </c>
      <c r="M7" s="21" t="n">
        <v>15</v>
      </c>
      <c r="N7" s="21" t="n">
        <v>12</v>
      </c>
      <c r="O7" s="27" t="n">
        <f aca="false">IF(COUNT(L7:N7)=0,"",SUM(L7:N7))</f>
        <v>38</v>
      </c>
      <c r="P7" s="29" t="n">
        <f aca="false">IF(COUNT(G7,K7,O7)=0,"",ROUND(AVERAGE(G7,K7,O7),2))</f>
        <v>36.67</v>
      </c>
      <c r="Q7" s="30" t="n">
        <f aca="false">IF(COUNT(E7,I7,M7)=0,"",ROUND(AVERAGE(E7,I7,M7),2))</f>
        <v>14.67</v>
      </c>
    </row>
    <row r="8" customFormat="false" ht="15" hidden="false" customHeight="false" outlineLevel="0" collapsed="false">
      <c r="A8" s="21" t="s">
        <v>173</v>
      </c>
      <c r="B8" s="27" t="str">
        <f aca="false">IF(A8="","",IFERROR(INDEX(작품목록!$B$4:$B$103,MATCH(A8,작품목록!$A$4:$A$103,0)),"번호 확인"))</f>
        <v>상상</v>
      </c>
      <c r="C8" s="28" t="str">
        <f aca="false">IF(A8="","",IFERROR(INDEX(작품목록!$G$4:$G$103,MATCH(A8,작품목록!$A$4:$A$103,0)),"작품목록에 없음"))</f>
        <v>자음 모음 블록 친구</v>
      </c>
      <c r="D8" s="21" t="n">
        <v>10</v>
      </c>
      <c r="E8" s="21" t="n">
        <v>12</v>
      </c>
      <c r="F8" s="21" t="n">
        <v>10</v>
      </c>
      <c r="G8" s="27" t="n">
        <f aca="false">IF(COUNT(D8:F8)=0,"",SUM(D8:F8))</f>
        <v>32</v>
      </c>
      <c r="H8" s="21" t="n">
        <v>10</v>
      </c>
      <c r="I8" s="21" t="n">
        <v>13</v>
      </c>
      <c r="J8" s="21" t="n">
        <v>9</v>
      </c>
      <c r="K8" s="27" t="n">
        <f aca="false">IF(COUNT(H8:J8)=0,"",SUM(H8:J8))</f>
        <v>32</v>
      </c>
      <c r="L8" s="21" t="n">
        <v>10</v>
      </c>
      <c r="M8" s="21" t="n">
        <v>13</v>
      </c>
      <c r="N8" s="21" t="n">
        <v>10</v>
      </c>
      <c r="O8" s="27" t="n">
        <f aca="false">IF(COUNT(L8:N8)=0,"",SUM(L8:N8))</f>
        <v>33</v>
      </c>
      <c r="P8" s="29" t="n">
        <f aca="false">IF(COUNT(G8,K8,O8)=0,"",ROUND(AVERAGE(G8,K8,O8),2))</f>
        <v>32.33</v>
      </c>
      <c r="Q8" s="30" t="n">
        <f aca="false">IF(COUNT(E8,I8,M8)=0,"",ROUND(AVERAGE(E8,I8,M8),2))</f>
        <v>12.67</v>
      </c>
    </row>
    <row r="9" customFormat="false" ht="15" hidden="false" customHeight="false" outlineLevel="0" collapsed="false">
      <c r="A9" s="21" t="s">
        <v>178</v>
      </c>
      <c r="B9" s="27" t="str">
        <f aca="false">IF(A9="","",IFERROR(INDEX(작품목록!$B$4:$B$103,MATCH(A9,작품목록!$A$4:$A$103,0)),"번호 확인"))</f>
        <v>상상</v>
      </c>
      <c r="C9" s="28" t="str">
        <f aca="false">IF(A9="","",IFERROR(INDEX(작품목록!$G$4:$G$103,MATCH(A9,작품목록!$A$4:$A$103,0)),"작품목록에 없음"))</f>
        <v>시계 읽어 주는 부엉이</v>
      </c>
      <c r="D9" s="21" t="n">
        <v>12</v>
      </c>
      <c r="E9" s="21" t="n">
        <v>17</v>
      </c>
      <c r="F9" s="21" t="n">
        <v>12</v>
      </c>
      <c r="G9" s="27" t="n">
        <f aca="false">IF(COUNT(D9:F9)=0,"",SUM(D9:F9))</f>
        <v>41</v>
      </c>
      <c r="H9" s="21" t="n">
        <v>13</v>
      </c>
      <c r="I9" s="21" t="n">
        <v>16</v>
      </c>
      <c r="J9" s="21" t="n">
        <v>12</v>
      </c>
      <c r="K9" s="27" t="n">
        <f aca="false">IF(COUNT(H9:J9)=0,"",SUM(H9:J9))</f>
        <v>41</v>
      </c>
      <c r="L9" s="21" t="n">
        <v>14</v>
      </c>
      <c r="M9" s="21" t="n">
        <v>16</v>
      </c>
      <c r="N9" s="21" t="n">
        <v>13</v>
      </c>
      <c r="O9" s="27" t="n">
        <f aca="false">IF(COUNT(L9:N9)=0,"",SUM(L9:N9))</f>
        <v>43</v>
      </c>
      <c r="P9" s="29" t="n">
        <f aca="false">IF(COUNT(G9,K9,O9)=0,"",ROUND(AVERAGE(G9,K9,O9),2))</f>
        <v>41.67</v>
      </c>
      <c r="Q9" s="30" t="n">
        <f aca="false">IF(COUNT(E9,I9,M9)=0,"",ROUND(AVERAGE(E9,I9,M9),2))</f>
        <v>16.33</v>
      </c>
    </row>
    <row r="10" customFormat="false" ht="15" hidden="false" customHeight="false" outlineLevel="0" collapsed="false">
      <c r="A10" s="21" t="s">
        <v>183</v>
      </c>
      <c r="B10" s="27" t="str">
        <f aca="false">IF(A10="","",IFERROR(INDEX(작품목록!$B$4:$B$103,MATCH(A10,작품목록!$A$4:$A$103,0)),"번호 확인"))</f>
        <v>상상</v>
      </c>
      <c r="C10" s="28" t="str">
        <f aca="false">IF(A10="","",IFERROR(INDEX(작품목록!$G$4:$G$103,MATCH(A10,작품목록!$A$4:$A$103,0)),"작품목록에 없음"))</f>
        <v>학교 길 안내 로봇 '길동이'</v>
      </c>
      <c r="D10" s="21" t="n">
        <v>10</v>
      </c>
      <c r="E10" s="21" t="n">
        <v>13</v>
      </c>
      <c r="F10" s="21" t="n">
        <v>9</v>
      </c>
      <c r="G10" s="27" t="n">
        <f aca="false">IF(COUNT(D10:F10)=0,"",SUM(D10:F10))</f>
        <v>32</v>
      </c>
      <c r="H10" s="21" t="n">
        <v>10</v>
      </c>
      <c r="I10" s="21" t="n">
        <v>12</v>
      </c>
      <c r="J10" s="21" t="n">
        <v>9</v>
      </c>
      <c r="K10" s="27" t="n">
        <f aca="false">IF(COUNT(H10:J10)=0,"",SUM(H10:J10))</f>
        <v>31</v>
      </c>
      <c r="L10" s="21" t="n">
        <v>10</v>
      </c>
      <c r="M10" s="21" t="n">
        <v>12</v>
      </c>
      <c r="N10" s="21" t="n">
        <v>9</v>
      </c>
      <c r="O10" s="27" t="n">
        <f aca="false">IF(COUNT(L10:N10)=0,"",SUM(L10:N10))</f>
        <v>31</v>
      </c>
      <c r="P10" s="29" t="n">
        <f aca="false">IF(COUNT(G10,K10,O10)=0,"",ROUND(AVERAGE(G10,K10,O10),2))</f>
        <v>31.33</v>
      </c>
      <c r="Q10" s="30" t="n">
        <f aca="false">IF(COUNT(E10,I10,M10)=0,"",ROUND(AVERAGE(E10,I10,M10),2))</f>
        <v>12.33</v>
      </c>
    </row>
    <row r="11" customFormat="false" ht="15" hidden="false" customHeight="false" outlineLevel="0" collapsed="false">
      <c r="A11" s="21" t="s">
        <v>188</v>
      </c>
      <c r="B11" s="27" t="str">
        <f aca="false">IF(A11="","",IFERROR(INDEX(작품목록!$B$4:$B$103,MATCH(A11,작품목록!$A$4:$A$103,0)),"번호 확인"))</f>
        <v>상상</v>
      </c>
      <c r="C11" s="28" t="str">
        <f aca="false">IF(A11="","",IFERROR(INDEX(작품목록!$G$4:$G$103,MATCH(A11,작품목록!$A$4:$A$103,0)),"작품목록에 없음"))</f>
        <v>구구단 노래 상자</v>
      </c>
      <c r="D11" s="21" t="n">
        <v>11</v>
      </c>
      <c r="E11" s="21" t="n">
        <v>14</v>
      </c>
      <c r="F11" s="21" t="n">
        <v>11</v>
      </c>
      <c r="G11" s="27" t="n">
        <f aca="false">IF(COUNT(D11:F11)=0,"",SUM(D11:F11))</f>
        <v>36</v>
      </c>
      <c r="H11" s="21" t="n">
        <v>12</v>
      </c>
      <c r="I11" s="21" t="n">
        <v>16</v>
      </c>
      <c r="J11" s="21" t="n">
        <v>11</v>
      </c>
      <c r="K11" s="27" t="n">
        <f aca="false">IF(COUNT(H11:J11)=0,"",SUM(H11:J11))</f>
        <v>39</v>
      </c>
      <c r="L11" s="21" t="n">
        <v>10</v>
      </c>
      <c r="M11" s="21" t="n">
        <v>14</v>
      </c>
      <c r="N11" s="21" t="n">
        <v>10</v>
      </c>
      <c r="O11" s="27" t="n">
        <f aca="false">IF(COUNT(L11:N11)=0,"",SUM(L11:N11))</f>
        <v>34</v>
      </c>
      <c r="P11" s="29" t="n">
        <f aca="false">IF(COUNT(G11,K11,O11)=0,"",ROUND(AVERAGE(G11,K11,O11),2))</f>
        <v>36.33</v>
      </c>
      <c r="Q11" s="30" t="n">
        <f aca="false">IF(COUNT(E11,I11,M11)=0,"",ROUND(AVERAGE(E11,I11,M11),2))</f>
        <v>14.67</v>
      </c>
    </row>
    <row r="12" customFormat="false" ht="15" hidden="false" customHeight="false" outlineLevel="0" collapsed="false">
      <c r="A12" s="21" t="s">
        <v>193</v>
      </c>
      <c r="B12" s="27" t="str">
        <f aca="false">IF(A12="","",IFERROR(INDEX(작품목록!$B$4:$B$103,MATCH(A12,작품목록!$A$4:$A$103,0)),"번호 확인"))</f>
        <v>상상</v>
      </c>
      <c r="C12" s="28" t="str">
        <f aca="false">IF(A12="","",IFERROR(INDEX(작품목록!$G$4:$G$103,MATCH(A12,작품목록!$A$4:$A$103,0)),"작품목록에 없음"))</f>
        <v>또박또박 읽기 마이크</v>
      </c>
      <c r="D12" s="21" t="n">
        <v>10</v>
      </c>
      <c r="E12" s="21" t="n">
        <v>15</v>
      </c>
      <c r="F12" s="21" t="n">
        <v>11</v>
      </c>
      <c r="G12" s="27" t="n">
        <f aca="false">IF(COUNT(D12:F12)=0,"",SUM(D12:F12))</f>
        <v>36</v>
      </c>
      <c r="H12" s="21" t="n">
        <v>12</v>
      </c>
      <c r="I12" s="21" t="n">
        <v>14</v>
      </c>
      <c r="J12" s="21" t="n">
        <v>11</v>
      </c>
      <c r="K12" s="27" t="n">
        <f aca="false">IF(COUNT(H12:J12)=0,"",SUM(H12:J12))</f>
        <v>37</v>
      </c>
      <c r="L12" s="21" t="n">
        <v>11</v>
      </c>
      <c r="M12" s="21" t="n">
        <v>15</v>
      </c>
      <c r="N12" s="21" t="n">
        <v>11</v>
      </c>
      <c r="O12" s="27" t="n">
        <f aca="false">IF(COUNT(L12:N12)=0,"",SUM(L12:N12))</f>
        <v>37</v>
      </c>
      <c r="P12" s="29" t="n">
        <f aca="false">IF(COUNT(G12,K12,O12)=0,"",ROUND(AVERAGE(G12,K12,O12),2))</f>
        <v>36.67</v>
      </c>
      <c r="Q12" s="30" t="n">
        <f aca="false">IF(COUNT(E12,I12,M12)=0,"",ROUND(AVERAGE(E12,I12,M12),2))</f>
        <v>14.67</v>
      </c>
    </row>
    <row r="13" customFormat="false" ht="15" hidden="false" customHeight="false" outlineLevel="0" collapsed="false">
      <c r="A13" s="22"/>
      <c r="B13" s="27" t="str">
        <f aca="false">IF(A13="","",IFERROR(INDEX(작품목록!$B$4:$B$103,MATCH(A13,작품목록!$A$4:$A$103,0)),"번호 확인"))</f>
        <v/>
      </c>
      <c r="C13" s="28" t="str">
        <f aca="false">IF(A13="","",IFERROR(INDEX(작품목록!$G$4:$G$103,MATCH(A13,작품목록!$A$4:$A$103,0)),"작품목록에 없음"))</f>
        <v/>
      </c>
      <c r="D13" s="21"/>
      <c r="E13" s="21"/>
      <c r="F13" s="21"/>
      <c r="G13" s="27" t="str">
        <f aca="false">IF(COUNT(D13:F13)=0,"",SUM(D13:F13))</f>
        <v/>
      </c>
      <c r="H13" s="21"/>
      <c r="I13" s="21"/>
      <c r="J13" s="21"/>
      <c r="K13" s="27" t="str">
        <f aca="false">IF(COUNT(H13:J13)=0,"",SUM(H13:J13))</f>
        <v/>
      </c>
      <c r="L13" s="21"/>
      <c r="M13" s="21"/>
      <c r="N13" s="21"/>
      <c r="O13" s="27" t="str">
        <f aca="false">IF(COUNT(L13:N13)=0,"",SUM(L13:N13))</f>
        <v/>
      </c>
      <c r="P13" s="29" t="str">
        <f aca="false">IF(COUNT(G13,K13,O13)=0,"",ROUND(AVERAGE(G13,K13,O13),2))</f>
        <v/>
      </c>
      <c r="Q13" s="30" t="str">
        <f aca="false">IF(COUNT(E13,I13,M13)=0,"",ROUND(AVERAGE(E13,I13,M13),2))</f>
        <v/>
      </c>
    </row>
    <row r="14" customFormat="false" ht="15" hidden="false" customHeight="false" outlineLevel="0" collapsed="false">
      <c r="A14" s="22"/>
      <c r="B14" s="27" t="str">
        <f aca="false">IF(A14="","",IFERROR(INDEX(작품목록!$B$4:$B$103,MATCH(A14,작품목록!$A$4:$A$103,0)),"번호 확인"))</f>
        <v/>
      </c>
      <c r="C14" s="28" t="str">
        <f aca="false">IF(A14="","",IFERROR(INDEX(작품목록!$G$4:$G$103,MATCH(A14,작품목록!$A$4:$A$103,0)),"작품목록에 없음"))</f>
        <v/>
      </c>
      <c r="D14" s="21"/>
      <c r="E14" s="21"/>
      <c r="F14" s="21"/>
      <c r="G14" s="27" t="str">
        <f aca="false">IF(COUNT(D14:F14)=0,"",SUM(D14:F14))</f>
        <v/>
      </c>
      <c r="H14" s="21"/>
      <c r="I14" s="21"/>
      <c r="J14" s="21"/>
      <c r="K14" s="27" t="str">
        <f aca="false">IF(COUNT(H14:J14)=0,"",SUM(H14:J14))</f>
        <v/>
      </c>
      <c r="L14" s="21"/>
      <c r="M14" s="21"/>
      <c r="N14" s="21"/>
      <c r="O14" s="27" t="str">
        <f aca="false">IF(COUNT(L14:N14)=0,"",SUM(L14:N14))</f>
        <v/>
      </c>
      <c r="P14" s="29" t="str">
        <f aca="false">IF(COUNT(G14,K14,O14)=0,"",ROUND(AVERAGE(G14,K14,O14),2))</f>
        <v/>
      </c>
      <c r="Q14" s="30" t="str">
        <f aca="false">IF(COUNT(E14,I14,M14)=0,"",ROUND(AVERAGE(E14,I14,M14),2))</f>
        <v/>
      </c>
    </row>
    <row r="15" customFormat="false" ht="15" hidden="false" customHeight="false" outlineLevel="0" collapsed="false">
      <c r="A15" s="22"/>
      <c r="B15" s="27" t="str">
        <f aca="false">IF(A15="","",IFERROR(INDEX(작품목록!$B$4:$B$103,MATCH(A15,작품목록!$A$4:$A$103,0)),"번호 확인"))</f>
        <v/>
      </c>
      <c r="C15" s="28" t="str">
        <f aca="false">IF(A15="","",IFERROR(INDEX(작품목록!$G$4:$G$103,MATCH(A15,작품목록!$A$4:$A$103,0)),"작품목록에 없음"))</f>
        <v/>
      </c>
      <c r="D15" s="21"/>
      <c r="E15" s="21"/>
      <c r="F15" s="21"/>
      <c r="G15" s="27" t="str">
        <f aca="false">IF(COUNT(D15:F15)=0,"",SUM(D15:F15))</f>
        <v/>
      </c>
      <c r="H15" s="21"/>
      <c r="I15" s="21"/>
      <c r="J15" s="21"/>
      <c r="K15" s="27" t="str">
        <f aca="false">IF(COUNT(H15:J15)=0,"",SUM(H15:J15))</f>
        <v/>
      </c>
      <c r="L15" s="21"/>
      <c r="M15" s="21"/>
      <c r="N15" s="21"/>
      <c r="O15" s="27" t="str">
        <f aca="false">IF(COUNT(L15:N15)=0,"",SUM(L15:N15))</f>
        <v/>
      </c>
      <c r="P15" s="29" t="str">
        <f aca="false">IF(COUNT(G15,K15,O15)=0,"",ROUND(AVERAGE(G15,K15,O15),2))</f>
        <v/>
      </c>
      <c r="Q15" s="30" t="str">
        <f aca="false">IF(COUNT(E15,I15,M15)=0,"",ROUND(AVERAGE(E15,I15,M15),2))</f>
        <v/>
      </c>
    </row>
    <row r="16" customFormat="false" ht="15" hidden="false" customHeight="false" outlineLevel="0" collapsed="false">
      <c r="A16" s="22"/>
      <c r="B16" s="27" t="str">
        <f aca="false">IF(A16="","",IFERROR(INDEX(작품목록!$B$4:$B$103,MATCH(A16,작품목록!$A$4:$A$103,0)),"번호 확인"))</f>
        <v/>
      </c>
      <c r="C16" s="28" t="str">
        <f aca="false">IF(A16="","",IFERROR(INDEX(작품목록!$G$4:$G$103,MATCH(A16,작품목록!$A$4:$A$103,0)),"작품목록에 없음"))</f>
        <v/>
      </c>
      <c r="D16" s="21"/>
      <c r="E16" s="21"/>
      <c r="F16" s="21"/>
      <c r="G16" s="27" t="str">
        <f aca="false">IF(COUNT(D16:F16)=0,"",SUM(D16:F16))</f>
        <v/>
      </c>
      <c r="H16" s="21"/>
      <c r="I16" s="21"/>
      <c r="J16" s="21"/>
      <c r="K16" s="27" t="str">
        <f aca="false">IF(COUNT(H16:J16)=0,"",SUM(H16:J16))</f>
        <v/>
      </c>
      <c r="L16" s="21"/>
      <c r="M16" s="21"/>
      <c r="N16" s="21"/>
      <c r="O16" s="27" t="str">
        <f aca="false">IF(COUNT(L16:N16)=0,"",SUM(L16:N16))</f>
        <v/>
      </c>
      <c r="P16" s="29" t="str">
        <f aca="false">IF(COUNT(G16,K16,O16)=0,"",ROUND(AVERAGE(G16,K16,O16),2))</f>
        <v/>
      </c>
      <c r="Q16" s="30" t="str">
        <f aca="false">IF(COUNT(E16,I16,M16)=0,"",ROUND(AVERAGE(E16,I16,M16),2))</f>
        <v/>
      </c>
    </row>
    <row r="17" customFormat="false" ht="15" hidden="false" customHeight="false" outlineLevel="0" collapsed="false">
      <c r="A17" s="22"/>
      <c r="B17" s="27" t="str">
        <f aca="false">IF(A17="","",IFERROR(INDEX(작품목록!$B$4:$B$103,MATCH(A17,작품목록!$A$4:$A$103,0)),"번호 확인"))</f>
        <v/>
      </c>
      <c r="C17" s="28" t="str">
        <f aca="false">IF(A17="","",IFERROR(INDEX(작품목록!$G$4:$G$103,MATCH(A17,작품목록!$A$4:$A$103,0)),"작품목록에 없음"))</f>
        <v/>
      </c>
      <c r="D17" s="21"/>
      <c r="E17" s="21"/>
      <c r="F17" s="21"/>
      <c r="G17" s="27" t="str">
        <f aca="false">IF(COUNT(D17:F17)=0,"",SUM(D17:F17))</f>
        <v/>
      </c>
      <c r="H17" s="21"/>
      <c r="I17" s="21"/>
      <c r="J17" s="21"/>
      <c r="K17" s="27" t="str">
        <f aca="false">IF(COUNT(H17:J17)=0,"",SUM(H17:J17))</f>
        <v/>
      </c>
      <c r="L17" s="21"/>
      <c r="M17" s="21"/>
      <c r="N17" s="21"/>
      <c r="O17" s="27" t="str">
        <f aca="false">IF(COUNT(L17:N17)=0,"",SUM(L17:N17))</f>
        <v/>
      </c>
      <c r="P17" s="29" t="str">
        <f aca="false">IF(COUNT(G17,K17,O17)=0,"",ROUND(AVERAGE(G17,K17,O17),2))</f>
        <v/>
      </c>
      <c r="Q17" s="30" t="str">
        <f aca="false">IF(COUNT(E17,I17,M17)=0,"",ROUND(AVERAGE(E17,I17,M17),2))</f>
        <v/>
      </c>
    </row>
    <row r="18" customFormat="false" ht="15" hidden="false" customHeight="false" outlineLevel="0" collapsed="false">
      <c r="A18" s="22"/>
      <c r="B18" s="27" t="str">
        <f aca="false">IF(A18="","",IFERROR(INDEX(작품목록!$B$4:$B$103,MATCH(A18,작품목록!$A$4:$A$103,0)),"번호 확인"))</f>
        <v/>
      </c>
      <c r="C18" s="28" t="str">
        <f aca="false">IF(A18="","",IFERROR(INDEX(작품목록!$G$4:$G$103,MATCH(A18,작품목록!$A$4:$A$103,0)),"작품목록에 없음"))</f>
        <v/>
      </c>
      <c r="D18" s="21"/>
      <c r="E18" s="21"/>
      <c r="F18" s="21"/>
      <c r="G18" s="27" t="str">
        <f aca="false">IF(COUNT(D18:F18)=0,"",SUM(D18:F18))</f>
        <v/>
      </c>
      <c r="H18" s="21"/>
      <c r="I18" s="21"/>
      <c r="J18" s="21"/>
      <c r="K18" s="27" t="str">
        <f aca="false">IF(COUNT(H18:J18)=0,"",SUM(H18:J18))</f>
        <v/>
      </c>
      <c r="L18" s="21"/>
      <c r="M18" s="21"/>
      <c r="N18" s="21"/>
      <c r="O18" s="27" t="str">
        <f aca="false">IF(COUNT(L18:N18)=0,"",SUM(L18:N18))</f>
        <v/>
      </c>
      <c r="P18" s="29" t="str">
        <f aca="false">IF(COUNT(G18,K18,O18)=0,"",ROUND(AVERAGE(G18,K18,O18),2))</f>
        <v/>
      </c>
      <c r="Q18" s="30" t="str">
        <f aca="false">IF(COUNT(E18,I18,M18)=0,"",ROUND(AVERAGE(E18,I18,M18),2))</f>
        <v/>
      </c>
    </row>
    <row r="19" customFormat="false" ht="15" hidden="false" customHeight="false" outlineLevel="0" collapsed="false">
      <c r="A19" s="22"/>
      <c r="B19" s="27" t="str">
        <f aca="false">IF(A19="","",IFERROR(INDEX(작품목록!$B$4:$B$103,MATCH(A19,작품목록!$A$4:$A$103,0)),"번호 확인"))</f>
        <v/>
      </c>
      <c r="C19" s="28" t="str">
        <f aca="false">IF(A19="","",IFERROR(INDEX(작품목록!$G$4:$G$103,MATCH(A19,작품목록!$A$4:$A$103,0)),"작품목록에 없음"))</f>
        <v/>
      </c>
      <c r="D19" s="21"/>
      <c r="E19" s="21"/>
      <c r="F19" s="21"/>
      <c r="G19" s="27" t="str">
        <f aca="false">IF(COUNT(D19:F19)=0,"",SUM(D19:F19))</f>
        <v/>
      </c>
      <c r="H19" s="21"/>
      <c r="I19" s="21"/>
      <c r="J19" s="21"/>
      <c r="K19" s="27" t="str">
        <f aca="false">IF(COUNT(H19:J19)=0,"",SUM(H19:J19))</f>
        <v/>
      </c>
      <c r="L19" s="21"/>
      <c r="M19" s="21"/>
      <c r="N19" s="21"/>
      <c r="O19" s="27" t="str">
        <f aca="false">IF(COUNT(L19:N19)=0,"",SUM(L19:N19))</f>
        <v/>
      </c>
      <c r="P19" s="29" t="str">
        <f aca="false">IF(COUNT(G19,K19,O19)=0,"",ROUND(AVERAGE(G19,K19,O19),2))</f>
        <v/>
      </c>
      <c r="Q19" s="30" t="str">
        <f aca="false">IF(COUNT(E19,I19,M19)=0,"",ROUND(AVERAGE(E19,I19,M19),2))</f>
        <v/>
      </c>
    </row>
    <row r="20" customFormat="false" ht="15" hidden="false" customHeight="false" outlineLevel="0" collapsed="false">
      <c r="A20" s="22"/>
      <c r="B20" s="27" t="str">
        <f aca="false">IF(A20="","",IFERROR(INDEX(작품목록!$B$4:$B$103,MATCH(A20,작품목록!$A$4:$A$103,0)),"번호 확인"))</f>
        <v/>
      </c>
      <c r="C20" s="28" t="str">
        <f aca="false">IF(A20="","",IFERROR(INDEX(작품목록!$G$4:$G$103,MATCH(A20,작품목록!$A$4:$A$103,0)),"작품목록에 없음"))</f>
        <v/>
      </c>
      <c r="D20" s="21"/>
      <c r="E20" s="21"/>
      <c r="F20" s="21"/>
      <c r="G20" s="27" t="str">
        <f aca="false">IF(COUNT(D20:F20)=0,"",SUM(D20:F20))</f>
        <v/>
      </c>
      <c r="H20" s="21"/>
      <c r="I20" s="21"/>
      <c r="J20" s="21"/>
      <c r="K20" s="27" t="str">
        <f aca="false">IF(COUNT(H20:J20)=0,"",SUM(H20:J20))</f>
        <v/>
      </c>
      <c r="L20" s="21"/>
      <c r="M20" s="21"/>
      <c r="N20" s="21"/>
      <c r="O20" s="27" t="str">
        <f aca="false">IF(COUNT(L20:N20)=0,"",SUM(L20:N20))</f>
        <v/>
      </c>
      <c r="P20" s="29" t="str">
        <f aca="false">IF(COUNT(G20,K20,O20)=0,"",ROUND(AVERAGE(G20,K20,O20),2))</f>
        <v/>
      </c>
      <c r="Q20" s="30" t="str">
        <f aca="false">IF(COUNT(E20,I20,M20)=0,"",ROUND(AVERAGE(E20,I20,M20),2))</f>
        <v/>
      </c>
    </row>
    <row r="21" customFormat="false" ht="15" hidden="false" customHeight="false" outlineLevel="0" collapsed="false">
      <c r="A21" s="22"/>
      <c r="B21" s="27" t="str">
        <f aca="false">IF(A21="","",IFERROR(INDEX(작품목록!$B$4:$B$103,MATCH(A21,작품목록!$A$4:$A$103,0)),"번호 확인"))</f>
        <v/>
      </c>
      <c r="C21" s="28" t="str">
        <f aca="false">IF(A21="","",IFERROR(INDEX(작품목록!$G$4:$G$103,MATCH(A21,작품목록!$A$4:$A$103,0)),"작품목록에 없음"))</f>
        <v/>
      </c>
      <c r="D21" s="21"/>
      <c r="E21" s="21"/>
      <c r="F21" s="21"/>
      <c r="G21" s="27" t="str">
        <f aca="false">IF(COUNT(D21:F21)=0,"",SUM(D21:F21))</f>
        <v/>
      </c>
      <c r="H21" s="21"/>
      <c r="I21" s="21"/>
      <c r="J21" s="21"/>
      <c r="K21" s="27" t="str">
        <f aca="false">IF(COUNT(H21:J21)=0,"",SUM(H21:J21))</f>
        <v/>
      </c>
      <c r="L21" s="21"/>
      <c r="M21" s="21"/>
      <c r="N21" s="21"/>
      <c r="O21" s="27" t="str">
        <f aca="false">IF(COUNT(L21:N21)=0,"",SUM(L21:N21))</f>
        <v/>
      </c>
      <c r="P21" s="29" t="str">
        <f aca="false">IF(COUNT(G21,K21,O21)=0,"",ROUND(AVERAGE(G21,K21,O21),2))</f>
        <v/>
      </c>
      <c r="Q21" s="30" t="str">
        <f aca="false">IF(COUNT(E21,I21,M21)=0,"",ROUND(AVERAGE(E21,I21,M21),2))</f>
        <v/>
      </c>
    </row>
    <row r="22" customFormat="false" ht="15" hidden="false" customHeight="false" outlineLevel="0" collapsed="false">
      <c r="A22" s="22"/>
      <c r="B22" s="27" t="str">
        <f aca="false">IF(A22="","",IFERROR(INDEX(작품목록!$B$4:$B$103,MATCH(A22,작품목록!$A$4:$A$103,0)),"번호 확인"))</f>
        <v/>
      </c>
      <c r="C22" s="28" t="str">
        <f aca="false">IF(A22="","",IFERROR(INDEX(작품목록!$G$4:$G$103,MATCH(A22,작품목록!$A$4:$A$103,0)),"작품목록에 없음"))</f>
        <v/>
      </c>
      <c r="D22" s="21"/>
      <c r="E22" s="21"/>
      <c r="F22" s="21"/>
      <c r="G22" s="27" t="str">
        <f aca="false">IF(COUNT(D22:F22)=0,"",SUM(D22:F22))</f>
        <v/>
      </c>
      <c r="H22" s="21"/>
      <c r="I22" s="21"/>
      <c r="J22" s="21"/>
      <c r="K22" s="27" t="str">
        <f aca="false">IF(COUNT(H22:J22)=0,"",SUM(H22:J22))</f>
        <v/>
      </c>
      <c r="L22" s="21"/>
      <c r="M22" s="21"/>
      <c r="N22" s="21"/>
      <c r="O22" s="27" t="str">
        <f aca="false">IF(COUNT(L22:N22)=0,"",SUM(L22:N22))</f>
        <v/>
      </c>
      <c r="P22" s="29" t="str">
        <f aca="false">IF(COUNT(G22,K22,O22)=0,"",ROUND(AVERAGE(G22,K22,O22),2))</f>
        <v/>
      </c>
      <c r="Q22" s="30" t="str">
        <f aca="false">IF(COUNT(E22,I22,M22)=0,"",ROUND(AVERAGE(E22,I22,M22),2))</f>
        <v/>
      </c>
    </row>
    <row r="23" customFormat="false" ht="15" hidden="false" customHeight="false" outlineLevel="0" collapsed="false">
      <c r="A23" s="22"/>
      <c r="B23" s="27" t="str">
        <f aca="false">IF(A23="","",IFERROR(INDEX(작품목록!$B$4:$B$103,MATCH(A23,작품목록!$A$4:$A$103,0)),"번호 확인"))</f>
        <v/>
      </c>
      <c r="C23" s="28" t="str">
        <f aca="false">IF(A23="","",IFERROR(INDEX(작품목록!$G$4:$G$103,MATCH(A23,작품목록!$A$4:$A$103,0)),"작품목록에 없음"))</f>
        <v/>
      </c>
      <c r="D23" s="21"/>
      <c r="E23" s="21"/>
      <c r="F23" s="21"/>
      <c r="G23" s="27" t="str">
        <f aca="false">IF(COUNT(D23:F23)=0,"",SUM(D23:F23))</f>
        <v/>
      </c>
      <c r="H23" s="21"/>
      <c r="I23" s="21"/>
      <c r="J23" s="21"/>
      <c r="K23" s="27" t="str">
        <f aca="false">IF(COUNT(H23:J23)=0,"",SUM(H23:J23))</f>
        <v/>
      </c>
      <c r="L23" s="21"/>
      <c r="M23" s="21"/>
      <c r="N23" s="21"/>
      <c r="O23" s="27" t="str">
        <f aca="false">IF(COUNT(L23:N23)=0,"",SUM(L23:N23))</f>
        <v/>
      </c>
      <c r="P23" s="29" t="str">
        <f aca="false">IF(COUNT(G23,K23,O23)=0,"",ROUND(AVERAGE(G23,K23,O23),2))</f>
        <v/>
      </c>
      <c r="Q23" s="30" t="str">
        <f aca="false">IF(COUNT(E23,I23,M23)=0,"",ROUND(AVERAGE(E23,I23,M23),2))</f>
        <v/>
      </c>
    </row>
    <row r="24" customFormat="false" ht="15" hidden="false" customHeight="false" outlineLevel="0" collapsed="false">
      <c r="A24" s="22"/>
      <c r="B24" s="27" t="str">
        <f aca="false">IF(A24="","",IFERROR(INDEX(작품목록!$B$4:$B$103,MATCH(A24,작품목록!$A$4:$A$103,0)),"번호 확인"))</f>
        <v/>
      </c>
      <c r="C24" s="28" t="str">
        <f aca="false">IF(A24="","",IFERROR(INDEX(작품목록!$G$4:$G$103,MATCH(A24,작품목록!$A$4:$A$103,0)),"작품목록에 없음"))</f>
        <v/>
      </c>
      <c r="D24" s="21"/>
      <c r="E24" s="21"/>
      <c r="F24" s="21"/>
      <c r="G24" s="27" t="str">
        <f aca="false">IF(COUNT(D24:F24)=0,"",SUM(D24:F24))</f>
        <v/>
      </c>
      <c r="H24" s="21"/>
      <c r="I24" s="21"/>
      <c r="J24" s="21"/>
      <c r="K24" s="27" t="str">
        <f aca="false">IF(COUNT(H24:J24)=0,"",SUM(H24:J24))</f>
        <v/>
      </c>
      <c r="L24" s="21"/>
      <c r="M24" s="21"/>
      <c r="N24" s="21"/>
      <c r="O24" s="27" t="str">
        <f aca="false">IF(COUNT(L24:N24)=0,"",SUM(L24:N24))</f>
        <v/>
      </c>
      <c r="P24" s="29" t="str">
        <f aca="false">IF(COUNT(G24,K24,O24)=0,"",ROUND(AVERAGE(G24,K24,O24),2))</f>
        <v/>
      </c>
      <c r="Q24" s="30" t="str">
        <f aca="false">IF(COUNT(E24,I24,M24)=0,"",ROUND(AVERAGE(E24,I24,M24),2))</f>
        <v/>
      </c>
    </row>
    <row r="25" customFormat="false" ht="15" hidden="false" customHeight="false" outlineLevel="0" collapsed="false">
      <c r="A25" s="22"/>
      <c r="B25" s="27" t="str">
        <f aca="false">IF(A25="","",IFERROR(INDEX(작품목록!$B$4:$B$103,MATCH(A25,작품목록!$A$4:$A$103,0)),"번호 확인"))</f>
        <v/>
      </c>
      <c r="C25" s="28" t="str">
        <f aca="false">IF(A25="","",IFERROR(INDEX(작품목록!$G$4:$G$103,MATCH(A25,작품목록!$A$4:$A$103,0)),"작품목록에 없음"))</f>
        <v/>
      </c>
      <c r="D25" s="21"/>
      <c r="E25" s="21"/>
      <c r="F25" s="21"/>
      <c r="G25" s="27" t="str">
        <f aca="false">IF(COUNT(D25:F25)=0,"",SUM(D25:F25))</f>
        <v/>
      </c>
      <c r="H25" s="21"/>
      <c r="I25" s="21"/>
      <c r="J25" s="21"/>
      <c r="K25" s="27" t="str">
        <f aca="false">IF(COUNT(H25:J25)=0,"",SUM(H25:J25))</f>
        <v/>
      </c>
      <c r="L25" s="21"/>
      <c r="M25" s="21"/>
      <c r="N25" s="21"/>
      <c r="O25" s="27" t="str">
        <f aca="false">IF(COUNT(L25:N25)=0,"",SUM(L25:N25))</f>
        <v/>
      </c>
      <c r="P25" s="29" t="str">
        <f aca="false">IF(COUNT(G25,K25,O25)=0,"",ROUND(AVERAGE(G25,K25,O25),2))</f>
        <v/>
      </c>
      <c r="Q25" s="30" t="str">
        <f aca="false">IF(COUNT(E25,I25,M25)=0,"",ROUND(AVERAGE(E25,I25,M25),2))</f>
        <v/>
      </c>
    </row>
    <row r="26" customFormat="false" ht="15" hidden="false" customHeight="false" outlineLevel="0" collapsed="false">
      <c r="A26" s="22"/>
      <c r="B26" s="27" t="str">
        <f aca="false">IF(A26="","",IFERROR(INDEX(작품목록!$B$4:$B$103,MATCH(A26,작품목록!$A$4:$A$103,0)),"번호 확인"))</f>
        <v/>
      </c>
      <c r="C26" s="28" t="str">
        <f aca="false">IF(A26="","",IFERROR(INDEX(작품목록!$G$4:$G$103,MATCH(A26,작품목록!$A$4:$A$103,0)),"작품목록에 없음"))</f>
        <v/>
      </c>
      <c r="D26" s="21"/>
      <c r="E26" s="21"/>
      <c r="F26" s="21"/>
      <c r="G26" s="27" t="str">
        <f aca="false">IF(COUNT(D26:F26)=0,"",SUM(D26:F26))</f>
        <v/>
      </c>
      <c r="H26" s="21"/>
      <c r="I26" s="21"/>
      <c r="J26" s="21"/>
      <c r="K26" s="27" t="str">
        <f aca="false">IF(COUNT(H26:J26)=0,"",SUM(H26:J26))</f>
        <v/>
      </c>
      <c r="L26" s="21"/>
      <c r="M26" s="21"/>
      <c r="N26" s="21"/>
      <c r="O26" s="27" t="str">
        <f aca="false">IF(COUNT(L26:N26)=0,"",SUM(L26:N26))</f>
        <v/>
      </c>
      <c r="P26" s="29" t="str">
        <f aca="false">IF(COUNT(G26,K26,O26)=0,"",ROUND(AVERAGE(G26,K26,O26),2))</f>
        <v/>
      </c>
      <c r="Q26" s="30" t="str">
        <f aca="false">IF(COUNT(E26,I26,M26)=0,"",ROUND(AVERAGE(E26,I26,M26),2))</f>
        <v/>
      </c>
    </row>
    <row r="27" customFormat="false" ht="15" hidden="false" customHeight="false" outlineLevel="0" collapsed="false">
      <c r="A27" s="22"/>
      <c r="B27" s="27" t="str">
        <f aca="false">IF(A27="","",IFERROR(INDEX(작품목록!$B$4:$B$103,MATCH(A27,작품목록!$A$4:$A$103,0)),"번호 확인"))</f>
        <v/>
      </c>
      <c r="C27" s="28" t="str">
        <f aca="false">IF(A27="","",IFERROR(INDEX(작품목록!$G$4:$G$103,MATCH(A27,작품목록!$A$4:$A$103,0)),"작품목록에 없음"))</f>
        <v/>
      </c>
      <c r="D27" s="21"/>
      <c r="E27" s="21"/>
      <c r="F27" s="21"/>
      <c r="G27" s="27" t="str">
        <f aca="false">IF(COUNT(D27:F27)=0,"",SUM(D27:F27))</f>
        <v/>
      </c>
      <c r="H27" s="21"/>
      <c r="I27" s="21"/>
      <c r="J27" s="21"/>
      <c r="K27" s="27" t="str">
        <f aca="false">IF(COUNT(H27:J27)=0,"",SUM(H27:J27))</f>
        <v/>
      </c>
      <c r="L27" s="21"/>
      <c r="M27" s="21"/>
      <c r="N27" s="21"/>
      <c r="O27" s="27" t="str">
        <f aca="false">IF(COUNT(L27:N27)=0,"",SUM(L27:N27))</f>
        <v/>
      </c>
      <c r="P27" s="29" t="str">
        <f aca="false">IF(COUNT(G27,K27,O27)=0,"",ROUND(AVERAGE(G27,K27,O27),2))</f>
        <v/>
      </c>
      <c r="Q27" s="30" t="str">
        <f aca="false">IF(COUNT(E27,I27,M27)=0,"",ROUND(AVERAGE(E27,I27,M27),2))</f>
        <v/>
      </c>
    </row>
    <row r="28" customFormat="false" ht="15" hidden="false" customHeight="false" outlineLevel="0" collapsed="false">
      <c r="A28" s="22"/>
      <c r="B28" s="27" t="str">
        <f aca="false">IF(A28="","",IFERROR(INDEX(작품목록!$B$4:$B$103,MATCH(A28,작품목록!$A$4:$A$103,0)),"번호 확인"))</f>
        <v/>
      </c>
      <c r="C28" s="28" t="str">
        <f aca="false">IF(A28="","",IFERROR(INDEX(작품목록!$G$4:$G$103,MATCH(A28,작품목록!$A$4:$A$103,0)),"작품목록에 없음"))</f>
        <v/>
      </c>
      <c r="D28" s="21"/>
      <c r="E28" s="21"/>
      <c r="F28" s="21"/>
      <c r="G28" s="27" t="str">
        <f aca="false">IF(COUNT(D28:F28)=0,"",SUM(D28:F28))</f>
        <v/>
      </c>
      <c r="H28" s="21"/>
      <c r="I28" s="21"/>
      <c r="J28" s="21"/>
      <c r="K28" s="27" t="str">
        <f aca="false">IF(COUNT(H28:J28)=0,"",SUM(H28:J28))</f>
        <v/>
      </c>
      <c r="L28" s="21"/>
      <c r="M28" s="21"/>
      <c r="N28" s="21"/>
      <c r="O28" s="27" t="str">
        <f aca="false">IF(COUNT(L28:N28)=0,"",SUM(L28:N28))</f>
        <v/>
      </c>
      <c r="P28" s="29" t="str">
        <f aca="false">IF(COUNT(G28,K28,O28)=0,"",ROUND(AVERAGE(G28,K28,O28),2))</f>
        <v/>
      </c>
      <c r="Q28" s="30" t="str">
        <f aca="false">IF(COUNT(E28,I28,M28)=0,"",ROUND(AVERAGE(E28,I28,M28),2))</f>
        <v/>
      </c>
    </row>
    <row r="29" customFormat="false" ht="15" hidden="false" customHeight="false" outlineLevel="0" collapsed="false">
      <c r="A29" s="22"/>
      <c r="B29" s="27" t="str">
        <f aca="false">IF(A29="","",IFERROR(INDEX(작품목록!$B$4:$B$103,MATCH(A29,작품목록!$A$4:$A$103,0)),"번호 확인"))</f>
        <v/>
      </c>
      <c r="C29" s="28" t="str">
        <f aca="false">IF(A29="","",IFERROR(INDEX(작품목록!$G$4:$G$103,MATCH(A29,작품목록!$A$4:$A$103,0)),"작품목록에 없음"))</f>
        <v/>
      </c>
      <c r="D29" s="21"/>
      <c r="E29" s="21"/>
      <c r="F29" s="21"/>
      <c r="G29" s="27" t="str">
        <f aca="false">IF(COUNT(D29:F29)=0,"",SUM(D29:F29))</f>
        <v/>
      </c>
      <c r="H29" s="21"/>
      <c r="I29" s="21"/>
      <c r="J29" s="21"/>
      <c r="K29" s="27" t="str">
        <f aca="false">IF(COUNT(H29:J29)=0,"",SUM(H29:J29))</f>
        <v/>
      </c>
      <c r="L29" s="21"/>
      <c r="M29" s="21"/>
      <c r="N29" s="21"/>
      <c r="O29" s="27" t="str">
        <f aca="false">IF(COUNT(L29:N29)=0,"",SUM(L29:N29))</f>
        <v/>
      </c>
      <c r="P29" s="29" t="str">
        <f aca="false">IF(COUNT(G29,K29,O29)=0,"",ROUND(AVERAGE(G29,K29,O29),2))</f>
        <v/>
      </c>
      <c r="Q29" s="30" t="str">
        <f aca="false">IF(COUNT(E29,I29,M29)=0,"",ROUND(AVERAGE(E29,I29,M29),2))</f>
        <v/>
      </c>
    </row>
    <row r="30" customFormat="false" ht="15" hidden="false" customHeight="false" outlineLevel="0" collapsed="false">
      <c r="A30" s="22"/>
      <c r="B30" s="27" t="str">
        <f aca="false">IF(A30="","",IFERROR(INDEX(작품목록!$B$4:$B$103,MATCH(A30,작품목록!$A$4:$A$103,0)),"번호 확인"))</f>
        <v/>
      </c>
      <c r="C30" s="28" t="str">
        <f aca="false">IF(A30="","",IFERROR(INDEX(작품목록!$G$4:$G$103,MATCH(A30,작품목록!$A$4:$A$103,0)),"작품목록에 없음"))</f>
        <v/>
      </c>
      <c r="D30" s="21"/>
      <c r="E30" s="21"/>
      <c r="F30" s="21"/>
      <c r="G30" s="27" t="str">
        <f aca="false">IF(COUNT(D30:F30)=0,"",SUM(D30:F30))</f>
        <v/>
      </c>
      <c r="H30" s="21"/>
      <c r="I30" s="21"/>
      <c r="J30" s="21"/>
      <c r="K30" s="27" t="str">
        <f aca="false">IF(COUNT(H30:J30)=0,"",SUM(H30:J30))</f>
        <v/>
      </c>
      <c r="L30" s="21"/>
      <c r="M30" s="21"/>
      <c r="N30" s="21"/>
      <c r="O30" s="27" t="str">
        <f aca="false">IF(COUNT(L30:N30)=0,"",SUM(L30:N30))</f>
        <v/>
      </c>
      <c r="P30" s="29" t="str">
        <f aca="false">IF(COUNT(G30,K30,O30)=0,"",ROUND(AVERAGE(G30,K30,O30),2))</f>
        <v/>
      </c>
      <c r="Q30" s="30" t="str">
        <f aca="false">IF(COUNT(E30,I30,M30)=0,"",ROUND(AVERAGE(E30,I30,M30),2))</f>
        <v/>
      </c>
    </row>
    <row r="31" customFormat="false" ht="15" hidden="false" customHeight="false" outlineLevel="0" collapsed="false">
      <c r="A31" s="22"/>
      <c r="B31" s="27" t="str">
        <f aca="false">IF(A31="","",IFERROR(INDEX(작품목록!$B$4:$B$103,MATCH(A31,작품목록!$A$4:$A$103,0)),"번호 확인"))</f>
        <v/>
      </c>
      <c r="C31" s="28" t="str">
        <f aca="false">IF(A31="","",IFERROR(INDEX(작품목록!$G$4:$G$103,MATCH(A31,작품목록!$A$4:$A$103,0)),"작품목록에 없음"))</f>
        <v/>
      </c>
      <c r="D31" s="21"/>
      <c r="E31" s="21"/>
      <c r="F31" s="21"/>
      <c r="G31" s="27" t="str">
        <f aca="false">IF(COUNT(D31:F31)=0,"",SUM(D31:F31))</f>
        <v/>
      </c>
      <c r="H31" s="21"/>
      <c r="I31" s="21"/>
      <c r="J31" s="21"/>
      <c r="K31" s="27" t="str">
        <f aca="false">IF(COUNT(H31:J31)=0,"",SUM(H31:J31))</f>
        <v/>
      </c>
      <c r="L31" s="21"/>
      <c r="M31" s="21"/>
      <c r="N31" s="21"/>
      <c r="O31" s="27" t="str">
        <f aca="false">IF(COUNT(L31:N31)=0,"",SUM(L31:N31))</f>
        <v/>
      </c>
      <c r="P31" s="29" t="str">
        <f aca="false">IF(COUNT(G31,K31,O31)=0,"",ROUND(AVERAGE(G31,K31,O31),2))</f>
        <v/>
      </c>
      <c r="Q31" s="30" t="str">
        <f aca="false">IF(COUNT(E31,I31,M31)=0,"",ROUND(AVERAGE(E31,I31,M31),2))</f>
        <v/>
      </c>
    </row>
    <row r="32" customFormat="false" ht="15" hidden="false" customHeight="false" outlineLevel="0" collapsed="false">
      <c r="A32" s="22"/>
      <c r="B32" s="27" t="str">
        <f aca="false">IF(A32="","",IFERROR(INDEX(작품목록!$B$4:$B$103,MATCH(A32,작품목록!$A$4:$A$103,0)),"번호 확인"))</f>
        <v/>
      </c>
      <c r="C32" s="28" t="str">
        <f aca="false">IF(A32="","",IFERROR(INDEX(작품목록!$G$4:$G$103,MATCH(A32,작품목록!$A$4:$A$103,0)),"작품목록에 없음"))</f>
        <v/>
      </c>
      <c r="D32" s="21"/>
      <c r="E32" s="21"/>
      <c r="F32" s="21"/>
      <c r="G32" s="27" t="str">
        <f aca="false">IF(COUNT(D32:F32)=0,"",SUM(D32:F32))</f>
        <v/>
      </c>
      <c r="H32" s="21"/>
      <c r="I32" s="21"/>
      <c r="J32" s="21"/>
      <c r="K32" s="27" t="str">
        <f aca="false">IF(COUNT(H32:J32)=0,"",SUM(H32:J32))</f>
        <v/>
      </c>
      <c r="L32" s="21"/>
      <c r="M32" s="21"/>
      <c r="N32" s="21"/>
      <c r="O32" s="27" t="str">
        <f aca="false">IF(COUNT(L32:N32)=0,"",SUM(L32:N32))</f>
        <v/>
      </c>
      <c r="P32" s="29" t="str">
        <f aca="false">IF(COUNT(G32,K32,O32)=0,"",ROUND(AVERAGE(G32,K32,O32),2))</f>
        <v/>
      </c>
      <c r="Q32" s="30" t="str">
        <f aca="false">IF(COUNT(E32,I32,M32)=0,"",ROUND(AVERAGE(E32,I32,M32),2))</f>
        <v/>
      </c>
    </row>
    <row r="33" customFormat="false" ht="15" hidden="false" customHeight="false" outlineLevel="0" collapsed="false">
      <c r="A33" s="22"/>
      <c r="B33" s="27" t="str">
        <f aca="false">IF(A33="","",IFERROR(INDEX(작품목록!$B$4:$B$103,MATCH(A33,작품목록!$A$4:$A$103,0)),"번호 확인"))</f>
        <v/>
      </c>
      <c r="C33" s="28" t="str">
        <f aca="false">IF(A33="","",IFERROR(INDEX(작품목록!$G$4:$G$103,MATCH(A33,작품목록!$A$4:$A$103,0)),"작품목록에 없음"))</f>
        <v/>
      </c>
      <c r="D33" s="21"/>
      <c r="E33" s="21"/>
      <c r="F33" s="21"/>
      <c r="G33" s="27" t="str">
        <f aca="false">IF(COUNT(D33:F33)=0,"",SUM(D33:F33))</f>
        <v/>
      </c>
      <c r="H33" s="21"/>
      <c r="I33" s="21"/>
      <c r="J33" s="21"/>
      <c r="K33" s="27" t="str">
        <f aca="false">IF(COUNT(H33:J33)=0,"",SUM(H33:J33))</f>
        <v/>
      </c>
      <c r="L33" s="21"/>
      <c r="M33" s="21"/>
      <c r="N33" s="21"/>
      <c r="O33" s="27" t="str">
        <f aca="false">IF(COUNT(L33:N33)=0,"",SUM(L33:N33))</f>
        <v/>
      </c>
      <c r="P33" s="29" t="str">
        <f aca="false">IF(COUNT(G33,K33,O33)=0,"",ROUND(AVERAGE(G33,K33,O33),2))</f>
        <v/>
      </c>
      <c r="Q33" s="30" t="str">
        <f aca="false">IF(COUNT(E33,I33,M33)=0,"",ROUND(AVERAGE(E33,I33,M33),2))</f>
        <v/>
      </c>
    </row>
    <row r="34" customFormat="false" ht="15" hidden="false" customHeight="false" outlineLevel="0" collapsed="false">
      <c r="A34" s="22"/>
      <c r="B34" s="27" t="str">
        <f aca="false">IF(A34="","",IFERROR(INDEX(작품목록!$B$4:$B$103,MATCH(A34,작품목록!$A$4:$A$103,0)),"번호 확인"))</f>
        <v/>
      </c>
      <c r="C34" s="28" t="str">
        <f aca="false">IF(A34="","",IFERROR(INDEX(작품목록!$G$4:$G$103,MATCH(A34,작품목록!$A$4:$A$103,0)),"작품목록에 없음"))</f>
        <v/>
      </c>
      <c r="D34" s="21"/>
      <c r="E34" s="21"/>
      <c r="F34" s="21"/>
      <c r="G34" s="27" t="str">
        <f aca="false">IF(COUNT(D34:F34)=0,"",SUM(D34:F34))</f>
        <v/>
      </c>
      <c r="H34" s="21"/>
      <c r="I34" s="21"/>
      <c r="J34" s="21"/>
      <c r="K34" s="27" t="str">
        <f aca="false">IF(COUNT(H34:J34)=0,"",SUM(H34:J34))</f>
        <v/>
      </c>
      <c r="L34" s="21"/>
      <c r="M34" s="21"/>
      <c r="N34" s="21"/>
      <c r="O34" s="27" t="str">
        <f aca="false">IF(COUNT(L34:N34)=0,"",SUM(L34:N34))</f>
        <v/>
      </c>
      <c r="P34" s="29" t="str">
        <f aca="false">IF(COUNT(G34,K34,O34)=0,"",ROUND(AVERAGE(G34,K34,O34),2))</f>
        <v/>
      </c>
      <c r="Q34" s="30" t="str">
        <f aca="false">IF(COUNT(E34,I34,M34)=0,"",ROUND(AVERAGE(E34,I34,M34),2))</f>
        <v/>
      </c>
    </row>
    <row r="35" customFormat="false" ht="15" hidden="false" customHeight="false" outlineLevel="0" collapsed="false">
      <c r="A35" s="22"/>
      <c r="B35" s="27" t="str">
        <f aca="false">IF(A35="","",IFERROR(INDEX(작품목록!$B$4:$B$103,MATCH(A35,작품목록!$A$4:$A$103,0)),"번호 확인"))</f>
        <v/>
      </c>
      <c r="C35" s="28" t="str">
        <f aca="false">IF(A35="","",IFERROR(INDEX(작품목록!$G$4:$G$103,MATCH(A35,작품목록!$A$4:$A$103,0)),"작품목록에 없음"))</f>
        <v/>
      </c>
      <c r="D35" s="21"/>
      <c r="E35" s="21"/>
      <c r="F35" s="21"/>
      <c r="G35" s="27" t="str">
        <f aca="false">IF(COUNT(D35:F35)=0,"",SUM(D35:F35))</f>
        <v/>
      </c>
      <c r="H35" s="21"/>
      <c r="I35" s="21"/>
      <c r="J35" s="21"/>
      <c r="K35" s="27" t="str">
        <f aca="false">IF(COUNT(H35:J35)=0,"",SUM(H35:J35))</f>
        <v/>
      </c>
      <c r="L35" s="21"/>
      <c r="M35" s="21"/>
      <c r="N35" s="21"/>
      <c r="O35" s="27" t="str">
        <f aca="false">IF(COUNT(L35:N35)=0,"",SUM(L35:N35))</f>
        <v/>
      </c>
      <c r="P35" s="29" t="str">
        <f aca="false">IF(COUNT(G35,K35,O35)=0,"",ROUND(AVERAGE(G35,K35,O35),2))</f>
        <v/>
      </c>
      <c r="Q35" s="30" t="str">
        <f aca="false">IF(COUNT(E35,I35,M35)=0,"",ROUND(AVERAGE(E35,I35,M35),2))</f>
        <v/>
      </c>
    </row>
    <row r="36" customFormat="false" ht="15" hidden="false" customHeight="false" outlineLevel="0" collapsed="false">
      <c r="A36" s="22"/>
      <c r="B36" s="27" t="str">
        <f aca="false">IF(A36="","",IFERROR(INDEX(작품목록!$B$4:$B$103,MATCH(A36,작품목록!$A$4:$A$103,0)),"번호 확인"))</f>
        <v/>
      </c>
      <c r="C36" s="28" t="str">
        <f aca="false">IF(A36="","",IFERROR(INDEX(작품목록!$G$4:$G$103,MATCH(A36,작품목록!$A$4:$A$103,0)),"작품목록에 없음"))</f>
        <v/>
      </c>
      <c r="D36" s="21"/>
      <c r="E36" s="21"/>
      <c r="F36" s="21"/>
      <c r="G36" s="27" t="str">
        <f aca="false">IF(COUNT(D36:F36)=0,"",SUM(D36:F36))</f>
        <v/>
      </c>
      <c r="H36" s="21"/>
      <c r="I36" s="21"/>
      <c r="J36" s="21"/>
      <c r="K36" s="27" t="str">
        <f aca="false">IF(COUNT(H36:J36)=0,"",SUM(H36:J36))</f>
        <v/>
      </c>
      <c r="L36" s="21"/>
      <c r="M36" s="21"/>
      <c r="N36" s="21"/>
      <c r="O36" s="27" t="str">
        <f aca="false">IF(COUNT(L36:N36)=0,"",SUM(L36:N36))</f>
        <v/>
      </c>
      <c r="P36" s="29" t="str">
        <f aca="false">IF(COUNT(G36,K36,O36)=0,"",ROUND(AVERAGE(G36,K36,O36),2))</f>
        <v/>
      </c>
      <c r="Q36" s="30" t="str">
        <f aca="false">IF(COUNT(E36,I36,M36)=0,"",ROUND(AVERAGE(E36,I36,M36),2))</f>
        <v/>
      </c>
    </row>
    <row r="37" customFormat="false" ht="15" hidden="false" customHeight="false" outlineLevel="0" collapsed="false">
      <c r="A37" s="22"/>
      <c r="B37" s="27" t="str">
        <f aca="false">IF(A37="","",IFERROR(INDEX(작품목록!$B$4:$B$103,MATCH(A37,작품목록!$A$4:$A$103,0)),"번호 확인"))</f>
        <v/>
      </c>
      <c r="C37" s="28" t="str">
        <f aca="false">IF(A37="","",IFERROR(INDEX(작품목록!$G$4:$G$103,MATCH(A37,작품목록!$A$4:$A$103,0)),"작품목록에 없음"))</f>
        <v/>
      </c>
      <c r="D37" s="21"/>
      <c r="E37" s="21"/>
      <c r="F37" s="21"/>
      <c r="G37" s="27" t="str">
        <f aca="false">IF(COUNT(D37:F37)=0,"",SUM(D37:F37))</f>
        <v/>
      </c>
      <c r="H37" s="21"/>
      <c r="I37" s="21"/>
      <c r="J37" s="21"/>
      <c r="K37" s="27" t="str">
        <f aca="false">IF(COUNT(H37:J37)=0,"",SUM(H37:J37))</f>
        <v/>
      </c>
      <c r="L37" s="21"/>
      <c r="M37" s="21"/>
      <c r="N37" s="21"/>
      <c r="O37" s="27" t="str">
        <f aca="false">IF(COUNT(L37:N37)=0,"",SUM(L37:N37))</f>
        <v/>
      </c>
      <c r="P37" s="29" t="str">
        <f aca="false">IF(COUNT(G37,K37,O37)=0,"",ROUND(AVERAGE(G37,K37,O37),2))</f>
        <v/>
      </c>
      <c r="Q37" s="30" t="str">
        <f aca="false">IF(COUNT(E37,I37,M37)=0,"",ROUND(AVERAGE(E37,I37,M37),2))</f>
        <v/>
      </c>
    </row>
    <row r="38" customFormat="false" ht="15" hidden="false" customHeight="false" outlineLevel="0" collapsed="false">
      <c r="A38" s="22"/>
      <c r="B38" s="27" t="str">
        <f aca="false">IF(A38="","",IFERROR(INDEX(작품목록!$B$4:$B$103,MATCH(A38,작품목록!$A$4:$A$103,0)),"번호 확인"))</f>
        <v/>
      </c>
      <c r="C38" s="28" t="str">
        <f aca="false">IF(A38="","",IFERROR(INDEX(작품목록!$G$4:$G$103,MATCH(A38,작품목록!$A$4:$A$103,0)),"작품목록에 없음"))</f>
        <v/>
      </c>
      <c r="D38" s="21"/>
      <c r="E38" s="21"/>
      <c r="F38" s="21"/>
      <c r="G38" s="27" t="str">
        <f aca="false">IF(COUNT(D38:F38)=0,"",SUM(D38:F38))</f>
        <v/>
      </c>
      <c r="H38" s="21"/>
      <c r="I38" s="21"/>
      <c r="J38" s="21"/>
      <c r="K38" s="27" t="str">
        <f aca="false">IF(COUNT(H38:J38)=0,"",SUM(H38:J38))</f>
        <v/>
      </c>
      <c r="L38" s="21"/>
      <c r="M38" s="21"/>
      <c r="N38" s="21"/>
      <c r="O38" s="27" t="str">
        <f aca="false">IF(COUNT(L38:N38)=0,"",SUM(L38:N38))</f>
        <v/>
      </c>
      <c r="P38" s="29" t="str">
        <f aca="false">IF(COUNT(G38,K38,O38)=0,"",ROUND(AVERAGE(G38,K38,O38),2))</f>
        <v/>
      </c>
      <c r="Q38" s="30" t="str">
        <f aca="false">IF(COUNT(E38,I38,M38)=0,"",ROUND(AVERAGE(E38,I38,M38),2))</f>
        <v/>
      </c>
    </row>
    <row r="39" customFormat="false" ht="15" hidden="false" customHeight="false" outlineLevel="0" collapsed="false">
      <c r="A39" s="22"/>
      <c r="B39" s="27" t="str">
        <f aca="false">IF(A39="","",IFERROR(INDEX(작품목록!$B$4:$B$103,MATCH(A39,작품목록!$A$4:$A$103,0)),"번호 확인"))</f>
        <v/>
      </c>
      <c r="C39" s="28" t="str">
        <f aca="false">IF(A39="","",IFERROR(INDEX(작품목록!$G$4:$G$103,MATCH(A39,작품목록!$A$4:$A$103,0)),"작품목록에 없음"))</f>
        <v/>
      </c>
      <c r="D39" s="21"/>
      <c r="E39" s="21"/>
      <c r="F39" s="21"/>
      <c r="G39" s="27" t="str">
        <f aca="false">IF(COUNT(D39:F39)=0,"",SUM(D39:F39))</f>
        <v/>
      </c>
      <c r="H39" s="21"/>
      <c r="I39" s="21"/>
      <c r="J39" s="21"/>
      <c r="K39" s="27" t="str">
        <f aca="false">IF(COUNT(H39:J39)=0,"",SUM(H39:J39))</f>
        <v/>
      </c>
      <c r="L39" s="21"/>
      <c r="M39" s="21"/>
      <c r="N39" s="21"/>
      <c r="O39" s="27" t="str">
        <f aca="false">IF(COUNT(L39:N39)=0,"",SUM(L39:N39))</f>
        <v/>
      </c>
      <c r="P39" s="29" t="str">
        <f aca="false">IF(COUNT(G39,K39,O39)=0,"",ROUND(AVERAGE(G39,K39,O39),2))</f>
        <v/>
      </c>
      <c r="Q39" s="30" t="str">
        <f aca="false">IF(COUNT(E39,I39,M39)=0,"",ROUND(AVERAGE(E39,I39,M39),2))</f>
        <v/>
      </c>
    </row>
    <row r="40" customFormat="false" ht="15" hidden="false" customHeight="false" outlineLevel="0" collapsed="false">
      <c r="A40" s="22"/>
      <c r="B40" s="27" t="str">
        <f aca="false">IF(A40="","",IFERROR(INDEX(작품목록!$B$4:$B$103,MATCH(A40,작품목록!$A$4:$A$103,0)),"번호 확인"))</f>
        <v/>
      </c>
      <c r="C40" s="28" t="str">
        <f aca="false">IF(A40="","",IFERROR(INDEX(작품목록!$G$4:$G$103,MATCH(A40,작품목록!$A$4:$A$103,0)),"작품목록에 없음"))</f>
        <v/>
      </c>
      <c r="D40" s="21"/>
      <c r="E40" s="21"/>
      <c r="F40" s="21"/>
      <c r="G40" s="27" t="str">
        <f aca="false">IF(COUNT(D40:F40)=0,"",SUM(D40:F40))</f>
        <v/>
      </c>
      <c r="H40" s="21"/>
      <c r="I40" s="21"/>
      <c r="J40" s="21"/>
      <c r="K40" s="27" t="str">
        <f aca="false">IF(COUNT(H40:J40)=0,"",SUM(H40:J40))</f>
        <v/>
      </c>
      <c r="L40" s="21"/>
      <c r="M40" s="21"/>
      <c r="N40" s="21"/>
      <c r="O40" s="27" t="str">
        <f aca="false">IF(COUNT(L40:N40)=0,"",SUM(L40:N40))</f>
        <v/>
      </c>
      <c r="P40" s="29" t="str">
        <f aca="false">IF(COUNT(G40,K40,O40)=0,"",ROUND(AVERAGE(G40,K40,O40),2))</f>
        <v/>
      </c>
      <c r="Q40" s="30" t="str">
        <f aca="false">IF(COUNT(E40,I40,M40)=0,"",ROUND(AVERAGE(E40,I40,M40),2))</f>
        <v/>
      </c>
    </row>
    <row r="41" customFormat="false" ht="15" hidden="false" customHeight="false" outlineLevel="0" collapsed="false">
      <c r="A41" s="22"/>
      <c r="B41" s="27" t="str">
        <f aca="false">IF(A41="","",IFERROR(INDEX(작품목록!$B$4:$B$103,MATCH(A41,작품목록!$A$4:$A$103,0)),"번호 확인"))</f>
        <v/>
      </c>
      <c r="C41" s="28" t="str">
        <f aca="false">IF(A41="","",IFERROR(INDEX(작품목록!$G$4:$G$103,MATCH(A41,작품목록!$A$4:$A$103,0)),"작품목록에 없음"))</f>
        <v/>
      </c>
      <c r="D41" s="21"/>
      <c r="E41" s="21"/>
      <c r="F41" s="21"/>
      <c r="G41" s="27" t="str">
        <f aca="false">IF(COUNT(D41:F41)=0,"",SUM(D41:F41))</f>
        <v/>
      </c>
      <c r="H41" s="21"/>
      <c r="I41" s="21"/>
      <c r="J41" s="21"/>
      <c r="K41" s="27" t="str">
        <f aca="false">IF(COUNT(H41:J41)=0,"",SUM(H41:J41))</f>
        <v/>
      </c>
      <c r="L41" s="21"/>
      <c r="M41" s="21"/>
      <c r="N41" s="21"/>
      <c r="O41" s="27" t="str">
        <f aca="false">IF(COUNT(L41:N41)=0,"",SUM(L41:N41))</f>
        <v/>
      </c>
      <c r="P41" s="29" t="str">
        <f aca="false">IF(COUNT(G41,K41,O41)=0,"",ROUND(AVERAGE(G41,K41,O41),2))</f>
        <v/>
      </c>
      <c r="Q41" s="30" t="str">
        <f aca="false">IF(COUNT(E41,I41,M41)=0,"",ROUND(AVERAGE(E41,I41,M41),2))</f>
        <v/>
      </c>
    </row>
    <row r="42" customFormat="false" ht="15" hidden="false" customHeight="false" outlineLevel="0" collapsed="false">
      <c r="A42" s="22"/>
      <c r="B42" s="27" t="str">
        <f aca="false">IF(A42="","",IFERROR(INDEX(작품목록!$B$4:$B$103,MATCH(A42,작품목록!$A$4:$A$103,0)),"번호 확인"))</f>
        <v/>
      </c>
      <c r="C42" s="28" t="str">
        <f aca="false">IF(A42="","",IFERROR(INDEX(작품목록!$G$4:$G$103,MATCH(A42,작품목록!$A$4:$A$103,0)),"작품목록에 없음"))</f>
        <v/>
      </c>
      <c r="D42" s="21"/>
      <c r="E42" s="21"/>
      <c r="F42" s="21"/>
      <c r="G42" s="27" t="str">
        <f aca="false">IF(COUNT(D42:F42)=0,"",SUM(D42:F42))</f>
        <v/>
      </c>
      <c r="H42" s="21"/>
      <c r="I42" s="21"/>
      <c r="J42" s="21"/>
      <c r="K42" s="27" t="str">
        <f aca="false">IF(COUNT(H42:J42)=0,"",SUM(H42:J42))</f>
        <v/>
      </c>
      <c r="L42" s="21"/>
      <c r="M42" s="21"/>
      <c r="N42" s="21"/>
      <c r="O42" s="27" t="str">
        <f aca="false">IF(COUNT(L42:N42)=0,"",SUM(L42:N42))</f>
        <v/>
      </c>
      <c r="P42" s="29" t="str">
        <f aca="false">IF(COUNT(G42,K42,O42)=0,"",ROUND(AVERAGE(G42,K42,O42),2))</f>
        <v/>
      </c>
      <c r="Q42" s="30" t="str">
        <f aca="false">IF(COUNT(E42,I42,M42)=0,"",ROUND(AVERAGE(E42,I42,M42),2))</f>
        <v/>
      </c>
    </row>
    <row r="43" customFormat="false" ht="15" hidden="false" customHeight="false" outlineLevel="0" collapsed="false">
      <c r="A43" s="22"/>
      <c r="B43" s="27" t="str">
        <f aca="false">IF(A43="","",IFERROR(INDEX(작품목록!$B$4:$B$103,MATCH(A43,작품목록!$A$4:$A$103,0)),"번호 확인"))</f>
        <v/>
      </c>
      <c r="C43" s="28" t="str">
        <f aca="false">IF(A43="","",IFERROR(INDEX(작품목록!$G$4:$G$103,MATCH(A43,작품목록!$A$4:$A$103,0)),"작품목록에 없음"))</f>
        <v/>
      </c>
      <c r="D43" s="21"/>
      <c r="E43" s="21"/>
      <c r="F43" s="21"/>
      <c r="G43" s="27" t="str">
        <f aca="false">IF(COUNT(D43:F43)=0,"",SUM(D43:F43))</f>
        <v/>
      </c>
      <c r="H43" s="21"/>
      <c r="I43" s="21"/>
      <c r="J43" s="21"/>
      <c r="K43" s="27" t="str">
        <f aca="false">IF(COUNT(H43:J43)=0,"",SUM(H43:J43))</f>
        <v/>
      </c>
      <c r="L43" s="21"/>
      <c r="M43" s="21"/>
      <c r="N43" s="21"/>
      <c r="O43" s="27" t="str">
        <f aca="false">IF(COUNT(L43:N43)=0,"",SUM(L43:N43))</f>
        <v/>
      </c>
      <c r="P43" s="29" t="str">
        <f aca="false">IF(COUNT(G43,K43,O43)=0,"",ROUND(AVERAGE(G43,K43,O43),2))</f>
        <v/>
      </c>
      <c r="Q43" s="30" t="str">
        <f aca="false">IF(COUNT(E43,I43,M43)=0,"",ROUND(AVERAGE(E43,I43,M43),2))</f>
        <v/>
      </c>
    </row>
    <row r="44" customFormat="false" ht="15" hidden="false" customHeight="false" outlineLevel="0" collapsed="false">
      <c r="A44" s="22"/>
      <c r="B44" s="27" t="str">
        <f aca="false">IF(A44="","",IFERROR(INDEX(작품목록!$B$4:$B$103,MATCH(A44,작품목록!$A$4:$A$103,0)),"번호 확인"))</f>
        <v/>
      </c>
      <c r="C44" s="28" t="str">
        <f aca="false">IF(A44="","",IFERROR(INDEX(작품목록!$G$4:$G$103,MATCH(A44,작품목록!$A$4:$A$103,0)),"작품목록에 없음"))</f>
        <v/>
      </c>
      <c r="D44" s="21"/>
      <c r="E44" s="21"/>
      <c r="F44" s="21"/>
      <c r="G44" s="27" t="str">
        <f aca="false">IF(COUNT(D44:F44)=0,"",SUM(D44:F44))</f>
        <v/>
      </c>
      <c r="H44" s="21"/>
      <c r="I44" s="21"/>
      <c r="J44" s="21"/>
      <c r="K44" s="27" t="str">
        <f aca="false">IF(COUNT(H44:J44)=0,"",SUM(H44:J44))</f>
        <v/>
      </c>
      <c r="L44" s="21"/>
      <c r="M44" s="21"/>
      <c r="N44" s="21"/>
      <c r="O44" s="27" t="str">
        <f aca="false">IF(COUNT(L44:N44)=0,"",SUM(L44:N44))</f>
        <v/>
      </c>
      <c r="P44" s="29" t="str">
        <f aca="false">IF(COUNT(G44,K44,O44)=0,"",ROUND(AVERAGE(G44,K44,O44),2))</f>
        <v/>
      </c>
      <c r="Q44" s="30" t="str">
        <f aca="false">IF(COUNT(E44,I44,M44)=0,"",ROUND(AVERAGE(E44,I44,M44),2))</f>
        <v/>
      </c>
    </row>
    <row r="45" customFormat="false" ht="15" hidden="false" customHeight="false" outlineLevel="0" collapsed="false">
      <c r="A45" s="22"/>
      <c r="B45" s="27" t="str">
        <f aca="false">IF(A45="","",IFERROR(INDEX(작품목록!$B$4:$B$103,MATCH(A45,작품목록!$A$4:$A$103,0)),"번호 확인"))</f>
        <v/>
      </c>
      <c r="C45" s="28" t="str">
        <f aca="false">IF(A45="","",IFERROR(INDEX(작품목록!$G$4:$G$103,MATCH(A45,작품목록!$A$4:$A$103,0)),"작품목록에 없음"))</f>
        <v/>
      </c>
      <c r="D45" s="21"/>
      <c r="E45" s="21"/>
      <c r="F45" s="21"/>
      <c r="G45" s="27" t="str">
        <f aca="false">IF(COUNT(D45:F45)=0,"",SUM(D45:F45))</f>
        <v/>
      </c>
      <c r="H45" s="21"/>
      <c r="I45" s="21"/>
      <c r="J45" s="21"/>
      <c r="K45" s="27" t="str">
        <f aca="false">IF(COUNT(H45:J45)=0,"",SUM(H45:J45))</f>
        <v/>
      </c>
      <c r="L45" s="21"/>
      <c r="M45" s="21"/>
      <c r="N45" s="21"/>
      <c r="O45" s="27" t="str">
        <f aca="false">IF(COUNT(L45:N45)=0,"",SUM(L45:N45))</f>
        <v/>
      </c>
      <c r="P45" s="29" t="str">
        <f aca="false">IF(COUNT(G45,K45,O45)=0,"",ROUND(AVERAGE(G45,K45,O45),2))</f>
        <v/>
      </c>
      <c r="Q45" s="30" t="str">
        <f aca="false">IF(COUNT(E45,I45,M45)=0,"",ROUND(AVERAGE(E45,I45,M45),2))</f>
        <v/>
      </c>
    </row>
    <row r="46" customFormat="false" ht="15" hidden="false" customHeight="false" outlineLevel="0" collapsed="false">
      <c r="A46" s="22"/>
      <c r="B46" s="27" t="str">
        <f aca="false">IF(A46="","",IFERROR(INDEX(작품목록!$B$4:$B$103,MATCH(A46,작품목록!$A$4:$A$103,0)),"번호 확인"))</f>
        <v/>
      </c>
      <c r="C46" s="28" t="str">
        <f aca="false">IF(A46="","",IFERROR(INDEX(작품목록!$G$4:$G$103,MATCH(A46,작품목록!$A$4:$A$103,0)),"작품목록에 없음"))</f>
        <v/>
      </c>
      <c r="D46" s="21"/>
      <c r="E46" s="21"/>
      <c r="F46" s="21"/>
      <c r="G46" s="27" t="str">
        <f aca="false">IF(COUNT(D46:F46)=0,"",SUM(D46:F46))</f>
        <v/>
      </c>
      <c r="H46" s="21"/>
      <c r="I46" s="21"/>
      <c r="J46" s="21"/>
      <c r="K46" s="27" t="str">
        <f aca="false">IF(COUNT(H46:J46)=0,"",SUM(H46:J46))</f>
        <v/>
      </c>
      <c r="L46" s="21"/>
      <c r="M46" s="21"/>
      <c r="N46" s="21"/>
      <c r="O46" s="27" t="str">
        <f aca="false">IF(COUNT(L46:N46)=0,"",SUM(L46:N46))</f>
        <v/>
      </c>
      <c r="P46" s="29" t="str">
        <f aca="false">IF(COUNT(G46,K46,O46)=0,"",ROUND(AVERAGE(G46,K46,O46),2))</f>
        <v/>
      </c>
      <c r="Q46" s="30" t="str">
        <f aca="false">IF(COUNT(E46,I46,M46)=0,"",ROUND(AVERAGE(E46,I46,M46),2))</f>
        <v/>
      </c>
    </row>
    <row r="47" customFormat="false" ht="15" hidden="false" customHeight="false" outlineLevel="0" collapsed="false">
      <c r="A47" s="22"/>
      <c r="B47" s="27" t="str">
        <f aca="false">IF(A47="","",IFERROR(INDEX(작품목록!$B$4:$B$103,MATCH(A47,작품목록!$A$4:$A$103,0)),"번호 확인"))</f>
        <v/>
      </c>
      <c r="C47" s="28" t="str">
        <f aca="false">IF(A47="","",IFERROR(INDEX(작품목록!$G$4:$G$103,MATCH(A47,작품목록!$A$4:$A$103,0)),"작품목록에 없음"))</f>
        <v/>
      </c>
      <c r="D47" s="21"/>
      <c r="E47" s="21"/>
      <c r="F47" s="21"/>
      <c r="G47" s="27" t="str">
        <f aca="false">IF(COUNT(D47:F47)=0,"",SUM(D47:F47))</f>
        <v/>
      </c>
      <c r="H47" s="21"/>
      <c r="I47" s="21"/>
      <c r="J47" s="21"/>
      <c r="K47" s="27" t="str">
        <f aca="false">IF(COUNT(H47:J47)=0,"",SUM(H47:J47))</f>
        <v/>
      </c>
      <c r="L47" s="21"/>
      <c r="M47" s="21"/>
      <c r="N47" s="21"/>
      <c r="O47" s="27" t="str">
        <f aca="false">IF(COUNT(L47:N47)=0,"",SUM(L47:N47))</f>
        <v/>
      </c>
      <c r="P47" s="29" t="str">
        <f aca="false">IF(COUNT(G47,K47,O47)=0,"",ROUND(AVERAGE(G47,K47,O47),2))</f>
        <v/>
      </c>
      <c r="Q47" s="30" t="str">
        <f aca="false">IF(COUNT(E47,I47,M47)=0,"",ROUND(AVERAGE(E47,I47,M47),2))</f>
        <v/>
      </c>
    </row>
    <row r="48" customFormat="false" ht="15" hidden="false" customHeight="false" outlineLevel="0" collapsed="false">
      <c r="A48" s="22"/>
      <c r="B48" s="27" t="str">
        <f aca="false">IF(A48="","",IFERROR(INDEX(작품목록!$B$4:$B$103,MATCH(A48,작품목록!$A$4:$A$103,0)),"번호 확인"))</f>
        <v/>
      </c>
      <c r="C48" s="28" t="str">
        <f aca="false">IF(A48="","",IFERROR(INDEX(작품목록!$G$4:$G$103,MATCH(A48,작품목록!$A$4:$A$103,0)),"작품목록에 없음"))</f>
        <v/>
      </c>
      <c r="D48" s="21"/>
      <c r="E48" s="21"/>
      <c r="F48" s="21"/>
      <c r="G48" s="27" t="str">
        <f aca="false">IF(COUNT(D48:F48)=0,"",SUM(D48:F48))</f>
        <v/>
      </c>
      <c r="H48" s="21"/>
      <c r="I48" s="21"/>
      <c r="J48" s="21"/>
      <c r="K48" s="27" t="str">
        <f aca="false">IF(COUNT(H48:J48)=0,"",SUM(H48:J48))</f>
        <v/>
      </c>
      <c r="L48" s="21"/>
      <c r="M48" s="21"/>
      <c r="N48" s="21"/>
      <c r="O48" s="27" t="str">
        <f aca="false">IF(COUNT(L48:N48)=0,"",SUM(L48:N48))</f>
        <v/>
      </c>
      <c r="P48" s="29" t="str">
        <f aca="false">IF(COUNT(G48,K48,O48)=0,"",ROUND(AVERAGE(G48,K48,O48),2))</f>
        <v/>
      </c>
      <c r="Q48" s="30" t="str">
        <f aca="false">IF(COUNT(E48,I48,M48)=0,"",ROUND(AVERAGE(E48,I48,M48),2))</f>
        <v/>
      </c>
    </row>
    <row r="49" customFormat="false" ht="15" hidden="false" customHeight="false" outlineLevel="0" collapsed="false">
      <c r="A49" s="22"/>
      <c r="B49" s="27" t="str">
        <f aca="false">IF(A49="","",IFERROR(INDEX(작품목록!$B$4:$B$103,MATCH(A49,작품목록!$A$4:$A$103,0)),"번호 확인"))</f>
        <v/>
      </c>
      <c r="C49" s="28" t="str">
        <f aca="false">IF(A49="","",IFERROR(INDEX(작품목록!$G$4:$G$103,MATCH(A49,작품목록!$A$4:$A$103,0)),"작품목록에 없음"))</f>
        <v/>
      </c>
      <c r="D49" s="21"/>
      <c r="E49" s="21"/>
      <c r="F49" s="21"/>
      <c r="G49" s="27" t="str">
        <f aca="false">IF(COUNT(D49:F49)=0,"",SUM(D49:F49))</f>
        <v/>
      </c>
      <c r="H49" s="21"/>
      <c r="I49" s="21"/>
      <c r="J49" s="21"/>
      <c r="K49" s="27" t="str">
        <f aca="false">IF(COUNT(H49:J49)=0,"",SUM(H49:J49))</f>
        <v/>
      </c>
      <c r="L49" s="21"/>
      <c r="M49" s="21"/>
      <c r="N49" s="21"/>
      <c r="O49" s="27" t="str">
        <f aca="false">IF(COUNT(L49:N49)=0,"",SUM(L49:N49))</f>
        <v/>
      </c>
      <c r="P49" s="29" t="str">
        <f aca="false">IF(COUNT(G49,K49,O49)=0,"",ROUND(AVERAGE(G49,K49,O49),2))</f>
        <v/>
      </c>
      <c r="Q49" s="30" t="str">
        <f aca="false">IF(COUNT(E49,I49,M49)=0,"",ROUND(AVERAGE(E49,I49,M49),2))</f>
        <v/>
      </c>
    </row>
    <row r="50" customFormat="false" ht="15" hidden="false" customHeight="false" outlineLevel="0" collapsed="false">
      <c r="A50" s="22"/>
      <c r="B50" s="27" t="str">
        <f aca="false">IF(A50="","",IFERROR(INDEX(작품목록!$B$4:$B$103,MATCH(A50,작품목록!$A$4:$A$103,0)),"번호 확인"))</f>
        <v/>
      </c>
      <c r="C50" s="28" t="str">
        <f aca="false">IF(A50="","",IFERROR(INDEX(작품목록!$G$4:$G$103,MATCH(A50,작품목록!$A$4:$A$103,0)),"작품목록에 없음"))</f>
        <v/>
      </c>
      <c r="D50" s="21"/>
      <c r="E50" s="21"/>
      <c r="F50" s="21"/>
      <c r="G50" s="27" t="str">
        <f aca="false">IF(COUNT(D50:F50)=0,"",SUM(D50:F50))</f>
        <v/>
      </c>
      <c r="H50" s="21"/>
      <c r="I50" s="21"/>
      <c r="J50" s="21"/>
      <c r="K50" s="27" t="str">
        <f aca="false">IF(COUNT(H50:J50)=0,"",SUM(H50:J50))</f>
        <v/>
      </c>
      <c r="L50" s="21"/>
      <c r="M50" s="21"/>
      <c r="N50" s="21"/>
      <c r="O50" s="27" t="str">
        <f aca="false">IF(COUNT(L50:N50)=0,"",SUM(L50:N50))</f>
        <v/>
      </c>
      <c r="P50" s="29" t="str">
        <f aca="false">IF(COUNT(G50,K50,O50)=0,"",ROUND(AVERAGE(G50,K50,O50),2))</f>
        <v/>
      </c>
      <c r="Q50" s="30" t="str">
        <f aca="false">IF(COUNT(E50,I50,M50)=0,"",ROUND(AVERAGE(E50,I50,M50),2))</f>
        <v/>
      </c>
    </row>
    <row r="51" customFormat="false" ht="15" hidden="false" customHeight="false" outlineLevel="0" collapsed="false">
      <c r="A51" s="22"/>
      <c r="B51" s="27" t="str">
        <f aca="false">IF(A51="","",IFERROR(INDEX(작품목록!$B$4:$B$103,MATCH(A51,작품목록!$A$4:$A$103,0)),"번호 확인"))</f>
        <v/>
      </c>
      <c r="C51" s="28" t="str">
        <f aca="false">IF(A51="","",IFERROR(INDEX(작품목록!$G$4:$G$103,MATCH(A51,작품목록!$A$4:$A$103,0)),"작품목록에 없음"))</f>
        <v/>
      </c>
      <c r="D51" s="21"/>
      <c r="E51" s="21"/>
      <c r="F51" s="21"/>
      <c r="G51" s="27" t="str">
        <f aca="false">IF(COUNT(D51:F51)=0,"",SUM(D51:F51))</f>
        <v/>
      </c>
      <c r="H51" s="21"/>
      <c r="I51" s="21"/>
      <c r="J51" s="21"/>
      <c r="K51" s="27" t="str">
        <f aca="false">IF(COUNT(H51:J51)=0,"",SUM(H51:J51))</f>
        <v/>
      </c>
      <c r="L51" s="21"/>
      <c r="M51" s="21"/>
      <c r="N51" s="21"/>
      <c r="O51" s="27" t="str">
        <f aca="false">IF(COUNT(L51:N51)=0,"",SUM(L51:N51))</f>
        <v/>
      </c>
      <c r="P51" s="29" t="str">
        <f aca="false">IF(COUNT(G51,K51,O51)=0,"",ROUND(AVERAGE(G51,K51,O51),2))</f>
        <v/>
      </c>
      <c r="Q51" s="30" t="str">
        <f aca="false">IF(COUNT(E51,I51,M51)=0,"",ROUND(AVERAGE(E51,I51,M51),2))</f>
        <v/>
      </c>
    </row>
    <row r="52" customFormat="false" ht="15" hidden="false" customHeight="false" outlineLevel="0" collapsed="false">
      <c r="A52" s="22"/>
      <c r="B52" s="27" t="str">
        <f aca="false">IF(A52="","",IFERROR(INDEX(작품목록!$B$4:$B$103,MATCH(A52,작품목록!$A$4:$A$103,0)),"번호 확인"))</f>
        <v/>
      </c>
      <c r="C52" s="28" t="str">
        <f aca="false">IF(A52="","",IFERROR(INDEX(작품목록!$G$4:$G$103,MATCH(A52,작품목록!$A$4:$A$103,0)),"작품목록에 없음"))</f>
        <v/>
      </c>
      <c r="D52" s="21"/>
      <c r="E52" s="21"/>
      <c r="F52" s="21"/>
      <c r="G52" s="27" t="str">
        <f aca="false">IF(COUNT(D52:F52)=0,"",SUM(D52:F52))</f>
        <v/>
      </c>
      <c r="H52" s="21"/>
      <c r="I52" s="21"/>
      <c r="J52" s="21"/>
      <c r="K52" s="27" t="str">
        <f aca="false">IF(COUNT(H52:J52)=0,"",SUM(H52:J52))</f>
        <v/>
      </c>
      <c r="L52" s="21"/>
      <c r="M52" s="21"/>
      <c r="N52" s="21"/>
      <c r="O52" s="27" t="str">
        <f aca="false">IF(COUNT(L52:N52)=0,"",SUM(L52:N52))</f>
        <v/>
      </c>
      <c r="P52" s="29" t="str">
        <f aca="false">IF(COUNT(G52,K52,O52)=0,"",ROUND(AVERAGE(G52,K52,O52),2))</f>
        <v/>
      </c>
      <c r="Q52" s="30" t="str">
        <f aca="false">IF(COUNT(E52,I52,M52)=0,"",ROUND(AVERAGE(E52,I52,M52),2))</f>
        <v/>
      </c>
    </row>
    <row r="53" customFormat="false" ht="15" hidden="false" customHeight="false" outlineLevel="0" collapsed="false">
      <c r="A53" s="22"/>
      <c r="B53" s="27" t="str">
        <f aca="false">IF(A53="","",IFERROR(INDEX(작품목록!$B$4:$B$103,MATCH(A53,작품목록!$A$4:$A$103,0)),"번호 확인"))</f>
        <v/>
      </c>
      <c r="C53" s="28" t="str">
        <f aca="false">IF(A53="","",IFERROR(INDEX(작품목록!$G$4:$G$103,MATCH(A53,작품목록!$A$4:$A$103,0)),"작품목록에 없음"))</f>
        <v/>
      </c>
      <c r="D53" s="21"/>
      <c r="E53" s="21"/>
      <c r="F53" s="21"/>
      <c r="G53" s="27" t="str">
        <f aca="false">IF(COUNT(D53:F53)=0,"",SUM(D53:F53))</f>
        <v/>
      </c>
      <c r="H53" s="21"/>
      <c r="I53" s="21"/>
      <c r="J53" s="21"/>
      <c r="K53" s="27" t="str">
        <f aca="false">IF(COUNT(H53:J53)=0,"",SUM(H53:J53))</f>
        <v/>
      </c>
      <c r="L53" s="21"/>
      <c r="M53" s="21"/>
      <c r="N53" s="21"/>
      <c r="O53" s="27" t="str">
        <f aca="false">IF(COUNT(L53:N53)=0,"",SUM(L53:N53))</f>
        <v/>
      </c>
      <c r="P53" s="29" t="str">
        <f aca="false">IF(COUNT(G53,K53,O53)=0,"",ROUND(AVERAGE(G53,K53,O53),2))</f>
        <v/>
      </c>
      <c r="Q53" s="30" t="str">
        <f aca="false">IF(COUNT(E53,I53,M53)=0,"",ROUND(AVERAGE(E53,I53,M53),2))</f>
        <v/>
      </c>
    </row>
    <row r="54" customFormat="false" ht="15" hidden="false" customHeight="false" outlineLevel="0" collapsed="false">
      <c r="A54" s="22"/>
      <c r="B54" s="27" t="str">
        <f aca="false">IF(A54="","",IFERROR(INDEX(작품목록!$B$4:$B$103,MATCH(A54,작품목록!$A$4:$A$103,0)),"번호 확인"))</f>
        <v/>
      </c>
      <c r="C54" s="28" t="str">
        <f aca="false">IF(A54="","",IFERROR(INDEX(작품목록!$G$4:$G$103,MATCH(A54,작품목록!$A$4:$A$103,0)),"작품목록에 없음"))</f>
        <v/>
      </c>
      <c r="D54" s="21"/>
      <c r="E54" s="21"/>
      <c r="F54" s="21"/>
      <c r="G54" s="27" t="str">
        <f aca="false">IF(COUNT(D54:F54)=0,"",SUM(D54:F54))</f>
        <v/>
      </c>
      <c r="H54" s="21"/>
      <c r="I54" s="21"/>
      <c r="J54" s="21"/>
      <c r="K54" s="27" t="str">
        <f aca="false">IF(COUNT(H54:J54)=0,"",SUM(H54:J54))</f>
        <v/>
      </c>
      <c r="L54" s="21"/>
      <c r="M54" s="21"/>
      <c r="N54" s="21"/>
      <c r="O54" s="27" t="str">
        <f aca="false">IF(COUNT(L54:N54)=0,"",SUM(L54:N54))</f>
        <v/>
      </c>
      <c r="P54" s="29" t="str">
        <f aca="false">IF(COUNT(G54,K54,O54)=0,"",ROUND(AVERAGE(G54,K54,O54),2))</f>
        <v/>
      </c>
      <c r="Q54" s="30" t="str">
        <f aca="false">IF(COUNT(E54,I54,M54)=0,"",ROUND(AVERAGE(E54,I54,M54),2))</f>
        <v/>
      </c>
    </row>
    <row r="55" customFormat="false" ht="15" hidden="false" customHeight="false" outlineLevel="0" collapsed="false">
      <c r="A55" s="22"/>
      <c r="B55" s="27" t="str">
        <f aca="false">IF(A55="","",IFERROR(INDEX(작품목록!$B$4:$B$103,MATCH(A55,작품목록!$A$4:$A$103,0)),"번호 확인"))</f>
        <v/>
      </c>
      <c r="C55" s="28" t="str">
        <f aca="false">IF(A55="","",IFERROR(INDEX(작품목록!$G$4:$G$103,MATCH(A55,작품목록!$A$4:$A$103,0)),"작품목록에 없음"))</f>
        <v/>
      </c>
      <c r="D55" s="21"/>
      <c r="E55" s="21"/>
      <c r="F55" s="21"/>
      <c r="G55" s="27" t="str">
        <f aca="false">IF(COUNT(D55:F55)=0,"",SUM(D55:F55))</f>
        <v/>
      </c>
      <c r="H55" s="21"/>
      <c r="I55" s="21"/>
      <c r="J55" s="21"/>
      <c r="K55" s="27" t="str">
        <f aca="false">IF(COUNT(H55:J55)=0,"",SUM(H55:J55))</f>
        <v/>
      </c>
      <c r="L55" s="21"/>
      <c r="M55" s="21"/>
      <c r="N55" s="21"/>
      <c r="O55" s="27" t="str">
        <f aca="false">IF(COUNT(L55:N55)=0,"",SUM(L55:N55))</f>
        <v/>
      </c>
      <c r="P55" s="29" t="str">
        <f aca="false">IF(COUNT(G55,K55,O55)=0,"",ROUND(AVERAGE(G55,K55,O55),2))</f>
        <v/>
      </c>
      <c r="Q55" s="30" t="str">
        <f aca="false">IF(COUNT(E55,I55,M55)=0,"",ROUND(AVERAGE(E55,I55,M55),2))</f>
        <v/>
      </c>
    </row>
    <row r="56" customFormat="false" ht="15" hidden="false" customHeight="false" outlineLevel="0" collapsed="false">
      <c r="A56" s="22"/>
      <c r="B56" s="27" t="str">
        <f aca="false">IF(A56="","",IFERROR(INDEX(작품목록!$B$4:$B$103,MATCH(A56,작품목록!$A$4:$A$103,0)),"번호 확인"))</f>
        <v/>
      </c>
      <c r="C56" s="28" t="str">
        <f aca="false">IF(A56="","",IFERROR(INDEX(작품목록!$G$4:$G$103,MATCH(A56,작품목록!$A$4:$A$103,0)),"작품목록에 없음"))</f>
        <v/>
      </c>
      <c r="D56" s="21"/>
      <c r="E56" s="21"/>
      <c r="F56" s="21"/>
      <c r="G56" s="27" t="str">
        <f aca="false">IF(COUNT(D56:F56)=0,"",SUM(D56:F56))</f>
        <v/>
      </c>
      <c r="H56" s="21"/>
      <c r="I56" s="21"/>
      <c r="J56" s="21"/>
      <c r="K56" s="27" t="str">
        <f aca="false">IF(COUNT(H56:J56)=0,"",SUM(H56:J56))</f>
        <v/>
      </c>
      <c r="L56" s="21"/>
      <c r="M56" s="21"/>
      <c r="N56" s="21"/>
      <c r="O56" s="27" t="str">
        <f aca="false">IF(COUNT(L56:N56)=0,"",SUM(L56:N56))</f>
        <v/>
      </c>
      <c r="P56" s="29" t="str">
        <f aca="false">IF(COUNT(G56,K56,O56)=0,"",ROUND(AVERAGE(G56,K56,O56),2))</f>
        <v/>
      </c>
      <c r="Q56" s="30" t="str">
        <f aca="false">IF(COUNT(E56,I56,M56)=0,"",ROUND(AVERAGE(E56,I56,M56),2))</f>
        <v/>
      </c>
    </row>
    <row r="57" customFormat="false" ht="15" hidden="false" customHeight="false" outlineLevel="0" collapsed="false">
      <c r="A57" s="22"/>
      <c r="B57" s="27" t="str">
        <f aca="false">IF(A57="","",IFERROR(INDEX(작품목록!$B$4:$B$103,MATCH(A57,작품목록!$A$4:$A$103,0)),"번호 확인"))</f>
        <v/>
      </c>
      <c r="C57" s="28" t="str">
        <f aca="false">IF(A57="","",IFERROR(INDEX(작품목록!$G$4:$G$103,MATCH(A57,작품목록!$A$4:$A$103,0)),"작품목록에 없음"))</f>
        <v/>
      </c>
      <c r="D57" s="21"/>
      <c r="E57" s="21"/>
      <c r="F57" s="21"/>
      <c r="G57" s="27" t="str">
        <f aca="false">IF(COUNT(D57:F57)=0,"",SUM(D57:F57))</f>
        <v/>
      </c>
      <c r="H57" s="21"/>
      <c r="I57" s="21"/>
      <c r="J57" s="21"/>
      <c r="K57" s="27" t="str">
        <f aca="false">IF(COUNT(H57:J57)=0,"",SUM(H57:J57))</f>
        <v/>
      </c>
      <c r="L57" s="21"/>
      <c r="M57" s="21"/>
      <c r="N57" s="21"/>
      <c r="O57" s="27" t="str">
        <f aca="false">IF(COUNT(L57:N57)=0,"",SUM(L57:N57))</f>
        <v/>
      </c>
      <c r="P57" s="29" t="str">
        <f aca="false">IF(COUNT(G57,K57,O57)=0,"",ROUND(AVERAGE(G57,K57,O57),2))</f>
        <v/>
      </c>
      <c r="Q57" s="30" t="str">
        <f aca="false">IF(COUNT(E57,I57,M57)=0,"",ROUND(AVERAGE(E57,I57,M57),2))</f>
        <v/>
      </c>
    </row>
    <row r="58" customFormat="false" ht="15" hidden="false" customHeight="false" outlineLevel="0" collapsed="false">
      <c r="A58" s="22"/>
      <c r="B58" s="27" t="str">
        <f aca="false">IF(A58="","",IFERROR(INDEX(작품목록!$B$4:$B$103,MATCH(A58,작품목록!$A$4:$A$103,0)),"번호 확인"))</f>
        <v/>
      </c>
      <c r="C58" s="28" t="str">
        <f aca="false">IF(A58="","",IFERROR(INDEX(작품목록!$G$4:$G$103,MATCH(A58,작품목록!$A$4:$A$103,0)),"작품목록에 없음"))</f>
        <v/>
      </c>
      <c r="D58" s="21"/>
      <c r="E58" s="21"/>
      <c r="F58" s="21"/>
      <c r="G58" s="27" t="str">
        <f aca="false">IF(COUNT(D58:F58)=0,"",SUM(D58:F58))</f>
        <v/>
      </c>
      <c r="H58" s="21"/>
      <c r="I58" s="21"/>
      <c r="J58" s="21"/>
      <c r="K58" s="27" t="str">
        <f aca="false">IF(COUNT(H58:J58)=0,"",SUM(H58:J58))</f>
        <v/>
      </c>
      <c r="L58" s="21"/>
      <c r="M58" s="21"/>
      <c r="N58" s="21"/>
      <c r="O58" s="27" t="str">
        <f aca="false">IF(COUNT(L58:N58)=0,"",SUM(L58:N58))</f>
        <v/>
      </c>
      <c r="P58" s="29" t="str">
        <f aca="false">IF(COUNT(G58,K58,O58)=0,"",ROUND(AVERAGE(G58,K58,O58),2))</f>
        <v/>
      </c>
      <c r="Q58" s="30" t="str">
        <f aca="false">IF(COUNT(E58,I58,M58)=0,"",ROUND(AVERAGE(E58,I58,M58),2))</f>
        <v/>
      </c>
    </row>
    <row r="59" customFormat="false" ht="15" hidden="false" customHeight="false" outlineLevel="0" collapsed="false">
      <c r="A59" s="22"/>
      <c r="B59" s="27" t="str">
        <f aca="false">IF(A59="","",IFERROR(INDEX(작품목록!$B$4:$B$103,MATCH(A59,작품목록!$A$4:$A$103,0)),"번호 확인"))</f>
        <v/>
      </c>
      <c r="C59" s="28" t="str">
        <f aca="false">IF(A59="","",IFERROR(INDEX(작품목록!$G$4:$G$103,MATCH(A59,작품목록!$A$4:$A$103,0)),"작품목록에 없음"))</f>
        <v/>
      </c>
      <c r="D59" s="21"/>
      <c r="E59" s="21"/>
      <c r="F59" s="21"/>
      <c r="G59" s="27" t="str">
        <f aca="false">IF(COUNT(D59:F59)=0,"",SUM(D59:F59))</f>
        <v/>
      </c>
      <c r="H59" s="21"/>
      <c r="I59" s="21"/>
      <c r="J59" s="21"/>
      <c r="K59" s="27" t="str">
        <f aca="false">IF(COUNT(H59:J59)=0,"",SUM(H59:J59))</f>
        <v/>
      </c>
      <c r="L59" s="21"/>
      <c r="M59" s="21"/>
      <c r="N59" s="21"/>
      <c r="O59" s="27" t="str">
        <f aca="false">IF(COUNT(L59:N59)=0,"",SUM(L59:N59))</f>
        <v/>
      </c>
      <c r="P59" s="29" t="str">
        <f aca="false">IF(COUNT(G59,K59,O59)=0,"",ROUND(AVERAGE(G59,K59,O59),2))</f>
        <v/>
      </c>
      <c r="Q59" s="30" t="str">
        <f aca="false">IF(COUNT(E59,I59,M59)=0,"",ROUND(AVERAGE(E59,I59,M59),2))</f>
        <v/>
      </c>
    </row>
    <row r="60" customFormat="false" ht="15" hidden="false" customHeight="false" outlineLevel="0" collapsed="false">
      <c r="A60" s="22"/>
      <c r="B60" s="27" t="str">
        <f aca="false">IF(A60="","",IFERROR(INDEX(작품목록!$B$4:$B$103,MATCH(A60,작품목록!$A$4:$A$103,0)),"번호 확인"))</f>
        <v/>
      </c>
      <c r="C60" s="28" t="str">
        <f aca="false">IF(A60="","",IFERROR(INDEX(작품목록!$G$4:$G$103,MATCH(A60,작품목록!$A$4:$A$103,0)),"작품목록에 없음"))</f>
        <v/>
      </c>
      <c r="D60" s="21"/>
      <c r="E60" s="21"/>
      <c r="F60" s="21"/>
      <c r="G60" s="27" t="str">
        <f aca="false">IF(COUNT(D60:F60)=0,"",SUM(D60:F60))</f>
        <v/>
      </c>
      <c r="H60" s="21"/>
      <c r="I60" s="21"/>
      <c r="J60" s="21"/>
      <c r="K60" s="27" t="str">
        <f aca="false">IF(COUNT(H60:J60)=0,"",SUM(H60:J60))</f>
        <v/>
      </c>
      <c r="L60" s="21"/>
      <c r="M60" s="21"/>
      <c r="N60" s="21"/>
      <c r="O60" s="27" t="str">
        <f aca="false">IF(COUNT(L60:N60)=0,"",SUM(L60:N60))</f>
        <v/>
      </c>
      <c r="P60" s="29" t="str">
        <f aca="false">IF(COUNT(G60,K60,O60)=0,"",ROUND(AVERAGE(G60,K60,O60),2))</f>
        <v/>
      </c>
      <c r="Q60" s="30" t="str">
        <f aca="false">IF(COUNT(E60,I60,M60)=0,"",ROUND(AVERAGE(E60,I60,M60),2))</f>
        <v/>
      </c>
    </row>
    <row r="61" customFormat="false" ht="15" hidden="false" customHeight="false" outlineLevel="0" collapsed="false">
      <c r="A61" s="22"/>
      <c r="B61" s="27" t="str">
        <f aca="false">IF(A61="","",IFERROR(INDEX(작품목록!$B$4:$B$103,MATCH(A61,작품목록!$A$4:$A$103,0)),"번호 확인"))</f>
        <v/>
      </c>
      <c r="C61" s="28" t="str">
        <f aca="false">IF(A61="","",IFERROR(INDEX(작품목록!$G$4:$G$103,MATCH(A61,작품목록!$A$4:$A$103,0)),"작품목록에 없음"))</f>
        <v/>
      </c>
      <c r="D61" s="21"/>
      <c r="E61" s="21"/>
      <c r="F61" s="21"/>
      <c r="G61" s="27" t="str">
        <f aca="false">IF(COUNT(D61:F61)=0,"",SUM(D61:F61))</f>
        <v/>
      </c>
      <c r="H61" s="21"/>
      <c r="I61" s="21"/>
      <c r="J61" s="21"/>
      <c r="K61" s="27" t="str">
        <f aca="false">IF(COUNT(H61:J61)=0,"",SUM(H61:J61))</f>
        <v/>
      </c>
      <c r="L61" s="21"/>
      <c r="M61" s="21"/>
      <c r="N61" s="21"/>
      <c r="O61" s="27" t="str">
        <f aca="false">IF(COUNT(L61:N61)=0,"",SUM(L61:N61))</f>
        <v/>
      </c>
      <c r="P61" s="29" t="str">
        <f aca="false">IF(COUNT(G61,K61,O61)=0,"",ROUND(AVERAGE(G61,K61,O61),2))</f>
        <v/>
      </c>
      <c r="Q61" s="30" t="str">
        <f aca="false">IF(COUNT(E61,I61,M61)=0,"",ROUND(AVERAGE(E61,I61,M61),2))</f>
        <v/>
      </c>
    </row>
    <row r="62" customFormat="false" ht="15" hidden="false" customHeight="false" outlineLevel="0" collapsed="false">
      <c r="A62" s="22"/>
      <c r="B62" s="27" t="str">
        <f aca="false">IF(A62="","",IFERROR(INDEX(작품목록!$B$4:$B$103,MATCH(A62,작품목록!$A$4:$A$103,0)),"번호 확인"))</f>
        <v/>
      </c>
      <c r="C62" s="28" t="str">
        <f aca="false">IF(A62="","",IFERROR(INDEX(작품목록!$G$4:$G$103,MATCH(A62,작품목록!$A$4:$A$103,0)),"작품목록에 없음"))</f>
        <v/>
      </c>
      <c r="D62" s="21"/>
      <c r="E62" s="21"/>
      <c r="F62" s="21"/>
      <c r="G62" s="27" t="str">
        <f aca="false">IF(COUNT(D62:F62)=0,"",SUM(D62:F62))</f>
        <v/>
      </c>
      <c r="H62" s="21"/>
      <c r="I62" s="21"/>
      <c r="J62" s="21"/>
      <c r="K62" s="27" t="str">
        <f aca="false">IF(COUNT(H62:J62)=0,"",SUM(H62:J62))</f>
        <v/>
      </c>
      <c r="L62" s="21"/>
      <c r="M62" s="21"/>
      <c r="N62" s="21"/>
      <c r="O62" s="27" t="str">
        <f aca="false">IF(COUNT(L62:N62)=0,"",SUM(L62:N62))</f>
        <v/>
      </c>
      <c r="P62" s="29" t="str">
        <f aca="false">IF(COUNT(G62,K62,O62)=0,"",ROUND(AVERAGE(G62,K62,O62),2))</f>
        <v/>
      </c>
      <c r="Q62" s="30" t="str">
        <f aca="false">IF(COUNT(E62,I62,M62)=0,"",ROUND(AVERAGE(E62,I62,M62),2))</f>
        <v/>
      </c>
    </row>
    <row r="63" customFormat="false" ht="15" hidden="false" customHeight="false" outlineLevel="0" collapsed="false">
      <c r="A63" s="22"/>
      <c r="B63" s="27" t="str">
        <f aca="false">IF(A63="","",IFERROR(INDEX(작품목록!$B$4:$B$103,MATCH(A63,작품목록!$A$4:$A$103,0)),"번호 확인"))</f>
        <v/>
      </c>
      <c r="C63" s="28" t="str">
        <f aca="false">IF(A63="","",IFERROR(INDEX(작품목록!$G$4:$G$103,MATCH(A63,작품목록!$A$4:$A$103,0)),"작품목록에 없음"))</f>
        <v/>
      </c>
      <c r="D63" s="21"/>
      <c r="E63" s="21"/>
      <c r="F63" s="21"/>
      <c r="G63" s="27" t="str">
        <f aca="false">IF(COUNT(D63:F63)=0,"",SUM(D63:F63))</f>
        <v/>
      </c>
      <c r="H63" s="21"/>
      <c r="I63" s="21"/>
      <c r="J63" s="21"/>
      <c r="K63" s="27" t="str">
        <f aca="false">IF(COUNT(H63:J63)=0,"",SUM(H63:J63))</f>
        <v/>
      </c>
      <c r="L63" s="21"/>
      <c r="M63" s="21"/>
      <c r="N63" s="21"/>
      <c r="O63" s="27" t="str">
        <f aca="false">IF(COUNT(L63:N63)=0,"",SUM(L63:N63))</f>
        <v/>
      </c>
      <c r="P63" s="29" t="str">
        <f aca="false">IF(COUNT(G63,K63,O63)=0,"",ROUND(AVERAGE(G63,K63,O63),2))</f>
        <v/>
      </c>
      <c r="Q63" s="30" t="str">
        <f aca="false">IF(COUNT(E63,I63,M63)=0,"",ROUND(AVERAGE(E63,I63,M63),2))</f>
        <v/>
      </c>
    </row>
    <row r="64" customFormat="false" ht="15" hidden="false" customHeight="false" outlineLevel="0" collapsed="false">
      <c r="A64" s="22"/>
      <c r="B64" s="27" t="str">
        <f aca="false">IF(A64="","",IFERROR(INDEX(작품목록!$B$4:$B$103,MATCH(A64,작품목록!$A$4:$A$103,0)),"번호 확인"))</f>
        <v/>
      </c>
      <c r="C64" s="28" t="str">
        <f aca="false">IF(A64="","",IFERROR(INDEX(작품목록!$G$4:$G$103,MATCH(A64,작품목록!$A$4:$A$103,0)),"작품목록에 없음"))</f>
        <v/>
      </c>
      <c r="D64" s="21"/>
      <c r="E64" s="21"/>
      <c r="F64" s="21"/>
      <c r="G64" s="27" t="str">
        <f aca="false">IF(COUNT(D64:F64)=0,"",SUM(D64:F64))</f>
        <v/>
      </c>
      <c r="H64" s="21"/>
      <c r="I64" s="21"/>
      <c r="J64" s="21"/>
      <c r="K64" s="27" t="str">
        <f aca="false">IF(COUNT(H64:J64)=0,"",SUM(H64:J64))</f>
        <v/>
      </c>
      <c r="L64" s="21"/>
      <c r="M64" s="21"/>
      <c r="N64" s="21"/>
      <c r="O64" s="27" t="str">
        <f aca="false">IF(COUNT(L64:N64)=0,"",SUM(L64:N64))</f>
        <v/>
      </c>
      <c r="P64" s="29" t="str">
        <f aca="false">IF(COUNT(G64,K64,O64)=0,"",ROUND(AVERAGE(G64,K64,O64),2))</f>
        <v/>
      </c>
      <c r="Q64" s="30" t="str">
        <f aca="false">IF(COUNT(E64,I64,M64)=0,"",ROUND(AVERAGE(E64,I64,M64),2))</f>
        <v/>
      </c>
    </row>
    <row r="65" customFormat="false" ht="15" hidden="false" customHeight="false" outlineLevel="0" collapsed="false">
      <c r="A65" s="22"/>
      <c r="B65" s="27" t="str">
        <f aca="false">IF(A65="","",IFERROR(INDEX(작품목록!$B$4:$B$103,MATCH(A65,작품목록!$A$4:$A$103,0)),"번호 확인"))</f>
        <v/>
      </c>
      <c r="C65" s="28" t="str">
        <f aca="false">IF(A65="","",IFERROR(INDEX(작품목록!$G$4:$G$103,MATCH(A65,작품목록!$A$4:$A$103,0)),"작품목록에 없음"))</f>
        <v/>
      </c>
      <c r="D65" s="21"/>
      <c r="E65" s="21"/>
      <c r="F65" s="21"/>
      <c r="G65" s="27" t="str">
        <f aca="false">IF(COUNT(D65:F65)=0,"",SUM(D65:F65))</f>
        <v/>
      </c>
      <c r="H65" s="21"/>
      <c r="I65" s="21"/>
      <c r="J65" s="21"/>
      <c r="K65" s="27" t="str">
        <f aca="false">IF(COUNT(H65:J65)=0,"",SUM(H65:J65))</f>
        <v/>
      </c>
      <c r="L65" s="21"/>
      <c r="M65" s="21"/>
      <c r="N65" s="21"/>
      <c r="O65" s="27" t="str">
        <f aca="false">IF(COUNT(L65:N65)=0,"",SUM(L65:N65))</f>
        <v/>
      </c>
      <c r="P65" s="29" t="str">
        <f aca="false">IF(COUNT(G65,K65,O65)=0,"",ROUND(AVERAGE(G65,K65,O65),2))</f>
        <v/>
      </c>
      <c r="Q65" s="30" t="str">
        <f aca="false">IF(COUNT(E65,I65,M65)=0,"",ROUND(AVERAGE(E65,I65,M65),2))</f>
        <v/>
      </c>
    </row>
    <row r="66" customFormat="false" ht="15" hidden="false" customHeight="false" outlineLevel="0" collapsed="false">
      <c r="A66" s="22"/>
      <c r="B66" s="27" t="str">
        <f aca="false">IF(A66="","",IFERROR(INDEX(작품목록!$B$4:$B$103,MATCH(A66,작품목록!$A$4:$A$103,0)),"번호 확인"))</f>
        <v/>
      </c>
      <c r="C66" s="28" t="str">
        <f aca="false">IF(A66="","",IFERROR(INDEX(작품목록!$G$4:$G$103,MATCH(A66,작품목록!$A$4:$A$103,0)),"작품목록에 없음"))</f>
        <v/>
      </c>
      <c r="D66" s="21"/>
      <c r="E66" s="21"/>
      <c r="F66" s="21"/>
      <c r="G66" s="27" t="str">
        <f aca="false">IF(COUNT(D66:F66)=0,"",SUM(D66:F66))</f>
        <v/>
      </c>
      <c r="H66" s="21"/>
      <c r="I66" s="21"/>
      <c r="J66" s="21"/>
      <c r="K66" s="27" t="str">
        <f aca="false">IF(COUNT(H66:J66)=0,"",SUM(H66:J66))</f>
        <v/>
      </c>
      <c r="L66" s="21"/>
      <c r="M66" s="21"/>
      <c r="N66" s="21"/>
      <c r="O66" s="27" t="str">
        <f aca="false">IF(COUNT(L66:N66)=0,"",SUM(L66:N66))</f>
        <v/>
      </c>
      <c r="P66" s="29" t="str">
        <f aca="false">IF(COUNT(G66,K66,O66)=0,"",ROUND(AVERAGE(G66,K66,O66),2))</f>
        <v/>
      </c>
      <c r="Q66" s="30" t="str">
        <f aca="false">IF(COUNT(E66,I66,M66)=0,"",ROUND(AVERAGE(E66,I66,M66),2))</f>
        <v/>
      </c>
    </row>
    <row r="67" customFormat="false" ht="15" hidden="false" customHeight="false" outlineLevel="0" collapsed="false">
      <c r="A67" s="22"/>
      <c r="B67" s="27" t="str">
        <f aca="false">IF(A67="","",IFERROR(INDEX(작품목록!$B$4:$B$103,MATCH(A67,작품목록!$A$4:$A$103,0)),"번호 확인"))</f>
        <v/>
      </c>
      <c r="C67" s="28" t="str">
        <f aca="false">IF(A67="","",IFERROR(INDEX(작품목록!$G$4:$G$103,MATCH(A67,작품목록!$A$4:$A$103,0)),"작품목록에 없음"))</f>
        <v/>
      </c>
      <c r="D67" s="21"/>
      <c r="E67" s="21"/>
      <c r="F67" s="21"/>
      <c r="G67" s="27" t="str">
        <f aca="false">IF(COUNT(D67:F67)=0,"",SUM(D67:F67))</f>
        <v/>
      </c>
      <c r="H67" s="21"/>
      <c r="I67" s="21"/>
      <c r="J67" s="21"/>
      <c r="K67" s="27" t="str">
        <f aca="false">IF(COUNT(H67:J67)=0,"",SUM(H67:J67))</f>
        <v/>
      </c>
      <c r="L67" s="21"/>
      <c r="M67" s="21"/>
      <c r="N67" s="21"/>
      <c r="O67" s="27" t="str">
        <f aca="false">IF(COUNT(L67:N67)=0,"",SUM(L67:N67))</f>
        <v/>
      </c>
      <c r="P67" s="29" t="str">
        <f aca="false">IF(COUNT(G67,K67,O67)=0,"",ROUND(AVERAGE(G67,K67,O67),2))</f>
        <v/>
      </c>
      <c r="Q67" s="30" t="str">
        <f aca="false">IF(COUNT(E67,I67,M67)=0,"",ROUND(AVERAGE(E67,I67,M67),2))</f>
        <v/>
      </c>
    </row>
    <row r="68" customFormat="false" ht="15" hidden="false" customHeight="false" outlineLevel="0" collapsed="false">
      <c r="A68" s="22"/>
      <c r="B68" s="27" t="str">
        <f aca="false">IF(A68="","",IFERROR(INDEX(작품목록!$B$4:$B$103,MATCH(A68,작품목록!$A$4:$A$103,0)),"번호 확인"))</f>
        <v/>
      </c>
      <c r="C68" s="28" t="str">
        <f aca="false">IF(A68="","",IFERROR(INDEX(작품목록!$G$4:$G$103,MATCH(A68,작품목록!$A$4:$A$103,0)),"작품목록에 없음"))</f>
        <v/>
      </c>
      <c r="D68" s="21"/>
      <c r="E68" s="21"/>
      <c r="F68" s="21"/>
      <c r="G68" s="27" t="str">
        <f aca="false">IF(COUNT(D68:F68)=0,"",SUM(D68:F68))</f>
        <v/>
      </c>
      <c r="H68" s="21"/>
      <c r="I68" s="21"/>
      <c r="J68" s="21"/>
      <c r="K68" s="27" t="str">
        <f aca="false">IF(COUNT(H68:J68)=0,"",SUM(H68:J68))</f>
        <v/>
      </c>
      <c r="L68" s="21"/>
      <c r="M68" s="21"/>
      <c r="N68" s="21"/>
      <c r="O68" s="27" t="str">
        <f aca="false">IF(COUNT(L68:N68)=0,"",SUM(L68:N68))</f>
        <v/>
      </c>
      <c r="P68" s="29" t="str">
        <f aca="false">IF(COUNT(G68,K68,O68)=0,"",ROUND(AVERAGE(G68,K68,O68),2))</f>
        <v/>
      </c>
      <c r="Q68" s="30" t="str">
        <f aca="false">IF(COUNT(E68,I68,M68)=0,"",ROUND(AVERAGE(E68,I68,M68),2))</f>
        <v/>
      </c>
    </row>
    <row r="69" customFormat="false" ht="15" hidden="false" customHeight="false" outlineLevel="0" collapsed="false">
      <c r="A69" s="22"/>
      <c r="B69" s="27" t="str">
        <f aca="false">IF(A69="","",IFERROR(INDEX(작품목록!$B$4:$B$103,MATCH(A69,작품목록!$A$4:$A$103,0)),"번호 확인"))</f>
        <v/>
      </c>
      <c r="C69" s="28" t="str">
        <f aca="false">IF(A69="","",IFERROR(INDEX(작품목록!$G$4:$G$103,MATCH(A69,작품목록!$A$4:$A$103,0)),"작품목록에 없음"))</f>
        <v/>
      </c>
      <c r="D69" s="21"/>
      <c r="E69" s="21"/>
      <c r="F69" s="21"/>
      <c r="G69" s="27" t="str">
        <f aca="false">IF(COUNT(D69:F69)=0,"",SUM(D69:F69))</f>
        <v/>
      </c>
      <c r="H69" s="21"/>
      <c r="I69" s="21"/>
      <c r="J69" s="21"/>
      <c r="K69" s="27" t="str">
        <f aca="false">IF(COUNT(H69:J69)=0,"",SUM(H69:J69))</f>
        <v/>
      </c>
      <c r="L69" s="21"/>
      <c r="M69" s="21"/>
      <c r="N69" s="21"/>
      <c r="O69" s="27" t="str">
        <f aca="false">IF(COUNT(L69:N69)=0,"",SUM(L69:N69))</f>
        <v/>
      </c>
      <c r="P69" s="29" t="str">
        <f aca="false">IF(COUNT(G69,K69,O69)=0,"",ROUND(AVERAGE(G69,K69,O69),2))</f>
        <v/>
      </c>
      <c r="Q69" s="30" t="str">
        <f aca="false">IF(COUNT(E69,I69,M69)=0,"",ROUND(AVERAGE(E69,I69,M69),2))</f>
        <v/>
      </c>
    </row>
    <row r="70" customFormat="false" ht="15" hidden="false" customHeight="false" outlineLevel="0" collapsed="false">
      <c r="A70" s="22"/>
      <c r="B70" s="27" t="str">
        <f aca="false">IF(A70="","",IFERROR(INDEX(작품목록!$B$4:$B$103,MATCH(A70,작품목록!$A$4:$A$103,0)),"번호 확인"))</f>
        <v/>
      </c>
      <c r="C70" s="28" t="str">
        <f aca="false">IF(A70="","",IFERROR(INDEX(작품목록!$G$4:$G$103,MATCH(A70,작품목록!$A$4:$A$103,0)),"작품목록에 없음"))</f>
        <v/>
      </c>
      <c r="D70" s="21"/>
      <c r="E70" s="21"/>
      <c r="F70" s="21"/>
      <c r="G70" s="27" t="str">
        <f aca="false">IF(COUNT(D70:F70)=0,"",SUM(D70:F70))</f>
        <v/>
      </c>
      <c r="H70" s="21"/>
      <c r="I70" s="21"/>
      <c r="J70" s="21"/>
      <c r="K70" s="27" t="str">
        <f aca="false">IF(COUNT(H70:J70)=0,"",SUM(H70:J70))</f>
        <v/>
      </c>
      <c r="L70" s="21"/>
      <c r="M70" s="21"/>
      <c r="N70" s="21"/>
      <c r="O70" s="27" t="str">
        <f aca="false">IF(COUNT(L70:N70)=0,"",SUM(L70:N70))</f>
        <v/>
      </c>
      <c r="P70" s="29" t="str">
        <f aca="false">IF(COUNT(G70,K70,O70)=0,"",ROUND(AVERAGE(G70,K70,O70),2))</f>
        <v/>
      </c>
      <c r="Q70" s="30" t="str">
        <f aca="false">IF(COUNT(E70,I70,M70)=0,"",ROUND(AVERAGE(E70,I70,M70),2))</f>
        <v/>
      </c>
    </row>
    <row r="71" customFormat="false" ht="15" hidden="false" customHeight="false" outlineLevel="0" collapsed="false">
      <c r="A71" s="22"/>
      <c r="B71" s="27" t="str">
        <f aca="false">IF(A71="","",IFERROR(INDEX(작품목록!$B$4:$B$103,MATCH(A71,작품목록!$A$4:$A$103,0)),"번호 확인"))</f>
        <v/>
      </c>
      <c r="C71" s="28" t="str">
        <f aca="false">IF(A71="","",IFERROR(INDEX(작품목록!$G$4:$G$103,MATCH(A71,작품목록!$A$4:$A$103,0)),"작품목록에 없음"))</f>
        <v/>
      </c>
      <c r="D71" s="21"/>
      <c r="E71" s="21"/>
      <c r="F71" s="21"/>
      <c r="G71" s="27" t="str">
        <f aca="false">IF(COUNT(D71:F71)=0,"",SUM(D71:F71))</f>
        <v/>
      </c>
      <c r="H71" s="21"/>
      <c r="I71" s="21"/>
      <c r="J71" s="21"/>
      <c r="K71" s="27" t="str">
        <f aca="false">IF(COUNT(H71:J71)=0,"",SUM(H71:J71))</f>
        <v/>
      </c>
      <c r="L71" s="21"/>
      <c r="M71" s="21"/>
      <c r="N71" s="21"/>
      <c r="O71" s="27" t="str">
        <f aca="false">IF(COUNT(L71:N71)=0,"",SUM(L71:N71))</f>
        <v/>
      </c>
      <c r="P71" s="29" t="str">
        <f aca="false">IF(COUNT(G71,K71,O71)=0,"",ROUND(AVERAGE(G71,K71,O71),2))</f>
        <v/>
      </c>
      <c r="Q71" s="30" t="str">
        <f aca="false">IF(COUNT(E71,I71,M71)=0,"",ROUND(AVERAGE(E71,I71,M71),2))</f>
        <v/>
      </c>
    </row>
    <row r="72" customFormat="false" ht="15" hidden="false" customHeight="false" outlineLevel="0" collapsed="false">
      <c r="A72" s="22"/>
      <c r="B72" s="27" t="str">
        <f aca="false">IF(A72="","",IFERROR(INDEX(작품목록!$B$4:$B$103,MATCH(A72,작품목록!$A$4:$A$103,0)),"번호 확인"))</f>
        <v/>
      </c>
      <c r="C72" s="28" t="str">
        <f aca="false">IF(A72="","",IFERROR(INDEX(작품목록!$G$4:$G$103,MATCH(A72,작품목록!$A$4:$A$103,0)),"작품목록에 없음"))</f>
        <v/>
      </c>
      <c r="D72" s="21"/>
      <c r="E72" s="21"/>
      <c r="F72" s="21"/>
      <c r="G72" s="27" t="str">
        <f aca="false">IF(COUNT(D72:F72)=0,"",SUM(D72:F72))</f>
        <v/>
      </c>
      <c r="H72" s="21"/>
      <c r="I72" s="21"/>
      <c r="J72" s="21"/>
      <c r="K72" s="27" t="str">
        <f aca="false">IF(COUNT(H72:J72)=0,"",SUM(H72:J72))</f>
        <v/>
      </c>
      <c r="L72" s="21"/>
      <c r="M72" s="21"/>
      <c r="N72" s="21"/>
      <c r="O72" s="27" t="str">
        <f aca="false">IF(COUNT(L72:N72)=0,"",SUM(L72:N72))</f>
        <v/>
      </c>
      <c r="P72" s="29" t="str">
        <f aca="false">IF(COUNT(G72,K72,O72)=0,"",ROUND(AVERAGE(G72,K72,O72),2))</f>
        <v/>
      </c>
      <c r="Q72" s="30" t="str">
        <f aca="false">IF(COUNT(E72,I72,M72)=0,"",ROUND(AVERAGE(E72,I72,M72),2))</f>
        <v/>
      </c>
    </row>
    <row r="73" customFormat="false" ht="15" hidden="false" customHeight="false" outlineLevel="0" collapsed="false">
      <c r="A73" s="22"/>
      <c r="B73" s="27" t="str">
        <f aca="false">IF(A73="","",IFERROR(INDEX(작품목록!$B$4:$B$103,MATCH(A73,작품목록!$A$4:$A$103,0)),"번호 확인"))</f>
        <v/>
      </c>
      <c r="C73" s="28" t="str">
        <f aca="false">IF(A73="","",IFERROR(INDEX(작품목록!$G$4:$G$103,MATCH(A73,작품목록!$A$4:$A$103,0)),"작품목록에 없음"))</f>
        <v/>
      </c>
      <c r="D73" s="21"/>
      <c r="E73" s="21"/>
      <c r="F73" s="21"/>
      <c r="G73" s="27" t="str">
        <f aca="false">IF(COUNT(D73:F73)=0,"",SUM(D73:F73))</f>
        <v/>
      </c>
      <c r="H73" s="21"/>
      <c r="I73" s="21"/>
      <c r="J73" s="21"/>
      <c r="K73" s="27" t="str">
        <f aca="false">IF(COUNT(H73:J73)=0,"",SUM(H73:J73))</f>
        <v/>
      </c>
      <c r="L73" s="21"/>
      <c r="M73" s="21"/>
      <c r="N73" s="21"/>
      <c r="O73" s="27" t="str">
        <f aca="false">IF(COUNT(L73:N73)=0,"",SUM(L73:N73))</f>
        <v/>
      </c>
      <c r="P73" s="29" t="str">
        <f aca="false">IF(COUNT(G73,K73,O73)=0,"",ROUND(AVERAGE(G73,K73,O73),2))</f>
        <v/>
      </c>
      <c r="Q73" s="30" t="str">
        <f aca="false">IF(COUNT(E73,I73,M73)=0,"",ROUND(AVERAGE(E73,I73,M73),2))</f>
        <v/>
      </c>
    </row>
    <row r="74" customFormat="false" ht="15" hidden="false" customHeight="false" outlineLevel="0" collapsed="false">
      <c r="A74" s="22"/>
      <c r="B74" s="27" t="str">
        <f aca="false">IF(A74="","",IFERROR(INDEX(작품목록!$B$4:$B$103,MATCH(A74,작품목록!$A$4:$A$103,0)),"번호 확인"))</f>
        <v/>
      </c>
      <c r="C74" s="28" t="str">
        <f aca="false">IF(A74="","",IFERROR(INDEX(작품목록!$G$4:$G$103,MATCH(A74,작품목록!$A$4:$A$103,0)),"작품목록에 없음"))</f>
        <v/>
      </c>
      <c r="D74" s="21"/>
      <c r="E74" s="21"/>
      <c r="F74" s="21"/>
      <c r="G74" s="27" t="str">
        <f aca="false">IF(COUNT(D74:F74)=0,"",SUM(D74:F74))</f>
        <v/>
      </c>
      <c r="H74" s="21"/>
      <c r="I74" s="21"/>
      <c r="J74" s="21"/>
      <c r="K74" s="27" t="str">
        <f aca="false">IF(COUNT(H74:J74)=0,"",SUM(H74:J74))</f>
        <v/>
      </c>
      <c r="L74" s="21"/>
      <c r="M74" s="21"/>
      <c r="N74" s="21"/>
      <c r="O74" s="27" t="str">
        <f aca="false">IF(COUNT(L74:N74)=0,"",SUM(L74:N74))</f>
        <v/>
      </c>
      <c r="P74" s="29" t="str">
        <f aca="false">IF(COUNT(G74,K74,O74)=0,"",ROUND(AVERAGE(G74,K74,O74),2))</f>
        <v/>
      </c>
      <c r="Q74" s="30" t="str">
        <f aca="false">IF(COUNT(E74,I74,M74)=0,"",ROUND(AVERAGE(E74,I74,M74),2))</f>
        <v/>
      </c>
    </row>
    <row r="75" customFormat="false" ht="15" hidden="false" customHeight="false" outlineLevel="0" collapsed="false">
      <c r="A75" s="22"/>
      <c r="B75" s="27" t="str">
        <f aca="false">IF(A75="","",IFERROR(INDEX(작품목록!$B$4:$B$103,MATCH(A75,작품목록!$A$4:$A$103,0)),"번호 확인"))</f>
        <v/>
      </c>
      <c r="C75" s="28" t="str">
        <f aca="false">IF(A75="","",IFERROR(INDEX(작품목록!$G$4:$G$103,MATCH(A75,작품목록!$A$4:$A$103,0)),"작품목록에 없음"))</f>
        <v/>
      </c>
      <c r="D75" s="21"/>
      <c r="E75" s="21"/>
      <c r="F75" s="21"/>
      <c r="G75" s="27" t="str">
        <f aca="false">IF(COUNT(D75:F75)=0,"",SUM(D75:F75))</f>
        <v/>
      </c>
      <c r="H75" s="21"/>
      <c r="I75" s="21"/>
      <c r="J75" s="21"/>
      <c r="K75" s="27" t="str">
        <f aca="false">IF(COUNT(H75:J75)=0,"",SUM(H75:J75))</f>
        <v/>
      </c>
      <c r="L75" s="21"/>
      <c r="M75" s="21"/>
      <c r="N75" s="21"/>
      <c r="O75" s="27" t="str">
        <f aca="false">IF(COUNT(L75:N75)=0,"",SUM(L75:N75))</f>
        <v/>
      </c>
      <c r="P75" s="29" t="str">
        <f aca="false">IF(COUNT(G75,K75,O75)=0,"",ROUND(AVERAGE(G75,K75,O75),2))</f>
        <v/>
      </c>
      <c r="Q75" s="30" t="str">
        <f aca="false">IF(COUNT(E75,I75,M75)=0,"",ROUND(AVERAGE(E75,I75,M75),2))</f>
        <v/>
      </c>
    </row>
    <row r="76" customFormat="false" ht="15" hidden="false" customHeight="false" outlineLevel="0" collapsed="false">
      <c r="A76" s="22"/>
      <c r="B76" s="27" t="str">
        <f aca="false">IF(A76="","",IFERROR(INDEX(작품목록!$B$4:$B$103,MATCH(A76,작품목록!$A$4:$A$103,0)),"번호 확인"))</f>
        <v/>
      </c>
      <c r="C76" s="28" t="str">
        <f aca="false">IF(A76="","",IFERROR(INDEX(작품목록!$G$4:$G$103,MATCH(A76,작품목록!$A$4:$A$103,0)),"작품목록에 없음"))</f>
        <v/>
      </c>
      <c r="D76" s="21"/>
      <c r="E76" s="21"/>
      <c r="F76" s="21"/>
      <c r="G76" s="27" t="str">
        <f aca="false">IF(COUNT(D76:F76)=0,"",SUM(D76:F76))</f>
        <v/>
      </c>
      <c r="H76" s="21"/>
      <c r="I76" s="21"/>
      <c r="J76" s="21"/>
      <c r="K76" s="27" t="str">
        <f aca="false">IF(COUNT(H76:J76)=0,"",SUM(H76:J76))</f>
        <v/>
      </c>
      <c r="L76" s="21"/>
      <c r="M76" s="21"/>
      <c r="N76" s="21"/>
      <c r="O76" s="27" t="str">
        <f aca="false">IF(COUNT(L76:N76)=0,"",SUM(L76:N76))</f>
        <v/>
      </c>
      <c r="P76" s="29" t="str">
        <f aca="false">IF(COUNT(G76,K76,O76)=0,"",ROUND(AVERAGE(G76,K76,O76),2))</f>
        <v/>
      </c>
      <c r="Q76" s="30" t="str">
        <f aca="false">IF(COUNT(E76,I76,M76)=0,"",ROUND(AVERAGE(E76,I76,M76),2))</f>
        <v/>
      </c>
    </row>
    <row r="77" customFormat="false" ht="15" hidden="false" customHeight="false" outlineLevel="0" collapsed="false">
      <c r="A77" s="22"/>
      <c r="B77" s="27" t="str">
        <f aca="false">IF(A77="","",IFERROR(INDEX(작품목록!$B$4:$B$103,MATCH(A77,작품목록!$A$4:$A$103,0)),"번호 확인"))</f>
        <v/>
      </c>
      <c r="C77" s="28" t="str">
        <f aca="false">IF(A77="","",IFERROR(INDEX(작품목록!$G$4:$G$103,MATCH(A77,작품목록!$A$4:$A$103,0)),"작품목록에 없음"))</f>
        <v/>
      </c>
      <c r="D77" s="21"/>
      <c r="E77" s="21"/>
      <c r="F77" s="21"/>
      <c r="G77" s="27" t="str">
        <f aca="false">IF(COUNT(D77:F77)=0,"",SUM(D77:F77))</f>
        <v/>
      </c>
      <c r="H77" s="21"/>
      <c r="I77" s="21"/>
      <c r="J77" s="21"/>
      <c r="K77" s="27" t="str">
        <f aca="false">IF(COUNT(H77:J77)=0,"",SUM(H77:J77))</f>
        <v/>
      </c>
      <c r="L77" s="21"/>
      <c r="M77" s="21"/>
      <c r="N77" s="21"/>
      <c r="O77" s="27" t="str">
        <f aca="false">IF(COUNT(L77:N77)=0,"",SUM(L77:N77))</f>
        <v/>
      </c>
      <c r="P77" s="29" t="str">
        <f aca="false">IF(COUNT(G77,K77,O77)=0,"",ROUND(AVERAGE(G77,K77,O77),2))</f>
        <v/>
      </c>
      <c r="Q77" s="30" t="str">
        <f aca="false">IF(COUNT(E77,I77,M77)=0,"",ROUND(AVERAGE(E77,I77,M77),2))</f>
        <v/>
      </c>
    </row>
    <row r="78" customFormat="false" ht="15" hidden="false" customHeight="false" outlineLevel="0" collapsed="false">
      <c r="A78" s="22"/>
      <c r="B78" s="27" t="str">
        <f aca="false">IF(A78="","",IFERROR(INDEX(작품목록!$B$4:$B$103,MATCH(A78,작품목록!$A$4:$A$103,0)),"번호 확인"))</f>
        <v/>
      </c>
      <c r="C78" s="28" t="str">
        <f aca="false">IF(A78="","",IFERROR(INDEX(작품목록!$G$4:$G$103,MATCH(A78,작품목록!$A$4:$A$103,0)),"작품목록에 없음"))</f>
        <v/>
      </c>
      <c r="D78" s="21"/>
      <c r="E78" s="21"/>
      <c r="F78" s="21"/>
      <c r="G78" s="27" t="str">
        <f aca="false">IF(COUNT(D78:F78)=0,"",SUM(D78:F78))</f>
        <v/>
      </c>
      <c r="H78" s="21"/>
      <c r="I78" s="21"/>
      <c r="J78" s="21"/>
      <c r="K78" s="27" t="str">
        <f aca="false">IF(COUNT(H78:J78)=0,"",SUM(H78:J78))</f>
        <v/>
      </c>
      <c r="L78" s="21"/>
      <c r="M78" s="21"/>
      <c r="N78" s="21"/>
      <c r="O78" s="27" t="str">
        <f aca="false">IF(COUNT(L78:N78)=0,"",SUM(L78:N78))</f>
        <v/>
      </c>
      <c r="P78" s="29" t="str">
        <f aca="false">IF(COUNT(G78,K78,O78)=0,"",ROUND(AVERAGE(G78,K78,O78),2))</f>
        <v/>
      </c>
      <c r="Q78" s="30" t="str">
        <f aca="false">IF(COUNT(E78,I78,M78)=0,"",ROUND(AVERAGE(E78,I78,M78),2))</f>
        <v/>
      </c>
    </row>
    <row r="79" customFormat="false" ht="15" hidden="false" customHeight="false" outlineLevel="0" collapsed="false">
      <c r="A79" s="22"/>
      <c r="B79" s="27" t="str">
        <f aca="false">IF(A79="","",IFERROR(INDEX(작품목록!$B$4:$B$103,MATCH(A79,작품목록!$A$4:$A$103,0)),"번호 확인"))</f>
        <v/>
      </c>
      <c r="C79" s="28" t="str">
        <f aca="false">IF(A79="","",IFERROR(INDEX(작품목록!$G$4:$G$103,MATCH(A79,작품목록!$A$4:$A$103,0)),"작품목록에 없음"))</f>
        <v/>
      </c>
      <c r="D79" s="21"/>
      <c r="E79" s="21"/>
      <c r="F79" s="21"/>
      <c r="G79" s="27" t="str">
        <f aca="false">IF(COUNT(D79:F79)=0,"",SUM(D79:F79))</f>
        <v/>
      </c>
      <c r="H79" s="21"/>
      <c r="I79" s="21"/>
      <c r="J79" s="21"/>
      <c r="K79" s="27" t="str">
        <f aca="false">IF(COUNT(H79:J79)=0,"",SUM(H79:J79))</f>
        <v/>
      </c>
      <c r="L79" s="21"/>
      <c r="M79" s="21"/>
      <c r="N79" s="21"/>
      <c r="O79" s="27" t="str">
        <f aca="false">IF(COUNT(L79:N79)=0,"",SUM(L79:N79))</f>
        <v/>
      </c>
      <c r="P79" s="29" t="str">
        <f aca="false">IF(COUNT(G79,K79,O79)=0,"",ROUND(AVERAGE(G79,K79,O79),2))</f>
        <v/>
      </c>
      <c r="Q79" s="30" t="str">
        <f aca="false">IF(COUNT(E79,I79,M79)=0,"",ROUND(AVERAGE(E79,I79,M79),2))</f>
        <v/>
      </c>
    </row>
    <row r="80" customFormat="false" ht="15" hidden="false" customHeight="false" outlineLevel="0" collapsed="false">
      <c r="A80" s="22"/>
      <c r="B80" s="27" t="str">
        <f aca="false">IF(A80="","",IFERROR(INDEX(작품목록!$B$4:$B$103,MATCH(A80,작품목록!$A$4:$A$103,0)),"번호 확인"))</f>
        <v/>
      </c>
      <c r="C80" s="28" t="str">
        <f aca="false">IF(A80="","",IFERROR(INDEX(작품목록!$G$4:$G$103,MATCH(A80,작품목록!$A$4:$A$103,0)),"작품목록에 없음"))</f>
        <v/>
      </c>
      <c r="D80" s="21"/>
      <c r="E80" s="21"/>
      <c r="F80" s="21"/>
      <c r="G80" s="27" t="str">
        <f aca="false">IF(COUNT(D80:F80)=0,"",SUM(D80:F80))</f>
        <v/>
      </c>
      <c r="H80" s="21"/>
      <c r="I80" s="21"/>
      <c r="J80" s="21"/>
      <c r="K80" s="27" t="str">
        <f aca="false">IF(COUNT(H80:J80)=0,"",SUM(H80:J80))</f>
        <v/>
      </c>
      <c r="L80" s="21"/>
      <c r="M80" s="21"/>
      <c r="N80" s="21"/>
      <c r="O80" s="27" t="str">
        <f aca="false">IF(COUNT(L80:N80)=0,"",SUM(L80:N80))</f>
        <v/>
      </c>
      <c r="P80" s="29" t="str">
        <f aca="false">IF(COUNT(G80,K80,O80)=0,"",ROUND(AVERAGE(G80,K80,O80),2))</f>
        <v/>
      </c>
      <c r="Q80" s="30" t="str">
        <f aca="false">IF(COUNT(E80,I80,M80)=0,"",ROUND(AVERAGE(E80,I80,M80),2))</f>
        <v/>
      </c>
    </row>
    <row r="81" customFormat="false" ht="15" hidden="false" customHeight="false" outlineLevel="0" collapsed="false">
      <c r="A81" s="22"/>
      <c r="B81" s="27" t="str">
        <f aca="false">IF(A81="","",IFERROR(INDEX(작품목록!$B$4:$B$103,MATCH(A81,작품목록!$A$4:$A$103,0)),"번호 확인"))</f>
        <v/>
      </c>
      <c r="C81" s="28" t="str">
        <f aca="false">IF(A81="","",IFERROR(INDEX(작품목록!$G$4:$G$103,MATCH(A81,작품목록!$A$4:$A$103,0)),"작품목록에 없음"))</f>
        <v/>
      </c>
      <c r="D81" s="21"/>
      <c r="E81" s="21"/>
      <c r="F81" s="21"/>
      <c r="G81" s="27" t="str">
        <f aca="false">IF(COUNT(D81:F81)=0,"",SUM(D81:F81))</f>
        <v/>
      </c>
      <c r="H81" s="21"/>
      <c r="I81" s="21"/>
      <c r="J81" s="21"/>
      <c r="K81" s="27" t="str">
        <f aca="false">IF(COUNT(H81:J81)=0,"",SUM(H81:J81))</f>
        <v/>
      </c>
      <c r="L81" s="21"/>
      <c r="M81" s="21"/>
      <c r="N81" s="21"/>
      <c r="O81" s="27" t="str">
        <f aca="false">IF(COUNT(L81:N81)=0,"",SUM(L81:N81))</f>
        <v/>
      </c>
      <c r="P81" s="29" t="str">
        <f aca="false">IF(COUNT(G81,K81,O81)=0,"",ROUND(AVERAGE(G81,K81,O81),2))</f>
        <v/>
      </c>
      <c r="Q81" s="30" t="str">
        <f aca="false">IF(COUNT(E81,I81,M81)=0,"",ROUND(AVERAGE(E81,I81,M81),2))</f>
        <v/>
      </c>
    </row>
    <row r="82" customFormat="false" ht="15" hidden="false" customHeight="false" outlineLevel="0" collapsed="false">
      <c r="A82" s="22"/>
      <c r="B82" s="27" t="str">
        <f aca="false">IF(A82="","",IFERROR(INDEX(작품목록!$B$4:$B$103,MATCH(A82,작품목록!$A$4:$A$103,0)),"번호 확인"))</f>
        <v/>
      </c>
      <c r="C82" s="28" t="str">
        <f aca="false">IF(A82="","",IFERROR(INDEX(작품목록!$G$4:$G$103,MATCH(A82,작품목록!$A$4:$A$103,0)),"작품목록에 없음"))</f>
        <v/>
      </c>
      <c r="D82" s="21"/>
      <c r="E82" s="21"/>
      <c r="F82" s="21"/>
      <c r="G82" s="27" t="str">
        <f aca="false">IF(COUNT(D82:F82)=0,"",SUM(D82:F82))</f>
        <v/>
      </c>
      <c r="H82" s="21"/>
      <c r="I82" s="21"/>
      <c r="J82" s="21"/>
      <c r="K82" s="27" t="str">
        <f aca="false">IF(COUNT(H82:J82)=0,"",SUM(H82:J82))</f>
        <v/>
      </c>
      <c r="L82" s="21"/>
      <c r="M82" s="21"/>
      <c r="N82" s="21"/>
      <c r="O82" s="27" t="str">
        <f aca="false">IF(COUNT(L82:N82)=0,"",SUM(L82:N82))</f>
        <v/>
      </c>
      <c r="P82" s="29" t="str">
        <f aca="false">IF(COUNT(G82,K82,O82)=0,"",ROUND(AVERAGE(G82,K82,O82),2))</f>
        <v/>
      </c>
      <c r="Q82" s="30" t="str">
        <f aca="false">IF(COUNT(E82,I82,M82)=0,"",ROUND(AVERAGE(E82,I82,M82),2))</f>
        <v/>
      </c>
    </row>
    <row r="83" customFormat="false" ht="15" hidden="false" customHeight="false" outlineLevel="0" collapsed="false">
      <c r="A83" s="22"/>
      <c r="B83" s="27" t="str">
        <f aca="false">IF(A83="","",IFERROR(INDEX(작품목록!$B$4:$B$103,MATCH(A83,작품목록!$A$4:$A$103,0)),"번호 확인"))</f>
        <v/>
      </c>
      <c r="C83" s="28" t="str">
        <f aca="false">IF(A83="","",IFERROR(INDEX(작품목록!$G$4:$G$103,MATCH(A83,작품목록!$A$4:$A$103,0)),"작품목록에 없음"))</f>
        <v/>
      </c>
      <c r="D83" s="21"/>
      <c r="E83" s="21"/>
      <c r="F83" s="21"/>
      <c r="G83" s="27" t="str">
        <f aca="false">IF(COUNT(D83:F83)=0,"",SUM(D83:F83))</f>
        <v/>
      </c>
      <c r="H83" s="21"/>
      <c r="I83" s="21"/>
      <c r="J83" s="21"/>
      <c r="K83" s="27" t="str">
        <f aca="false">IF(COUNT(H83:J83)=0,"",SUM(H83:J83))</f>
        <v/>
      </c>
      <c r="L83" s="21"/>
      <c r="M83" s="21"/>
      <c r="N83" s="21"/>
      <c r="O83" s="27" t="str">
        <f aca="false">IF(COUNT(L83:N83)=0,"",SUM(L83:N83))</f>
        <v/>
      </c>
      <c r="P83" s="29" t="str">
        <f aca="false">IF(COUNT(G83,K83,O83)=0,"",ROUND(AVERAGE(G83,K83,O83),2))</f>
        <v/>
      </c>
      <c r="Q83" s="30" t="str">
        <f aca="false">IF(COUNT(E83,I83,M83)=0,"",ROUND(AVERAGE(E83,I83,M83),2))</f>
        <v/>
      </c>
    </row>
    <row r="84" customFormat="false" ht="15" hidden="false" customHeight="false" outlineLevel="0" collapsed="false">
      <c r="A84" s="22"/>
      <c r="B84" s="27" t="str">
        <f aca="false">IF(A84="","",IFERROR(INDEX(작품목록!$B$4:$B$103,MATCH(A84,작품목록!$A$4:$A$103,0)),"번호 확인"))</f>
        <v/>
      </c>
      <c r="C84" s="28" t="str">
        <f aca="false">IF(A84="","",IFERROR(INDEX(작품목록!$G$4:$G$103,MATCH(A84,작품목록!$A$4:$A$103,0)),"작품목록에 없음"))</f>
        <v/>
      </c>
      <c r="D84" s="21"/>
      <c r="E84" s="21"/>
      <c r="F84" s="21"/>
      <c r="G84" s="27" t="str">
        <f aca="false">IF(COUNT(D84:F84)=0,"",SUM(D84:F84))</f>
        <v/>
      </c>
      <c r="H84" s="21"/>
      <c r="I84" s="21"/>
      <c r="J84" s="21"/>
      <c r="K84" s="27" t="str">
        <f aca="false">IF(COUNT(H84:J84)=0,"",SUM(H84:J84))</f>
        <v/>
      </c>
      <c r="L84" s="21"/>
      <c r="M84" s="21"/>
      <c r="N84" s="21"/>
      <c r="O84" s="27" t="str">
        <f aca="false">IF(COUNT(L84:N84)=0,"",SUM(L84:N84))</f>
        <v/>
      </c>
      <c r="P84" s="29" t="str">
        <f aca="false">IF(COUNT(G84,K84,O84)=0,"",ROUND(AVERAGE(G84,K84,O84),2))</f>
        <v/>
      </c>
      <c r="Q84" s="30" t="str">
        <f aca="false">IF(COUNT(E84,I84,M84)=0,"",ROUND(AVERAGE(E84,I84,M84),2))</f>
        <v/>
      </c>
    </row>
    <row r="85" customFormat="false" ht="15" hidden="false" customHeight="false" outlineLevel="0" collapsed="false">
      <c r="A85" s="22"/>
      <c r="B85" s="27" t="str">
        <f aca="false">IF(A85="","",IFERROR(INDEX(작품목록!$B$4:$B$103,MATCH(A85,작품목록!$A$4:$A$103,0)),"번호 확인"))</f>
        <v/>
      </c>
      <c r="C85" s="28" t="str">
        <f aca="false">IF(A85="","",IFERROR(INDEX(작품목록!$G$4:$G$103,MATCH(A85,작품목록!$A$4:$A$103,0)),"작품목록에 없음"))</f>
        <v/>
      </c>
      <c r="D85" s="21"/>
      <c r="E85" s="21"/>
      <c r="F85" s="21"/>
      <c r="G85" s="27" t="str">
        <f aca="false">IF(COUNT(D85:F85)=0,"",SUM(D85:F85))</f>
        <v/>
      </c>
      <c r="H85" s="21"/>
      <c r="I85" s="21"/>
      <c r="J85" s="21"/>
      <c r="K85" s="27" t="str">
        <f aca="false">IF(COUNT(H85:J85)=0,"",SUM(H85:J85))</f>
        <v/>
      </c>
      <c r="L85" s="21"/>
      <c r="M85" s="21"/>
      <c r="N85" s="21"/>
      <c r="O85" s="27" t="str">
        <f aca="false">IF(COUNT(L85:N85)=0,"",SUM(L85:N85))</f>
        <v/>
      </c>
      <c r="P85" s="29" t="str">
        <f aca="false">IF(COUNT(G85,K85,O85)=0,"",ROUND(AVERAGE(G85,K85,O85),2))</f>
        <v/>
      </c>
      <c r="Q85" s="30" t="str">
        <f aca="false">IF(COUNT(E85,I85,M85)=0,"",ROUND(AVERAGE(E85,I85,M85),2))</f>
        <v/>
      </c>
    </row>
    <row r="86" customFormat="false" ht="15" hidden="false" customHeight="false" outlineLevel="0" collapsed="false">
      <c r="A86" s="22"/>
      <c r="B86" s="27" t="str">
        <f aca="false">IF(A86="","",IFERROR(INDEX(작품목록!$B$4:$B$103,MATCH(A86,작품목록!$A$4:$A$103,0)),"번호 확인"))</f>
        <v/>
      </c>
      <c r="C86" s="28" t="str">
        <f aca="false">IF(A86="","",IFERROR(INDEX(작품목록!$G$4:$G$103,MATCH(A86,작품목록!$A$4:$A$103,0)),"작품목록에 없음"))</f>
        <v/>
      </c>
      <c r="D86" s="21"/>
      <c r="E86" s="21"/>
      <c r="F86" s="21"/>
      <c r="G86" s="27" t="str">
        <f aca="false">IF(COUNT(D86:F86)=0,"",SUM(D86:F86))</f>
        <v/>
      </c>
      <c r="H86" s="21"/>
      <c r="I86" s="21"/>
      <c r="J86" s="21"/>
      <c r="K86" s="27" t="str">
        <f aca="false">IF(COUNT(H86:J86)=0,"",SUM(H86:J86))</f>
        <v/>
      </c>
      <c r="L86" s="21"/>
      <c r="M86" s="21"/>
      <c r="N86" s="21"/>
      <c r="O86" s="27" t="str">
        <f aca="false">IF(COUNT(L86:N86)=0,"",SUM(L86:N86))</f>
        <v/>
      </c>
      <c r="P86" s="29" t="str">
        <f aca="false">IF(COUNT(G86,K86,O86)=0,"",ROUND(AVERAGE(G86,K86,O86),2))</f>
        <v/>
      </c>
      <c r="Q86" s="30" t="str">
        <f aca="false">IF(COUNT(E86,I86,M86)=0,"",ROUND(AVERAGE(E86,I86,M86),2))</f>
        <v/>
      </c>
    </row>
    <row r="87" customFormat="false" ht="15" hidden="false" customHeight="false" outlineLevel="0" collapsed="false">
      <c r="A87" s="22"/>
      <c r="B87" s="27" t="str">
        <f aca="false">IF(A87="","",IFERROR(INDEX(작품목록!$B$4:$B$103,MATCH(A87,작품목록!$A$4:$A$103,0)),"번호 확인"))</f>
        <v/>
      </c>
      <c r="C87" s="28" t="str">
        <f aca="false">IF(A87="","",IFERROR(INDEX(작품목록!$G$4:$G$103,MATCH(A87,작품목록!$A$4:$A$103,0)),"작품목록에 없음"))</f>
        <v/>
      </c>
      <c r="D87" s="21"/>
      <c r="E87" s="21"/>
      <c r="F87" s="21"/>
      <c r="G87" s="27" t="str">
        <f aca="false">IF(COUNT(D87:F87)=0,"",SUM(D87:F87))</f>
        <v/>
      </c>
      <c r="H87" s="21"/>
      <c r="I87" s="21"/>
      <c r="J87" s="21"/>
      <c r="K87" s="27" t="str">
        <f aca="false">IF(COUNT(H87:J87)=0,"",SUM(H87:J87))</f>
        <v/>
      </c>
      <c r="L87" s="21"/>
      <c r="M87" s="21"/>
      <c r="N87" s="21"/>
      <c r="O87" s="27" t="str">
        <f aca="false">IF(COUNT(L87:N87)=0,"",SUM(L87:N87))</f>
        <v/>
      </c>
      <c r="P87" s="29" t="str">
        <f aca="false">IF(COUNT(G87,K87,O87)=0,"",ROUND(AVERAGE(G87,K87,O87),2))</f>
        <v/>
      </c>
      <c r="Q87" s="30" t="str">
        <f aca="false">IF(COUNT(E87,I87,M87)=0,"",ROUND(AVERAGE(E87,I87,M87),2))</f>
        <v/>
      </c>
    </row>
    <row r="88" customFormat="false" ht="15" hidden="false" customHeight="false" outlineLevel="0" collapsed="false">
      <c r="A88" s="22"/>
      <c r="B88" s="27" t="str">
        <f aca="false">IF(A88="","",IFERROR(INDEX(작품목록!$B$4:$B$103,MATCH(A88,작품목록!$A$4:$A$103,0)),"번호 확인"))</f>
        <v/>
      </c>
      <c r="C88" s="28" t="str">
        <f aca="false">IF(A88="","",IFERROR(INDEX(작품목록!$G$4:$G$103,MATCH(A88,작품목록!$A$4:$A$103,0)),"작품목록에 없음"))</f>
        <v/>
      </c>
      <c r="D88" s="21"/>
      <c r="E88" s="21"/>
      <c r="F88" s="21"/>
      <c r="G88" s="27" t="str">
        <f aca="false">IF(COUNT(D88:F88)=0,"",SUM(D88:F88))</f>
        <v/>
      </c>
      <c r="H88" s="21"/>
      <c r="I88" s="21"/>
      <c r="J88" s="21"/>
      <c r="K88" s="27" t="str">
        <f aca="false">IF(COUNT(H88:J88)=0,"",SUM(H88:J88))</f>
        <v/>
      </c>
      <c r="L88" s="21"/>
      <c r="M88" s="21"/>
      <c r="N88" s="21"/>
      <c r="O88" s="27" t="str">
        <f aca="false">IF(COUNT(L88:N88)=0,"",SUM(L88:N88))</f>
        <v/>
      </c>
      <c r="P88" s="29" t="str">
        <f aca="false">IF(COUNT(G88,K88,O88)=0,"",ROUND(AVERAGE(G88,K88,O88),2))</f>
        <v/>
      </c>
      <c r="Q88" s="30" t="str">
        <f aca="false">IF(COUNT(E88,I88,M88)=0,"",ROUND(AVERAGE(E88,I88,M88),2))</f>
        <v/>
      </c>
    </row>
    <row r="89" customFormat="false" ht="15" hidden="false" customHeight="false" outlineLevel="0" collapsed="false">
      <c r="A89" s="22"/>
      <c r="B89" s="27" t="str">
        <f aca="false">IF(A89="","",IFERROR(INDEX(작품목록!$B$4:$B$103,MATCH(A89,작품목록!$A$4:$A$103,0)),"번호 확인"))</f>
        <v/>
      </c>
      <c r="C89" s="28" t="str">
        <f aca="false">IF(A89="","",IFERROR(INDEX(작품목록!$G$4:$G$103,MATCH(A89,작품목록!$A$4:$A$103,0)),"작품목록에 없음"))</f>
        <v/>
      </c>
      <c r="D89" s="21"/>
      <c r="E89" s="21"/>
      <c r="F89" s="21"/>
      <c r="G89" s="27" t="str">
        <f aca="false">IF(COUNT(D89:F89)=0,"",SUM(D89:F89))</f>
        <v/>
      </c>
      <c r="H89" s="21"/>
      <c r="I89" s="21"/>
      <c r="J89" s="21"/>
      <c r="K89" s="27" t="str">
        <f aca="false">IF(COUNT(H89:J89)=0,"",SUM(H89:J89))</f>
        <v/>
      </c>
      <c r="L89" s="21"/>
      <c r="M89" s="21"/>
      <c r="N89" s="21"/>
      <c r="O89" s="27" t="str">
        <f aca="false">IF(COUNT(L89:N89)=0,"",SUM(L89:N89))</f>
        <v/>
      </c>
      <c r="P89" s="29" t="str">
        <f aca="false">IF(COUNT(G89,K89,O89)=0,"",ROUND(AVERAGE(G89,K89,O89),2))</f>
        <v/>
      </c>
      <c r="Q89" s="30" t="str">
        <f aca="false">IF(COUNT(E89,I89,M89)=0,"",ROUND(AVERAGE(E89,I89,M89),2))</f>
        <v/>
      </c>
    </row>
    <row r="90" customFormat="false" ht="15" hidden="false" customHeight="false" outlineLevel="0" collapsed="false">
      <c r="A90" s="22"/>
      <c r="B90" s="27" t="str">
        <f aca="false">IF(A90="","",IFERROR(INDEX(작품목록!$B$4:$B$103,MATCH(A90,작품목록!$A$4:$A$103,0)),"번호 확인"))</f>
        <v/>
      </c>
      <c r="C90" s="28" t="str">
        <f aca="false">IF(A90="","",IFERROR(INDEX(작품목록!$G$4:$G$103,MATCH(A90,작품목록!$A$4:$A$103,0)),"작품목록에 없음"))</f>
        <v/>
      </c>
      <c r="D90" s="21"/>
      <c r="E90" s="21"/>
      <c r="F90" s="21"/>
      <c r="G90" s="27" t="str">
        <f aca="false">IF(COUNT(D90:F90)=0,"",SUM(D90:F90))</f>
        <v/>
      </c>
      <c r="H90" s="21"/>
      <c r="I90" s="21"/>
      <c r="J90" s="21"/>
      <c r="K90" s="27" t="str">
        <f aca="false">IF(COUNT(H90:J90)=0,"",SUM(H90:J90))</f>
        <v/>
      </c>
      <c r="L90" s="21"/>
      <c r="M90" s="21"/>
      <c r="N90" s="21"/>
      <c r="O90" s="27" t="str">
        <f aca="false">IF(COUNT(L90:N90)=0,"",SUM(L90:N90))</f>
        <v/>
      </c>
      <c r="P90" s="29" t="str">
        <f aca="false">IF(COUNT(G90,K90,O90)=0,"",ROUND(AVERAGE(G90,K90,O90),2))</f>
        <v/>
      </c>
      <c r="Q90" s="30" t="str">
        <f aca="false">IF(COUNT(E90,I90,M90)=0,"",ROUND(AVERAGE(E90,I90,M90),2))</f>
        <v/>
      </c>
    </row>
    <row r="91" customFormat="false" ht="15" hidden="false" customHeight="false" outlineLevel="0" collapsed="false">
      <c r="A91" s="22"/>
      <c r="B91" s="27" t="str">
        <f aca="false">IF(A91="","",IFERROR(INDEX(작품목록!$B$4:$B$103,MATCH(A91,작품목록!$A$4:$A$103,0)),"번호 확인"))</f>
        <v/>
      </c>
      <c r="C91" s="28" t="str">
        <f aca="false">IF(A91="","",IFERROR(INDEX(작품목록!$G$4:$G$103,MATCH(A91,작품목록!$A$4:$A$103,0)),"작품목록에 없음"))</f>
        <v/>
      </c>
      <c r="D91" s="21"/>
      <c r="E91" s="21"/>
      <c r="F91" s="21"/>
      <c r="G91" s="27" t="str">
        <f aca="false">IF(COUNT(D91:F91)=0,"",SUM(D91:F91))</f>
        <v/>
      </c>
      <c r="H91" s="21"/>
      <c r="I91" s="21"/>
      <c r="J91" s="21"/>
      <c r="K91" s="27" t="str">
        <f aca="false">IF(COUNT(H91:J91)=0,"",SUM(H91:J91))</f>
        <v/>
      </c>
      <c r="L91" s="21"/>
      <c r="M91" s="21"/>
      <c r="N91" s="21"/>
      <c r="O91" s="27" t="str">
        <f aca="false">IF(COUNT(L91:N91)=0,"",SUM(L91:N91))</f>
        <v/>
      </c>
      <c r="P91" s="29" t="str">
        <f aca="false">IF(COUNT(G91,K91,O91)=0,"",ROUND(AVERAGE(G91,K91,O91),2))</f>
        <v/>
      </c>
      <c r="Q91" s="30" t="str">
        <f aca="false">IF(COUNT(E91,I91,M91)=0,"",ROUND(AVERAGE(E91,I91,M91),2))</f>
        <v/>
      </c>
    </row>
    <row r="92" customFormat="false" ht="15" hidden="false" customHeight="false" outlineLevel="0" collapsed="false">
      <c r="A92" s="22"/>
      <c r="B92" s="27" t="str">
        <f aca="false">IF(A92="","",IFERROR(INDEX(작품목록!$B$4:$B$103,MATCH(A92,작품목록!$A$4:$A$103,0)),"번호 확인"))</f>
        <v/>
      </c>
      <c r="C92" s="28" t="str">
        <f aca="false">IF(A92="","",IFERROR(INDEX(작품목록!$G$4:$G$103,MATCH(A92,작품목록!$A$4:$A$103,0)),"작품목록에 없음"))</f>
        <v/>
      </c>
      <c r="D92" s="21"/>
      <c r="E92" s="21"/>
      <c r="F92" s="21"/>
      <c r="G92" s="27" t="str">
        <f aca="false">IF(COUNT(D92:F92)=0,"",SUM(D92:F92))</f>
        <v/>
      </c>
      <c r="H92" s="21"/>
      <c r="I92" s="21"/>
      <c r="J92" s="21"/>
      <c r="K92" s="27" t="str">
        <f aca="false">IF(COUNT(H92:J92)=0,"",SUM(H92:J92))</f>
        <v/>
      </c>
      <c r="L92" s="21"/>
      <c r="M92" s="21"/>
      <c r="N92" s="21"/>
      <c r="O92" s="27" t="str">
        <f aca="false">IF(COUNT(L92:N92)=0,"",SUM(L92:N92))</f>
        <v/>
      </c>
      <c r="P92" s="29" t="str">
        <f aca="false">IF(COUNT(G92,K92,O92)=0,"",ROUND(AVERAGE(G92,K92,O92),2))</f>
        <v/>
      </c>
      <c r="Q92" s="30" t="str">
        <f aca="false">IF(COUNT(E92,I92,M92)=0,"",ROUND(AVERAGE(E92,I92,M92),2))</f>
        <v/>
      </c>
    </row>
    <row r="93" customFormat="false" ht="15" hidden="false" customHeight="false" outlineLevel="0" collapsed="false">
      <c r="A93" s="22"/>
      <c r="B93" s="27" t="str">
        <f aca="false">IF(A93="","",IFERROR(INDEX(작품목록!$B$4:$B$103,MATCH(A93,작품목록!$A$4:$A$103,0)),"번호 확인"))</f>
        <v/>
      </c>
      <c r="C93" s="28" t="str">
        <f aca="false">IF(A93="","",IFERROR(INDEX(작품목록!$G$4:$G$103,MATCH(A93,작품목록!$A$4:$A$103,0)),"작품목록에 없음"))</f>
        <v/>
      </c>
      <c r="D93" s="21"/>
      <c r="E93" s="21"/>
      <c r="F93" s="21"/>
      <c r="G93" s="27" t="str">
        <f aca="false">IF(COUNT(D93:F93)=0,"",SUM(D93:F93))</f>
        <v/>
      </c>
      <c r="H93" s="21"/>
      <c r="I93" s="21"/>
      <c r="J93" s="21"/>
      <c r="K93" s="27" t="str">
        <f aca="false">IF(COUNT(H93:J93)=0,"",SUM(H93:J93))</f>
        <v/>
      </c>
      <c r="L93" s="21"/>
      <c r="M93" s="21"/>
      <c r="N93" s="21"/>
      <c r="O93" s="27" t="str">
        <f aca="false">IF(COUNT(L93:N93)=0,"",SUM(L93:N93))</f>
        <v/>
      </c>
      <c r="P93" s="29" t="str">
        <f aca="false">IF(COUNT(G93,K93,O93)=0,"",ROUND(AVERAGE(G93,K93,O93),2))</f>
        <v/>
      </c>
      <c r="Q93" s="30" t="str">
        <f aca="false">IF(COUNT(E93,I93,M93)=0,"",ROUND(AVERAGE(E93,I93,M93),2))</f>
        <v/>
      </c>
    </row>
    <row r="94" customFormat="false" ht="15" hidden="false" customHeight="false" outlineLevel="0" collapsed="false">
      <c r="A94" s="22"/>
      <c r="B94" s="27" t="str">
        <f aca="false">IF(A94="","",IFERROR(INDEX(작품목록!$B$4:$B$103,MATCH(A94,작품목록!$A$4:$A$103,0)),"번호 확인"))</f>
        <v/>
      </c>
      <c r="C94" s="28" t="str">
        <f aca="false">IF(A94="","",IFERROR(INDEX(작품목록!$G$4:$G$103,MATCH(A94,작품목록!$A$4:$A$103,0)),"작품목록에 없음"))</f>
        <v/>
      </c>
      <c r="D94" s="21"/>
      <c r="E94" s="21"/>
      <c r="F94" s="21"/>
      <c r="G94" s="27" t="str">
        <f aca="false">IF(COUNT(D94:F94)=0,"",SUM(D94:F94))</f>
        <v/>
      </c>
      <c r="H94" s="21"/>
      <c r="I94" s="21"/>
      <c r="J94" s="21"/>
      <c r="K94" s="27" t="str">
        <f aca="false">IF(COUNT(H94:J94)=0,"",SUM(H94:J94))</f>
        <v/>
      </c>
      <c r="L94" s="21"/>
      <c r="M94" s="21"/>
      <c r="N94" s="21"/>
      <c r="O94" s="27" t="str">
        <f aca="false">IF(COUNT(L94:N94)=0,"",SUM(L94:N94))</f>
        <v/>
      </c>
      <c r="P94" s="29" t="str">
        <f aca="false">IF(COUNT(G94,K94,O94)=0,"",ROUND(AVERAGE(G94,K94,O94),2))</f>
        <v/>
      </c>
      <c r="Q94" s="30" t="str">
        <f aca="false">IF(COUNT(E94,I94,M94)=0,"",ROUND(AVERAGE(E94,I94,M94),2))</f>
        <v/>
      </c>
    </row>
    <row r="95" customFormat="false" ht="15" hidden="false" customHeight="false" outlineLevel="0" collapsed="false">
      <c r="A95" s="22"/>
      <c r="B95" s="27" t="str">
        <f aca="false">IF(A95="","",IFERROR(INDEX(작품목록!$B$4:$B$103,MATCH(A95,작품목록!$A$4:$A$103,0)),"번호 확인"))</f>
        <v/>
      </c>
      <c r="C95" s="28" t="str">
        <f aca="false">IF(A95="","",IFERROR(INDEX(작품목록!$G$4:$G$103,MATCH(A95,작품목록!$A$4:$A$103,0)),"작품목록에 없음"))</f>
        <v/>
      </c>
      <c r="D95" s="21"/>
      <c r="E95" s="21"/>
      <c r="F95" s="21"/>
      <c r="G95" s="27" t="str">
        <f aca="false">IF(COUNT(D95:F95)=0,"",SUM(D95:F95))</f>
        <v/>
      </c>
      <c r="H95" s="21"/>
      <c r="I95" s="21"/>
      <c r="J95" s="21"/>
      <c r="K95" s="27" t="str">
        <f aca="false">IF(COUNT(H95:J95)=0,"",SUM(H95:J95))</f>
        <v/>
      </c>
      <c r="L95" s="21"/>
      <c r="M95" s="21"/>
      <c r="N95" s="21"/>
      <c r="O95" s="27" t="str">
        <f aca="false">IF(COUNT(L95:N95)=0,"",SUM(L95:N95))</f>
        <v/>
      </c>
      <c r="P95" s="29" t="str">
        <f aca="false">IF(COUNT(G95,K95,O95)=0,"",ROUND(AVERAGE(G95,K95,O95),2))</f>
        <v/>
      </c>
      <c r="Q95" s="30" t="str">
        <f aca="false">IF(COUNT(E95,I95,M95)=0,"",ROUND(AVERAGE(E95,I95,M95),2))</f>
        <v/>
      </c>
    </row>
    <row r="96" customFormat="false" ht="15" hidden="false" customHeight="false" outlineLevel="0" collapsed="false">
      <c r="A96" s="22"/>
      <c r="B96" s="27" t="str">
        <f aca="false">IF(A96="","",IFERROR(INDEX(작품목록!$B$4:$B$103,MATCH(A96,작품목록!$A$4:$A$103,0)),"번호 확인"))</f>
        <v/>
      </c>
      <c r="C96" s="28" t="str">
        <f aca="false">IF(A96="","",IFERROR(INDEX(작품목록!$G$4:$G$103,MATCH(A96,작품목록!$A$4:$A$103,0)),"작품목록에 없음"))</f>
        <v/>
      </c>
      <c r="D96" s="21"/>
      <c r="E96" s="21"/>
      <c r="F96" s="21"/>
      <c r="G96" s="27" t="str">
        <f aca="false">IF(COUNT(D96:F96)=0,"",SUM(D96:F96))</f>
        <v/>
      </c>
      <c r="H96" s="21"/>
      <c r="I96" s="21"/>
      <c r="J96" s="21"/>
      <c r="K96" s="27" t="str">
        <f aca="false">IF(COUNT(H96:J96)=0,"",SUM(H96:J96))</f>
        <v/>
      </c>
      <c r="L96" s="21"/>
      <c r="M96" s="21"/>
      <c r="N96" s="21"/>
      <c r="O96" s="27" t="str">
        <f aca="false">IF(COUNT(L96:N96)=0,"",SUM(L96:N96))</f>
        <v/>
      </c>
      <c r="P96" s="29" t="str">
        <f aca="false">IF(COUNT(G96,K96,O96)=0,"",ROUND(AVERAGE(G96,K96,O96),2))</f>
        <v/>
      </c>
      <c r="Q96" s="30" t="str">
        <f aca="false">IF(COUNT(E96,I96,M96)=0,"",ROUND(AVERAGE(E96,I96,M96),2))</f>
        <v/>
      </c>
    </row>
    <row r="97" customFormat="false" ht="15" hidden="false" customHeight="false" outlineLevel="0" collapsed="false">
      <c r="A97" s="22"/>
      <c r="B97" s="27" t="str">
        <f aca="false">IF(A97="","",IFERROR(INDEX(작품목록!$B$4:$B$103,MATCH(A97,작품목록!$A$4:$A$103,0)),"번호 확인"))</f>
        <v/>
      </c>
      <c r="C97" s="28" t="str">
        <f aca="false">IF(A97="","",IFERROR(INDEX(작품목록!$G$4:$G$103,MATCH(A97,작품목록!$A$4:$A$103,0)),"작품목록에 없음"))</f>
        <v/>
      </c>
      <c r="D97" s="21"/>
      <c r="E97" s="21"/>
      <c r="F97" s="21"/>
      <c r="G97" s="27" t="str">
        <f aca="false">IF(COUNT(D97:F97)=0,"",SUM(D97:F97))</f>
        <v/>
      </c>
      <c r="H97" s="21"/>
      <c r="I97" s="21"/>
      <c r="J97" s="21"/>
      <c r="K97" s="27" t="str">
        <f aca="false">IF(COUNT(H97:J97)=0,"",SUM(H97:J97))</f>
        <v/>
      </c>
      <c r="L97" s="21"/>
      <c r="M97" s="21"/>
      <c r="N97" s="21"/>
      <c r="O97" s="27" t="str">
        <f aca="false">IF(COUNT(L97:N97)=0,"",SUM(L97:N97))</f>
        <v/>
      </c>
      <c r="P97" s="29" t="str">
        <f aca="false">IF(COUNT(G97,K97,O97)=0,"",ROUND(AVERAGE(G97,K97,O97),2))</f>
        <v/>
      </c>
      <c r="Q97" s="30" t="str">
        <f aca="false">IF(COUNT(E97,I97,M97)=0,"",ROUND(AVERAGE(E97,I97,M97),2))</f>
        <v/>
      </c>
    </row>
    <row r="98" customFormat="false" ht="15" hidden="false" customHeight="false" outlineLevel="0" collapsed="false">
      <c r="A98" s="22"/>
      <c r="B98" s="27" t="str">
        <f aca="false">IF(A98="","",IFERROR(INDEX(작품목록!$B$4:$B$103,MATCH(A98,작품목록!$A$4:$A$103,0)),"번호 확인"))</f>
        <v/>
      </c>
      <c r="C98" s="28" t="str">
        <f aca="false">IF(A98="","",IFERROR(INDEX(작품목록!$G$4:$G$103,MATCH(A98,작품목록!$A$4:$A$103,0)),"작품목록에 없음"))</f>
        <v/>
      </c>
      <c r="D98" s="21"/>
      <c r="E98" s="21"/>
      <c r="F98" s="21"/>
      <c r="G98" s="27" t="str">
        <f aca="false">IF(COUNT(D98:F98)=0,"",SUM(D98:F98))</f>
        <v/>
      </c>
      <c r="H98" s="21"/>
      <c r="I98" s="21"/>
      <c r="J98" s="21"/>
      <c r="K98" s="27" t="str">
        <f aca="false">IF(COUNT(H98:J98)=0,"",SUM(H98:J98))</f>
        <v/>
      </c>
      <c r="L98" s="21"/>
      <c r="M98" s="21"/>
      <c r="N98" s="21"/>
      <c r="O98" s="27" t="str">
        <f aca="false">IF(COUNT(L98:N98)=0,"",SUM(L98:N98))</f>
        <v/>
      </c>
      <c r="P98" s="29" t="str">
        <f aca="false">IF(COUNT(G98,K98,O98)=0,"",ROUND(AVERAGE(G98,K98,O98),2))</f>
        <v/>
      </c>
      <c r="Q98" s="30" t="str">
        <f aca="false">IF(COUNT(E98,I98,M98)=0,"",ROUND(AVERAGE(E98,I98,M98),2))</f>
        <v/>
      </c>
    </row>
    <row r="99" customFormat="false" ht="15" hidden="false" customHeight="false" outlineLevel="0" collapsed="false">
      <c r="A99" s="22"/>
      <c r="B99" s="27" t="str">
        <f aca="false">IF(A99="","",IFERROR(INDEX(작품목록!$B$4:$B$103,MATCH(A99,작품목록!$A$4:$A$103,0)),"번호 확인"))</f>
        <v/>
      </c>
      <c r="C99" s="28" t="str">
        <f aca="false">IF(A99="","",IFERROR(INDEX(작품목록!$G$4:$G$103,MATCH(A99,작품목록!$A$4:$A$103,0)),"작품목록에 없음"))</f>
        <v/>
      </c>
      <c r="D99" s="21"/>
      <c r="E99" s="21"/>
      <c r="F99" s="21"/>
      <c r="G99" s="27" t="str">
        <f aca="false">IF(COUNT(D99:F99)=0,"",SUM(D99:F99))</f>
        <v/>
      </c>
      <c r="H99" s="21"/>
      <c r="I99" s="21"/>
      <c r="J99" s="21"/>
      <c r="K99" s="27" t="str">
        <f aca="false">IF(COUNT(H99:J99)=0,"",SUM(H99:J99))</f>
        <v/>
      </c>
      <c r="L99" s="21"/>
      <c r="M99" s="21"/>
      <c r="N99" s="21"/>
      <c r="O99" s="27" t="str">
        <f aca="false">IF(COUNT(L99:N99)=0,"",SUM(L99:N99))</f>
        <v/>
      </c>
      <c r="P99" s="29" t="str">
        <f aca="false">IF(COUNT(G99,K99,O99)=0,"",ROUND(AVERAGE(G99,K99,O99),2))</f>
        <v/>
      </c>
      <c r="Q99" s="30" t="str">
        <f aca="false">IF(COUNT(E99,I99,M99)=0,"",ROUND(AVERAGE(E99,I99,M99),2))</f>
        <v/>
      </c>
    </row>
    <row r="100" customFormat="false" ht="15" hidden="false" customHeight="false" outlineLevel="0" collapsed="false">
      <c r="A100" s="22"/>
      <c r="B100" s="27" t="str">
        <f aca="false">IF(A100="","",IFERROR(INDEX(작품목록!$B$4:$B$103,MATCH(A100,작품목록!$A$4:$A$103,0)),"번호 확인"))</f>
        <v/>
      </c>
      <c r="C100" s="28" t="str">
        <f aca="false">IF(A100="","",IFERROR(INDEX(작품목록!$G$4:$G$103,MATCH(A100,작품목록!$A$4:$A$103,0)),"작품목록에 없음"))</f>
        <v/>
      </c>
      <c r="D100" s="21"/>
      <c r="E100" s="21"/>
      <c r="F100" s="21"/>
      <c r="G100" s="27" t="str">
        <f aca="false">IF(COUNT(D100:F100)=0,"",SUM(D100:F100))</f>
        <v/>
      </c>
      <c r="H100" s="21"/>
      <c r="I100" s="21"/>
      <c r="J100" s="21"/>
      <c r="K100" s="27" t="str">
        <f aca="false">IF(COUNT(H100:J100)=0,"",SUM(H100:J100))</f>
        <v/>
      </c>
      <c r="L100" s="21"/>
      <c r="M100" s="21"/>
      <c r="N100" s="21"/>
      <c r="O100" s="27" t="str">
        <f aca="false">IF(COUNT(L100:N100)=0,"",SUM(L100:N100))</f>
        <v/>
      </c>
      <c r="P100" s="29" t="str">
        <f aca="false">IF(COUNT(G100,K100,O100)=0,"",ROUND(AVERAGE(G100,K100,O100),2))</f>
        <v/>
      </c>
      <c r="Q100" s="30" t="str">
        <f aca="false">IF(COUNT(E100,I100,M100)=0,"",ROUND(AVERAGE(E100,I100,M100),2))</f>
        <v/>
      </c>
    </row>
    <row r="101" customFormat="false" ht="15" hidden="false" customHeight="false" outlineLevel="0" collapsed="false">
      <c r="A101" s="22"/>
      <c r="B101" s="27" t="str">
        <f aca="false">IF(A101="","",IFERROR(INDEX(작품목록!$B$4:$B$103,MATCH(A101,작품목록!$A$4:$A$103,0)),"번호 확인"))</f>
        <v/>
      </c>
      <c r="C101" s="28" t="str">
        <f aca="false">IF(A101="","",IFERROR(INDEX(작품목록!$G$4:$G$103,MATCH(A101,작품목록!$A$4:$A$103,0)),"작품목록에 없음"))</f>
        <v/>
      </c>
      <c r="D101" s="21"/>
      <c r="E101" s="21"/>
      <c r="F101" s="21"/>
      <c r="G101" s="27" t="str">
        <f aca="false">IF(COUNT(D101:F101)=0,"",SUM(D101:F101))</f>
        <v/>
      </c>
      <c r="H101" s="21"/>
      <c r="I101" s="21"/>
      <c r="J101" s="21"/>
      <c r="K101" s="27" t="str">
        <f aca="false">IF(COUNT(H101:J101)=0,"",SUM(H101:J101))</f>
        <v/>
      </c>
      <c r="L101" s="21"/>
      <c r="M101" s="21"/>
      <c r="N101" s="21"/>
      <c r="O101" s="27" t="str">
        <f aca="false">IF(COUNT(L101:N101)=0,"",SUM(L101:N101))</f>
        <v/>
      </c>
      <c r="P101" s="29" t="str">
        <f aca="false">IF(COUNT(G101,K101,O101)=0,"",ROUND(AVERAGE(G101,K101,O101),2))</f>
        <v/>
      </c>
      <c r="Q101" s="30" t="str">
        <f aca="false">IF(COUNT(E101,I101,M101)=0,"",ROUND(AVERAGE(E101,I101,M101),2))</f>
        <v/>
      </c>
    </row>
    <row r="102" customFormat="false" ht="15" hidden="false" customHeight="false" outlineLevel="0" collapsed="false">
      <c r="A102" s="22"/>
      <c r="B102" s="27" t="str">
        <f aca="false">IF(A102="","",IFERROR(INDEX(작품목록!$B$4:$B$103,MATCH(A102,작품목록!$A$4:$A$103,0)),"번호 확인"))</f>
        <v/>
      </c>
      <c r="C102" s="28" t="str">
        <f aca="false">IF(A102="","",IFERROR(INDEX(작품목록!$G$4:$G$103,MATCH(A102,작품목록!$A$4:$A$103,0)),"작품목록에 없음"))</f>
        <v/>
      </c>
      <c r="D102" s="21"/>
      <c r="E102" s="21"/>
      <c r="F102" s="21"/>
      <c r="G102" s="27" t="str">
        <f aca="false">IF(COUNT(D102:F102)=0,"",SUM(D102:F102))</f>
        <v/>
      </c>
      <c r="H102" s="21"/>
      <c r="I102" s="21"/>
      <c r="J102" s="21"/>
      <c r="K102" s="27" t="str">
        <f aca="false">IF(COUNT(H102:J102)=0,"",SUM(H102:J102))</f>
        <v/>
      </c>
      <c r="L102" s="21"/>
      <c r="M102" s="21"/>
      <c r="N102" s="21"/>
      <c r="O102" s="27" t="str">
        <f aca="false">IF(COUNT(L102:N102)=0,"",SUM(L102:N102))</f>
        <v/>
      </c>
      <c r="P102" s="29" t="str">
        <f aca="false">IF(COUNT(G102,K102,O102)=0,"",ROUND(AVERAGE(G102,K102,O102),2))</f>
        <v/>
      </c>
      <c r="Q102" s="30" t="str">
        <f aca="false">IF(COUNT(E102,I102,M102)=0,"",ROUND(AVERAGE(E102,I102,M102),2))</f>
        <v/>
      </c>
    </row>
    <row r="103" customFormat="false" ht="15" hidden="false" customHeight="false" outlineLevel="0" collapsed="false">
      <c r="A103" s="22"/>
      <c r="B103" s="27" t="str">
        <f aca="false">IF(A103="","",IFERROR(INDEX(작품목록!$B$4:$B$103,MATCH(A103,작품목록!$A$4:$A$103,0)),"번호 확인"))</f>
        <v/>
      </c>
      <c r="C103" s="28" t="str">
        <f aca="false">IF(A103="","",IFERROR(INDEX(작품목록!$G$4:$G$103,MATCH(A103,작품목록!$A$4:$A$103,0)),"작품목록에 없음"))</f>
        <v/>
      </c>
      <c r="D103" s="21"/>
      <c r="E103" s="21"/>
      <c r="F103" s="21"/>
      <c r="G103" s="27" t="str">
        <f aca="false">IF(COUNT(D103:F103)=0,"",SUM(D103:F103))</f>
        <v/>
      </c>
      <c r="H103" s="21"/>
      <c r="I103" s="21"/>
      <c r="J103" s="21"/>
      <c r="K103" s="27" t="str">
        <f aca="false">IF(COUNT(H103:J103)=0,"",SUM(H103:J103))</f>
        <v/>
      </c>
      <c r="L103" s="21"/>
      <c r="M103" s="21"/>
      <c r="N103" s="21"/>
      <c r="O103" s="27" t="str">
        <f aca="false">IF(COUNT(L103:N103)=0,"",SUM(L103:N103))</f>
        <v/>
      </c>
      <c r="P103" s="29" t="str">
        <f aca="false">IF(COUNT(G103,K103,O103)=0,"",ROUND(AVERAGE(G103,K103,O103),2))</f>
        <v/>
      </c>
      <c r="Q103" s="30" t="str">
        <f aca="false">IF(COUNT(E103,I103,M103)=0,"",ROUND(AVERAGE(E103,I103,M103),2))</f>
        <v/>
      </c>
    </row>
    <row r="104" customFormat="false" ht="15" hidden="false" customHeight="false" outlineLevel="0" collapsed="false">
      <c r="A104" s="22"/>
      <c r="B104" s="27" t="str">
        <f aca="false">IF(A104="","",IFERROR(INDEX(작품목록!$B$4:$B$103,MATCH(A104,작품목록!$A$4:$A$103,0)),"번호 확인"))</f>
        <v/>
      </c>
      <c r="C104" s="28" t="str">
        <f aca="false">IF(A104="","",IFERROR(INDEX(작품목록!$G$4:$G$103,MATCH(A104,작품목록!$A$4:$A$103,0)),"작품목록에 없음"))</f>
        <v/>
      </c>
      <c r="D104" s="21"/>
      <c r="E104" s="21"/>
      <c r="F104" s="21"/>
      <c r="G104" s="27" t="str">
        <f aca="false">IF(COUNT(D104:F104)=0,"",SUM(D104:F104))</f>
        <v/>
      </c>
      <c r="H104" s="21"/>
      <c r="I104" s="21"/>
      <c r="J104" s="21"/>
      <c r="K104" s="27" t="str">
        <f aca="false">IF(COUNT(H104:J104)=0,"",SUM(H104:J104))</f>
        <v/>
      </c>
      <c r="L104" s="21"/>
      <c r="M104" s="21"/>
      <c r="N104" s="21"/>
      <c r="O104" s="27" t="str">
        <f aca="false">IF(COUNT(L104:N104)=0,"",SUM(L104:N104))</f>
        <v/>
      </c>
      <c r="P104" s="29" t="str">
        <f aca="false">IF(COUNT(G104,K104,O104)=0,"",ROUND(AVERAGE(G104,K104,O104),2))</f>
        <v/>
      </c>
      <c r="Q104" s="30" t="str">
        <f aca="false">IF(COUNT(E104,I104,M104)=0,"",ROUND(AVERAGE(E104,I104,M104),2))</f>
        <v/>
      </c>
    </row>
  </sheetData>
  <mergeCells count="8">
    <mergeCell ref="A3:A4"/>
    <mergeCell ref="B3:B4"/>
    <mergeCell ref="C3:C4"/>
    <mergeCell ref="D3:G3"/>
    <mergeCell ref="H3:K3"/>
    <mergeCell ref="L3:O3"/>
    <mergeCell ref="P3:P4"/>
    <mergeCell ref="Q3:Q4"/>
  </mergeCells>
  <dataValidations count="3">
    <dataValidation allowBlank="true" error="교과&#10;연계성은(는) 0~15점 사이로 입력하세요." errorStyle="stop" errorTitle="점수 범위" operator="between" prompt="0~15점" showDropDown="false" showErrorMessage="false" showInputMessage="true" sqref="D5:D104 H5:H104 L5:L104" type="decimal">
      <formula1>0</formula1>
      <formula2>15</formula2>
    </dataValidation>
    <dataValidation allowBlank="true" error="아이디어&#10;독창성은(는) 0~20점 사이로 입력하세요." errorStyle="stop" errorTitle="점수 범위" operator="between" prompt="0~20점" showDropDown="false" showErrorMessage="false" showInputMessage="true" sqref="E5:E104 I5:I104 M5:M104" type="decimal">
      <formula1>0</formula1>
      <formula2>20</formula2>
    </dataValidation>
    <dataValidation allowBlank="true" error="표현력&#10;(그림·설명)은(는) 0~15점 사이로 입력하세요." errorStyle="stop" errorTitle="점수 범위" operator="between" prompt="0~15점" showDropDown="false" showErrorMessage="false" showInputMessage="true" sqref="F5:F104 J5:J104 N5:N104" type="decimal">
      <formula1>0</formula1>
      <formula2>15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8"/>
  </cols>
  <sheetData>
    <row r="1" customFormat="false" ht="27.75" hidden="false" customHeight="true" outlineLevel="0" collapsed="false">
      <c r="A1" s="19" t="s">
        <v>214</v>
      </c>
    </row>
    <row r="2" customFormat="false" ht="15" hidden="false" customHeight="false" outlineLevel="0" collapsed="false">
      <c r="A2" s="2" t="s">
        <v>215</v>
      </c>
    </row>
    <row r="3" customFormat="false" ht="15" hidden="false" customHeight="false" outlineLevel="0" collapsed="false">
      <c r="A3" s="31" t="s">
        <v>216</v>
      </c>
      <c r="E3" s="31" t="s">
        <v>217</v>
      </c>
    </row>
    <row r="4" customFormat="false" ht="15" hidden="false" customHeight="false" outlineLevel="0" collapsed="false">
      <c r="C4" s="32" t="str">
        <f aca="false">IF(COUNTA(A6:A105)=0,"","붙여 넣은 작품 "&amp;COUNTA(A6:A105)&amp;"개 · 좋아요 합계 "&amp;SUM(B6:B105)&amp;"개")</f>
        <v>붙여 넣은 작품 16개 · 좋아요 합계 544개</v>
      </c>
    </row>
    <row r="5" customFormat="false" ht="36" hidden="false" customHeight="true" outlineLevel="0" collapsed="false">
      <c r="A5" s="4" t="s">
        <v>50</v>
      </c>
      <c r="B5" s="4" t="s">
        <v>218</v>
      </c>
      <c r="C5" s="4" t="s">
        <v>219</v>
      </c>
      <c r="E5" s="4" t="s">
        <v>50</v>
      </c>
      <c r="F5" s="4" t="s">
        <v>51</v>
      </c>
      <c r="G5" s="4" t="s">
        <v>56</v>
      </c>
      <c r="H5" s="4" t="s">
        <v>220</v>
      </c>
      <c r="I5" s="4" t="s">
        <v>221</v>
      </c>
      <c r="J5" s="4" t="s">
        <v>222</v>
      </c>
      <c r="K5" s="4" t="s">
        <v>223</v>
      </c>
    </row>
    <row r="6" customFormat="false" ht="15" hidden="false" customHeight="false" outlineLevel="0" collapsed="false">
      <c r="A6" s="21" t="s">
        <v>107</v>
      </c>
      <c r="B6" s="21" t="n">
        <v>60</v>
      </c>
      <c r="C6" s="33" t="str">
        <f aca="false">IF(A6="","",IF(COUNTIF($A$6:$A$105,A6)&gt;1,"번호 중복(한 번만 남기세요)",IF(COUNTIF(작품목록!$A$4:$A$103,A6)=0,"작품목록에 없는 번호",IF(ISNUMBER(B6),"","좋아요 수가 숫자가 아님"))))</f>
        <v/>
      </c>
      <c r="E6" s="27" t="str">
        <f aca="false">IF(작품목록!A4="","",작품목록!A4)</f>
        <v>B-01</v>
      </c>
      <c r="F6" s="27" t="str">
        <f aca="false">IF(E6="","",작품목록!B4&amp;"")</f>
        <v>블록</v>
      </c>
      <c r="G6" s="28" t="str">
        <f aca="false">IF(E6="","",작품목록!G4&amp;"")</f>
        <v>구구단 우주선</v>
      </c>
      <c r="H6" s="27" t="n">
        <f aca="false">IF(E6="","",IF(F6="상상","-",SUMIF($A$6:$A$105,E6,$B$6:$B$105)))</f>
        <v>58</v>
      </c>
      <c r="I6" s="21"/>
      <c r="J6" s="34" t="n">
        <f aca="false">IF(E6="","",IF(F6="상상",N(I6),N(H6)))</f>
        <v>58</v>
      </c>
      <c r="K6" s="27" t="n">
        <f aca="false">IF(E6="","",COUNTIFS($F$6:$F$105,F6,$J$6:$J$105,"&gt;"&amp;J6)+1)</f>
        <v>1</v>
      </c>
    </row>
    <row r="7" customFormat="false" ht="15" hidden="false" customHeight="false" outlineLevel="0" collapsed="false">
      <c r="A7" s="21" t="s">
        <v>58</v>
      </c>
      <c r="B7" s="21" t="n">
        <v>58</v>
      </c>
      <c r="C7" s="33" t="str">
        <f aca="false">IF(A7="","",IF(COUNTIF($A$6:$A$105,A7)&gt;1,"번호 중복(한 번만 남기세요)",IF(COUNTIF(작품목록!$A$4:$A$103,A7)=0,"작품목록에 없는 번호",IF(ISNUMBER(B7),"","좋아요 수가 숫자가 아님"))))</f>
        <v/>
      </c>
      <c r="E7" s="27" t="str">
        <f aca="false">IF(작품목록!A5="","",작품목록!A5)</f>
        <v>B-02</v>
      </c>
      <c r="F7" s="27" t="str">
        <f aca="false">IF(E7="","",작품목록!B5&amp;"")</f>
        <v>블록</v>
      </c>
      <c r="G7" s="28" t="str">
        <f aca="false">IF(E7="","",작품목록!G5&amp;"")</f>
        <v>영어 단어 짝 맞추기</v>
      </c>
      <c r="H7" s="27" t="n">
        <f aca="false">IF(E7="","",IF(F7="상상","-",SUMIF($A$6:$A$105,E7,$B$6:$B$105)))</f>
        <v>41</v>
      </c>
      <c r="I7" s="21"/>
      <c r="J7" s="34" t="n">
        <f aca="false">IF(E7="","",IF(F7="상상",N(I7),N(H7)))</f>
        <v>41</v>
      </c>
      <c r="K7" s="27" t="n">
        <f aca="false">IF(E7="","",COUNTIFS($F$6:$F$105,F7,$J$6:$J$105,"&gt;"&amp;J7)+1)</f>
        <v>3</v>
      </c>
    </row>
    <row r="8" customFormat="false" ht="15" hidden="false" customHeight="false" outlineLevel="0" collapsed="false">
      <c r="A8" s="21" t="s">
        <v>77</v>
      </c>
      <c r="B8" s="21" t="n">
        <v>47</v>
      </c>
      <c r="C8" s="33" t="str">
        <f aca="false">IF(A8="","",IF(COUNTIF($A$6:$A$105,A8)&gt;1,"번호 중복(한 번만 남기세요)",IF(COUNTIF(작품목록!$A$4:$A$103,A8)=0,"작품목록에 없는 번호",IF(ISNUMBER(B8),"","좋아요 수가 숫자가 아님"))))</f>
        <v/>
      </c>
      <c r="E8" s="27" t="str">
        <f aca="false">IF(작품목록!A6="","",작품목록!A6)</f>
        <v>B-03</v>
      </c>
      <c r="F8" s="27" t="str">
        <f aca="false">IF(E8="","",작품목록!B6&amp;"")</f>
        <v>블록</v>
      </c>
      <c r="G8" s="28" t="str">
        <f aca="false">IF(E8="","",작품목록!G6&amp;"")</f>
        <v>씨앗 키우기 순서 게임</v>
      </c>
      <c r="H8" s="27" t="n">
        <f aca="false">IF(E8="","",IF(F8="상상","-",SUMIF($A$6:$A$105,E8,$B$6:$B$105)))</f>
        <v>23</v>
      </c>
      <c r="I8" s="21"/>
      <c r="J8" s="34" t="n">
        <f aca="false">IF(E8="","",IF(F8="상상",N(I8),N(H8)))</f>
        <v>23</v>
      </c>
      <c r="K8" s="27" t="n">
        <f aca="false">IF(E8="","",COUNTIFS($F$6:$F$105,F8,$J$6:$J$105,"&gt;"&amp;J8)+1)</f>
        <v>6</v>
      </c>
    </row>
    <row r="9" customFormat="false" ht="15" hidden="false" customHeight="false" outlineLevel="0" collapsed="false">
      <c r="A9" s="21" t="s">
        <v>144</v>
      </c>
      <c r="B9" s="21" t="n">
        <v>45</v>
      </c>
      <c r="C9" s="33" t="str">
        <f aca="false">IF(A9="","",IF(COUNTIF($A$6:$A$105,A9)&gt;1,"번호 중복(한 번만 남기세요)",IF(COUNTIF(작품목록!$A$4:$A$103,A9)=0,"작품목록에 없는 번호",IF(ISNUMBER(B9),"","좋아요 수가 숫자가 아님"))))</f>
        <v/>
      </c>
      <c r="E9" s="27" t="str">
        <f aca="false">IF(작품목록!A7="","",작품목록!A7)</f>
        <v>B-04</v>
      </c>
      <c r="F9" s="27" t="str">
        <f aca="false">IF(E9="","",작품목록!B7&amp;"")</f>
        <v>블록</v>
      </c>
      <c r="G9" s="28" t="str">
        <f aca="false">IF(E9="","",작품목록!G7&amp;"")</f>
        <v>배수 사냥꾼</v>
      </c>
      <c r="H9" s="27" t="n">
        <f aca="false">IF(E9="","",IF(F9="상상","-",SUMIF($A$6:$A$105,E9,$B$6:$B$105)))</f>
        <v>47</v>
      </c>
      <c r="I9" s="21"/>
      <c r="J9" s="34" t="n">
        <f aca="false">IF(E9="","",IF(F9="상상",N(I9),N(H9)))</f>
        <v>47</v>
      </c>
      <c r="K9" s="27" t="n">
        <f aca="false">IF(E9="","",COUNTIFS($F$6:$F$105,F9,$J$6:$J$105,"&gt;"&amp;J9)+1)</f>
        <v>2</v>
      </c>
    </row>
    <row r="10" customFormat="false" ht="15" hidden="false" customHeight="false" outlineLevel="0" collapsed="false">
      <c r="A10" s="21" t="s">
        <v>114</v>
      </c>
      <c r="B10" s="21" t="n">
        <v>42</v>
      </c>
      <c r="C10" s="33" t="str">
        <f aca="false">IF(A10="","",IF(COUNTIF($A$6:$A$105,A10)&gt;1,"번호 중복(한 번만 남기세요)",IF(COUNTIF(작품목록!$A$4:$A$103,A10)=0,"작품목록에 없는 번호",IF(ISNUMBER(B10),"","좋아요 수가 숫자가 아님"))))</f>
        <v/>
      </c>
      <c r="E10" s="27" t="str">
        <f aca="false">IF(작품목록!A8="","",작품목록!A8)</f>
        <v>B-05</v>
      </c>
      <c r="F10" s="27" t="str">
        <f aca="false">IF(E10="","",작품목록!B8&amp;"")</f>
        <v>블록</v>
      </c>
      <c r="G10" s="28" t="str">
        <f aca="false">IF(E10="","",작품목록!G8&amp;"")</f>
        <v>낱말 바구니 분류하기</v>
      </c>
      <c r="H10" s="27" t="n">
        <f aca="false">IF(E10="","",IF(F10="상상","-",SUMIF($A$6:$A$105,E10,$B$6:$B$105)))</f>
        <v>15</v>
      </c>
      <c r="I10" s="21"/>
      <c r="J10" s="34" t="n">
        <f aca="false">IF(E10="","",IF(F10="상상",N(I10),N(H10)))</f>
        <v>15</v>
      </c>
      <c r="K10" s="27" t="n">
        <f aca="false">IF(E10="","",COUNTIFS($F$6:$F$105,F10,$J$6:$J$105,"&gt;"&amp;J10)+1)</f>
        <v>8</v>
      </c>
    </row>
    <row r="11" customFormat="false" ht="15" hidden="false" customHeight="false" outlineLevel="0" collapsed="false">
      <c r="A11" s="21" t="s">
        <v>65</v>
      </c>
      <c r="B11" s="21" t="n">
        <v>41</v>
      </c>
      <c r="C11" s="33" t="str">
        <f aca="false">IF(A11="","",IF(COUNTIF($A$6:$A$105,A11)&gt;1,"번호 중복(한 번만 남기세요)",IF(COUNTIF(작품목록!$A$4:$A$103,A11)=0,"작품목록에 없는 번호",IF(ISNUMBER(B11),"","좋아요 수가 숫자가 아님"))))</f>
        <v/>
      </c>
      <c r="E11" s="27" t="str">
        <f aca="false">IF(작품목록!A9="","",작품목록!A9)</f>
        <v>B-06</v>
      </c>
      <c r="F11" s="27" t="str">
        <f aca="false">IF(E11="","",작품목록!B9&amp;"")</f>
        <v>블록</v>
      </c>
      <c r="G11" s="28" t="str">
        <f aca="false">IF(E11="","",작품목록!G9&amp;"")</f>
        <v>행성 순서 맞히기</v>
      </c>
      <c r="H11" s="27" t="n">
        <f aca="false">IF(E11="","",IF(F11="상상","-",SUMIF($A$6:$A$105,E11,$B$6:$B$105)))</f>
        <v>33</v>
      </c>
      <c r="I11" s="21"/>
      <c r="J11" s="34" t="n">
        <f aca="false">IF(E11="","",IF(F11="상상",N(I11),N(H11)))</f>
        <v>33</v>
      </c>
      <c r="K11" s="27" t="n">
        <f aca="false">IF(E11="","",COUNTIFS($F$6:$F$105,F11,$J$6:$J$105,"&gt;"&amp;J11)+1)</f>
        <v>5</v>
      </c>
    </row>
    <row r="12" customFormat="false" ht="15" hidden="false" customHeight="false" outlineLevel="0" collapsed="false">
      <c r="A12" s="21" t="s">
        <v>132</v>
      </c>
      <c r="B12" s="21" t="n">
        <v>37</v>
      </c>
      <c r="C12" s="33" t="str">
        <f aca="false">IF(A12="","",IF(COUNTIF($A$6:$A$105,A12)&gt;1,"번호 중복(한 번만 남기세요)",IF(COUNTIF(작품목록!$A$4:$A$103,A12)=0,"작품목록에 없는 번호",IF(ISNUMBER(B12),"","좋아요 수가 숫자가 아님"))))</f>
        <v/>
      </c>
      <c r="E12" s="27" t="str">
        <f aca="false">IF(작품목록!A10="","",작품목록!A10)</f>
        <v>B-07</v>
      </c>
      <c r="F12" s="27" t="str">
        <f aca="false">IF(E12="","",작품목록!B10&amp;"")</f>
        <v>블록</v>
      </c>
      <c r="G12" s="28" t="str">
        <f aca="false">IF(E12="","",작품목록!G10&amp;"")</f>
        <v>우리 지역 지도 탐험</v>
      </c>
      <c r="H12" s="27" t="n">
        <f aca="false">IF(E12="","",IF(F12="상상","-",SUMIF($A$6:$A$105,E12,$B$6:$B$105)))</f>
        <v>19</v>
      </c>
      <c r="I12" s="21"/>
      <c r="J12" s="34" t="n">
        <f aca="false">IF(E12="","",IF(F12="상상",N(I12),N(H12)))</f>
        <v>19</v>
      </c>
      <c r="K12" s="27" t="n">
        <f aca="false">IF(E12="","",COUNTIFS($F$6:$F$105,F12,$J$6:$J$105,"&gt;"&amp;J12)+1)</f>
        <v>7</v>
      </c>
    </row>
    <row r="13" customFormat="false" ht="15" hidden="false" customHeight="false" outlineLevel="0" collapsed="false">
      <c r="A13" s="21" t="s">
        <v>102</v>
      </c>
      <c r="B13" s="21" t="n">
        <v>36</v>
      </c>
      <c r="C13" s="33" t="str">
        <f aca="false">IF(A13="","",IF(COUNTIF($A$6:$A$105,A13)&gt;1,"번호 중복(한 번만 남기세요)",IF(COUNTIF(작품목록!$A$4:$A$103,A13)=0,"작품목록에 없는 번호",IF(ISNUMBER(B13),"","좋아요 수가 숫자가 아님"))))</f>
        <v/>
      </c>
      <c r="E13" s="27" t="str">
        <f aca="false">IF(작품목록!A11="","",작품목록!A11)</f>
        <v>B-08</v>
      </c>
      <c r="F13" s="27" t="str">
        <f aca="false">IF(E13="","",작품목록!B11&amp;"")</f>
        <v>블록</v>
      </c>
      <c r="G13" s="28" t="str">
        <f aca="false">IF(E13="","",작품목록!G11&amp;"")</f>
        <v>분수 피자 가게</v>
      </c>
      <c r="H13" s="27" t="n">
        <f aca="false">IF(E13="","",IF(F13="상상","-",SUMIF($A$6:$A$105,E13,$B$6:$B$105)))</f>
        <v>36</v>
      </c>
      <c r="I13" s="21"/>
      <c r="J13" s="34" t="n">
        <f aca="false">IF(E13="","",IF(F13="상상",N(I13),N(H13)))</f>
        <v>36</v>
      </c>
      <c r="K13" s="27" t="n">
        <f aca="false">IF(E13="","",COUNTIFS($F$6:$F$105,F13,$J$6:$J$105,"&gt;"&amp;J13)+1)</f>
        <v>4</v>
      </c>
    </row>
    <row r="14" customFormat="false" ht="15" hidden="false" customHeight="false" outlineLevel="0" collapsed="false">
      <c r="A14" s="21" t="s">
        <v>90</v>
      </c>
      <c r="B14" s="21" t="n">
        <v>33</v>
      </c>
      <c r="C14" s="33" t="str">
        <f aca="false">IF(A14="","",IF(COUNTIF($A$6:$A$105,A14)&gt;1,"번호 중복(한 번만 남기세요)",IF(COUNTIF(작품목록!$A$4:$A$103,A14)=0,"작품목록에 없는 번호",IF(ISNUMBER(B14),"","좋아요 수가 숫자가 아님"))))</f>
        <v/>
      </c>
      <c r="E14" s="27" t="str">
        <f aca="false">IF(작품목록!A12="","",작품목록!A12)</f>
        <v>V-01</v>
      </c>
      <c r="F14" s="27" t="str">
        <f aca="false">IF(E14="","",작품목록!B12&amp;"")</f>
        <v>바이브</v>
      </c>
      <c r="G14" s="28" t="str">
        <f aca="false">IF(E14="","",작품목록!G12&amp;"")</f>
        <v>각도 탐정 게임</v>
      </c>
      <c r="H14" s="27" t="n">
        <f aca="false">IF(E14="","",IF(F14="상상","-",SUMIF($A$6:$A$105,E14,$B$6:$B$105)))</f>
        <v>60</v>
      </c>
      <c r="I14" s="21"/>
      <c r="J14" s="34" t="n">
        <f aca="false">IF(E14="","",IF(F14="상상",N(I14),N(H14)))</f>
        <v>60</v>
      </c>
      <c r="K14" s="27" t="n">
        <f aca="false">IF(E14="","",COUNTIFS($F$6:$F$105,F14,$J$6:$J$105,"&gt;"&amp;J14)+1)</f>
        <v>1</v>
      </c>
    </row>
    <row r="15" customFormat="false" ht="15" hidden="false" customHeight="false" outlineLevel="0" collapsed="false">
      <c r="A15" s="21" t="s">
        <v>120</v>
      </c>
      <c r="B15" s="21" t="n">
        <v>31</v>
      </c>
      <c r="C15" s="33" t="str">
        <f aca="false">IF(A15="","",IF(COUNTIF($A$6:$A$105,A15)&gt;1,"번호 중복(한 번만 남기세요)",IF(COUNTIF(작품목록!$A$4:$A$103,A15)=0,"작품목록에 없는 번호",IF(ISNUMBER(B15),"","좋아요 수가 숫자가 아님"))))</f>
        <v/>
      </c>
      <c r="E15" s="27" t="str">
        <f aca="false">IF(작품목록!A13="","",작품목록!A13)</f>
        <v>V-02</v>
      </c>
      <c r="F15" s="27" t="str">
        <f aca="false">IF(E15="","",작품목록!B13&amp;"")</f>
        <v>바이브</v>
      </c>
      <c r="G15" s="28" t="str">
        <f aca="false">IF(E15="","",작품목록!G13&amp;"")</f>
        <v>우리나라 시·도 퀴즈</v>
      </c>
      <c r="H15" s="27" t="n">
        <f aca="false">IF(E15="","",IF(F15="상상","-",SUMIF($A$6:$A$105,E15,$B$6:$B$105)))</f>
        <v>42</v>
      </c>
      <c r="I15" s="21"/>
      <c r="J15" s="34" t="n">
        <f aca="false">IF(E15="","",IF(F15="상상",N(I15),N(H15)))</f>
        <v>42</v>
      </c>
      <c r="K15" s="27" t="n">
        <f aca="false">IF(E15="","",COUNTIFS($F$6:$F$105,F15,$J$6:$J$105,"&gt;"&amp;J15)+1)</f>
        <v>3</v>
      </c>
    </row>
    <row r="16" customFormat="false" ht="15" hidden="false" customHeight="false" outlineLevel="0" collapsed="false">
      <c r="A16" s="21" t="s">
        <v>138</v>
      </c>
      <c r="B16" s="21" t="n">
        <v>27</v>
      </c>
      <c r="C16" s="33" t="str">
        <f aca="false">IF(A16="","",IF(COUNTIF($A$6:$A$105,A16)&gt;1,"번호 중복(한 번만 남기세요)",IF(COUNTIF(작품목록!$A$4:$A$103,A16)=0,"작품목록에 없는 번호",IF(ISNUMBER(B16),"","좋아요 수가 숫자가 아님"))))</f>
        <v/>
      </c>
      <c r="E16" s="27" t="str">
        <f aca="false">IF(작품목록!A14="","",작품목록!A14)</f>
        <v>V-03</v>
      </c>
      <c r="F16" s="27" t="str">
        <f aca="false">IF(E16="","",작품목록!B14&amp;"")</f>
        <v>바이브</v>
      </c>
      <c r="G16" s="28" t="str">
        <f aca="false">IF(E16="","",작품목록!G14&amp;"")</f>
        <v>지시약 색깔 실험실</v>
      </c>
      <c r="H16" s="27" t="n">
        <f aca="false">IF(E16="","",IF(F16="상상","-",SUMIF($A$6:$A$105,E16,$B$6:$B$105)))</f>
        <v>31</v>
      </c>
      <c r="I16" s="21"/>
      <c r="J16" s="34" t="n">
        <f aca="false">IF(E16="","",IF(F16="상상",N(I16),N(H16)))</f>
        <v>31</v>
      </c>
      <c r="K16" s="27" t="n">
        <f aca="false">IF(E16="","",COUNTIFS($F$6:$F$105,F16,$J$6:$J$105,"&gt;"&amp;J16)+1)</f>
        <v>5</v>
      </c>
    </row>
    <row r="17" customFormat="false" ht="15" hidden="false" customHeight="false" outlineLevel="0" collapsed="false">
      <c r="A17" s="21" t="s">
        <v>71</v>
      </c>
      <c r="B17" s="21" t="n">
        <v>23</v>
      </c>
      <c r="C17" s="33" t="str">
        <f aca="false">IF(A17="","",IF(COUNTIF($A$6:$A$105,A17)&gt;1,"번호 중복(한 번만 남기세요)",IF(COUNTIF(작품목록!$A$4:$A$103,A17)=0,"작품목록에 없는 번호",IF(ISNUMBER(B17),"","좋아요 수가 숫자가 아님"))))</f>
        <v/>
      </c>
      <c r="E17" s="27" t="str">
        <f aca="false">IF(작품목록!A15="","",작품목록!A15)</f>
        <v>V-04</v>
      </c>
      <c r="F17" s="27" t="str">
        <f aca="false">IF(E17="","",작품목록!B15&amp;"")</f>
        <v>바이브</v>
      </c>
      <c r="G17" s="28" t="str">
        <f aca="false">IF(E17="","",작품목록!G15&amp;"")</f>
        <v>중심 문장 찾기 놀이</v>
      </c>
      <c r="H17" s="27" t="n">
        <f aca="false">IF(E17="","",IF(F17="상상","-",SUMIF($A$6:$A$105,E17,$B$6:$B$105)))</f>
        <v>18</v>
      </c>
      <c r="I17" s="21"/>
      <c r="J17" s="34" t="n">
        <f aca="false">IF(E17="","",IF(F17="상상",N(I17),N(H17)))</f>
        <v>18</v>
      </c>
      <c r="K17" s="27" t="n">
        <f aca="false">IF(E17="","",COUNTIFS($F$6:$F$105,F17,$J$6:$J$105,"&gt;"&amp;J17)+1)</f>
        <v>7</v>
      </c>
    </row>
    <row r="18" customFormat="false" ht="15" hidden="false" customHeight="false" outlineLevel="0" collapsed="false">
      <c r="A18" s="21" t="s">
        <v>96</v>
      </c>
      <c r="B18" s="21" t="n">
        <v>19</v>
      </c>
      <c r="C18" s="33" t="str">
        <f aca="false">IF(A18="","",IF(COUNTIF($A$6:$A$105,A18)&gt;1,"번호 중복(한 번만 남기세요)",IF(COUNTIF(작품목록!$A$4:$A$103,A18)=0,"작품목록에 없는 번호",IF(ISNUMBER(B18),"","좋아요 수가 숫자가 아님"))))</f>
        <v/>
      </c>
      <c r="E18" s="27" t="str">
        <f aca="false">IF(작품목록!A16="","",작품목록!A16)</f>
        <v>V-05</v>
      </c>
      <c r="F18" s="27" t="str">
        <f aca="false">IF(E18="","",작품목록!B16&amp;"")</f>
        <v>바이브</v>
      </c>
      <c r="G18" s="28" t="str">
        <f aca="false">IF(E18="","",작품목록!G16&amp;"")</f>
        <v>영어 시장 놀이</v>
      </c>
      <c r="H18" s="27" t="n">
        <f aca="false">IF(E18="","",IF(F18="상상","-",SUMIF($A$6:$A$105,E18,$B$6:$B$105)))</f>
        <v>37</v>
      </c>
      <c r="I18" s="21"/>
      <c r="J18" s="34" t="n">
        <f aca="false">IF(E18="","",IF(F18="상상",N(I18),N(H18)))</f>
        <v>37</v>
      </c>
      <c r="K18" s="27" t="n">
        <f aca="false">IF(E18="","",COUNTIFS($F$6:$F$105,F18,$J$6:$J$105,"&gt;"&amp;J18)+1)</f>
        <v>4</v>
      </c>
    </row>
    <row r="19" customFormat="false" ht="15" hidden="false" customHeight="false" outlineLevel="0" collapsed="false">
      <c r="A19" s="21" t="s">
        <v>126</v>
      </c>
      <c r="B19" s="21" t="n">
        <v>18</v>
      </c>
      <c r="C19" s="33" t="str">
        <f aca="false">IF(A19="","",IF(COUNTIF($A$6:$A$105,A19)&gt;1,"번호 중복(한 번만 남기세요)",IF(COUNTIF(작품목록!$A$4:$A$103,A19)=0,"작품목록에 없는 번호",IF(ISNUMBER(B19),"","좋아요 수가 숫자가 아님"))))</f>
        <v/>
      </c>
      <c r="E19" s="27" t="str">
        <f aca="false">IF(작품목록!A17="","",작품목록!A17)</f>
        <v>V-06</v>
      </c>
      <c r="F19" s="27" t="str">
        <f aca="false">IF(E19="","",작품목록!B17&amp;"")</f>
        <v>바이브</v>
      </c>
      <c r="G19" s="28" t="str">
        <f aca="false">IF(E19="","",작품목록!G17&amp;"")</f>
        <v>얼음·물·수증기 변신 퀴즈</v>
      </c>
      <c r="H19" s="27" t="n">
        <f aca="false">IF(E19="","",IF(F19="상상","-",SUMIF($A$6:$A$105,E19,$B$6:$B$105)))</f>
        <v>27</v>
      </c>
      <c r="I19" s="21"/>
      <c r="J19" s="34" t="n">
        <f aca="false">IF(E19="","",IF(F19="상상",N(I19),N(H19)))</f>
        <v>27</v>
      </c>
      <c r="K19" s="27" t="n">
        <f aca="false">IF(E19="","",COUNTIFS($F$6:$F$105,F19,$J$6:$J$105,"&gt;"&amp;J19)+1)</f>
        <v>6</v>
      </c>
    </row>
    <row r="20" customFormat="false" ht="15" hidden="false" customHeight="false" outlineLevel="0" collapsed="false">
      <c r="A20" s="21" t="s">
        <v>84</v>
      </c>
      <c r="B20" s="21" t="n">
        <v>15</v>
      </c>
      <c r="C20" s="33" t="str">
        <f aca="false">IF(A20="","",IF(COUNTIF($A$6:$A$105,A20)&gt;1,"번호 중복(한 번만 남기세요)",IF(COUNTIF(작품목록!$A$4:$A$103,A20)=0,"작품목록에 없는 번호",IF(ISNUMBER(B20),"","좋아요 수가 숫자가 아님"))))</f>
        <v/>
      </c>
      <c r="E20" s="27" t="str">
        <f aca="false">IF(작품목록!A18="","",작품목록!A18)</f>
        <v>V-07</v>
      </c>
      <c r="F20" s="27" t="str">
        <f aca="false">IF(E20="","",작품목록!B18&amp;"")</f>
        <v>바이브</v>
      </c>
      <c r="G20" s="28" t="str">
        <f aca="false">IF(E20="","",작품목록!G18&amp;"")</f>
        <v>비율 요리사</v>
      </c>
      <c r="H20" s="27" t="n">
        <f aca="false">IF(E20="","",IF(F20="상상","-",SUMIF($A$6:$A$105,E20,$B$6:$B$105)))</f>
        <v>45</v>
      </c>
      <c r="I20" s="21"/>
      <c r="J20" s="34" t="n">
        <f aca="false">IF(E20="","",IF(F20="상상",N(I20),N(H20)))</f>
        <v>45</v>
      </c>
      <c r="K20" s="27" t="n">
        <f aca="false">IF(E20="","",COUNTIFS($F$6:$F$105,F20,$J$6:$J$105,"&gt;"&amp;J20)+1)</f>
        <v>2</v>
      </c>
    </row>
    <row r="21" customFormat="false" ht="15" hidden="false" customHeight="false" outlineLevel="0" collapsed="false">
      <c r="A21" s="21" t="s">
        <v>150</v>
      </c>
      <c r="B21" s="21" t="n">
        <v>12</v>
      </c>
      <c r="C21" s="33" t="str">
        <f aca="false">IF(A21="","",IF(COUNTIF($A$6:$A$105,A21)&gt;1,"번호 중복(한 번만 남기세요)",IF(COUNTIF(작품목록!$A$4:$A$103,A21)=0,"작품목록에 없는 번호",IF(ISNUMBER(B21),"","좋아요 수가 숫자가 아님"))))</f>
        <v/>
      </c>
      <c r="E21" s="27" t="str">
        <f aca="false">IF(작품목록!A19="","",작품목록!A19)</f>
        <v>V-08</v>
      </c>
      <c r="F21" s="27" t="str">
        <f aca="false">IF(E21="","",작품목록!B19&amp;"")</f>
        <v>바이브</v>
      </c>
      <c r="G21" s="28" t="str">
        <f aca="false">IF(E21="","",작품목록!G19&amp;"")</f>
        <v>고장 지도 기호 카드</v>
      </c>
      <c r="H21" s="27" t="n">
        <f aca="false">IF(E21="","",IF(F21="상상","-",SUMIF($A$6:$A$105,E21,$B$6:$B$105)))</f>
        <v>12</v>
      </c>
      <c r="I21" s="21"/>
      <c r="J21" s="34" t="n">
        <f aca="false">IF(E21="","",IF(F21="상상",N(I21),N(H21)))</f>
        <v>12</v>
      </c>
      <c r="K21" s="27" t="n">
        <f aca="false">IF(E21="","",COUNTIFS($F$6:$F$105,F21,$J$6:$J$105,"&gt;"&amp;J21)+1)</f>
        <v>8</v>
      </c>
    </row>
    <row r="22" customFormat="false" ht="15" hidden="false" customHeight="false" outlineLevel="0" collapsed="false">
      <c r="A22" s="21"/>
      <c r="B22" s="21"/>
      <c r="C22" s="33" t="str">
        <f aca="false">IF(A22="","",IF(COUNTIF($A$6:$A$105,A22)&gt;1,"번호 중복(한 번만 남기세요)",IF(COUNTIF(작품목록!$A$4:$A$103,A22)=0,"작품목록에 없는 번호",IF(ISNUMBER(B22),"","좋아요 수가 숫자가 아님"))))</f>
        <v/>
      </c>
      <c r="E22" s="27" t="str">
        <f aca="false">IF(작품목록!A20="","",작품목록!A20)</f>
        <v>S-01</v>
      </c>
      <c r="F22" s="27" t="str">
        <f aca="false">IF(E22="","",작품목록!B20&amp;"")</f>
        <v>상상</v>
      </c>
      <c r="G22" s="28" t="str">
        <f aca="false">IF(E22="","",작품목록!G20&amp;"")</f>
        <v>받침 친구 로봇 '받침이'</v>
      </c>
      <c r="H22" s="27" t="str">
        <f aca="false">IF(E22="","",IF(F22="상상","-",SUMIF($A$6:$A$105,E22,$B$6:$B$105)))</f>
        <v>-</v>
      </c>
      <c r="I22" s="21" t="n">
        <v>38</v>
      </c>
      <c r="J22" s="34" t="n">
        <f aca="false">IF(E22="","",IF(F22="상상",N(I22),N(H22)))</f>
        <v>38</v>
      </c>
      <c r="K22" s="27" t="n">
        <f aca="false">IF(E22="","",COUNTIFS($F$6:$F$105,F22,$J$6:$J$105,"&gt;"&amp;J22)+1)</f>
        <v>1</v>
      </c>
    </row>
    <row r="23" customFormat="false" ht="15" hidden="false" customHeight="false" outlineLevel="0" collapsed="false">
      <c r="A23" s="21"/>
      <c r="B23" s="21"/>
      <c r="C23" s="33" t="str">
        <f aca="false">IF(A23="","",IF(COUNTIF($A$6:$A$105,A23)&gt;1,"번호 중복(한 번만 남기세요)",IF(COUNTIF(작품목록!$A$4:$A$103,A23)=0,"작품목록에 없는 번호",IF(ISNUMBER(B23),"","좋아요 수가 숫자가 아님"))))</f>
        <v/>
      </c>
      <c r="E23" s="27" t="str">
        <f aca="false">IF(작품목록!A21="","",작품목록!A21)</f>
        <v>S-02</v>
      </c>
      <c r="F23" s="27" t="str">
        <f aca="false">IF(E23="","",작품목록!B21&amp;"")</f>
        <v>상상</v>
      </c>
      <c r="G23" s="28" t="str">
        <f aca="false">IF(E23="","",작품목록!G21&amp;"")</f>
        <v>덧셈 요정 '더하리'</v>
      </c>
      <c r="H23" s="27" t="str">
        <f aca="false">IF(E23="","",IF(F23="상상","-",SUMIF($A$6:$A$105,E23,$B$6:$B$105)))</f>
        <v>-</v>
      </c>
      <c r="I23" s="21" t="n">
        <v>27</v>
      </c>
      <c r="J23" s="34" t="n">
        <f aca="false">IF(E23="","",IF(F23="상상",N(I23),N(H23)))</f>
        <v>27</v>
      </c>
      <c r="K23" s="27" t="n">
        <f aca="false">IF(E23="","",COUNTIFS($F$6:$F$105,F23,$J$6:$J$105,"&gt;"&amp;J23)+1)</f>
        <v>3</v>
      </c>
    </row>
    <row r="24" customFormat="false" ht="15" hidden="false" customHeight="false" outlineLevel="0" collapsed="false">
      <c r="A24" s="21"/>
      <c r="B24" s="21"/>
      <c r="C24" s="33" t="str">
        <f aca="false">IF(A24="","",IF(COUNTIF($A$6:$A$105,A24)&gt;1,"번호 중복(한 번만 남기세요)",IF(COUNTIF(작품목록!$A$4:$A$103,A24)=0,"작품목록에 없는 번호",IF(ISNUMBER(B24),"","좋아요 수가 숫자가 아님"))))</f>
        <v/>
      </c>
      <c r="E24" s="27" t="str">
        <f aca="false">IF(작품목록!A22="","",작품목록!A22)</f>
        <v>S-03</v>
      </c>
      <c r="F24" s="27" t="str">
        <f aca="false">IF(E24="","",작품목록!B22&amp;"")</f>
        <v>상상</v>
      </c>
      <c r="G24" s="28" t="str">
        <f aca="false">IF(E24="","",작품목록!G22&amp;"")</f>
        <v>낙엽 이름 알려 주는 다람쥐 AI</v>
      </c>
      <c r="H24" s="27" t="str">
        <f aca="false">IF(E24="","",IF(F24="상상","-",SUMIF($A$6:$A$105,E24,$B$6:$B$105)))</f>
        <v>-</v>
      </c>
      <c r="I24" s="21" t="n">
        <v>19</v>
      </c>
      <c r="J24" s="34" t="n">
        <f aca="false">IF(E24="","",IF(F24="상상",N(I24),N(H24)))</f>
        <v>19</v>
      </c>
      <c r="K24" s="27" t="n">
        <f aca="false">IF(E24="","",COUNTIFS($F$6:$F$105,F24,$J$6:$J$105,"&gt;"&amp;J24)+1)</f>
        <v>6</v>
      </c>
    </row>
    <row r="25" customFormat="false" ht="15" hidden="false" customHeight="false" outlineLevel="0" collapsed="false">
      <c r="A25" s="21"/>
      <c r="B25" s="21"/>
      <c r="C25" s="33" t="str">
        <f aca="false">IF(A25="","",IF(COUNTIF($A$6:$A$105,A25)&gt;1,"번호 중복(한 번만 남기세요)",IF(COUNTIF(작품목록!$A$4:$A$103,A25)=0,"작품목록에 없는 번호",IF(ISNUMBER(B25),"","좋아요 수가 숫자가 아님"))))</f>
        <v/>
      </c>
      <c r="E25" s="27" t="str">
        <f aca="false">IF(작품목록!A23="","",작품목록!A23)</f>
        <v>S-04</v>
      </c>
      <c r="F25" s="27" t="str">
        <f aca="false">IF(E25="","",작품목록!B23&amp;"")</f>
        <v>상상</v>
      </c>
      <c r="G25" s="28" t="str">
        <f aca="false">IF(E25="","",작품목록!G23&amp;"")</f>
        <v>자음 모음 블록 친구</v>
      </c>
      <c r="H25" s="27" t="str">
        <f aca="false">IF(E25="","",IF(F25="상상","-",SUMIF($A$6:$A$105,E25,$B$6:$B$105)))</f>
        <v>-</v>
      </c>
      <c r="I25" s="21" t="n">
        <v>22</v>
      </c>
      <c r="J25" s="34" t="n">
        <f aca="false">IF(E25="","",IF(F25="상상",N(I25),N(H25)))</f>
        <v>22</v>
      </c>
      <c r="K25" s="27" t="n">
        <f aca="false">IF(E25="","",COUNTIFS($F$6:$F$105,F25,$J$6:$J$105,"&gt;"&amp;J25)+1)</f>
        <v>5</v>
      </c>
    </row>
    <row r="26" customFormat="false" ht="15" hidden="false" customHeight="false" outlineLevel="0" collapsed="false">
      <c r="A26" s="21"/>
      <c r="B26" s="21"/>
      <c r="C26" s="33" t="str">
        <f aca="false">IF(A26="","",IF(COUNTIF($A$6:$A$105,A26)&gt;1,"번호 중복(한 번만 남기세요)",IF(COUNTIF(작품목록!$A$4:$A$103,A26)=0,"작품목록에 없는 번호",IF(ISNUMBER(B26),"","좋아요 수가 숫자가 아님"))))</f>
        <v/>
      </c>
      <c r="E26" s="27" t="str">
        <f aca="false">IF(작품목록!A24="","",작품목록!A24)</f>
        <v>S-05</v>
      </c>
      <c r="F26" s="27" t="str">
        <f aca="false">IF(E26="","",작품목록!B24&amp;"")</f>
        <v>상상</v>
      </c>
      <c r="G26" s="28" t="str">
        <f aca="false">IF(E26="","",작품목록!G24&amp;"")</f>
        <v>시계 읽어 주는 부엉이</v>
      </c>
      <c r="H26" s="27" t="str">
        <f aca="false">IF(E26="","",IF(F26="상상","-",SUMIF($A$6:$A$105,E26,$B$6:$B$105)))</f>
        <v>-</v>
      </c>
      <c r="I26" s="21" t="n">
        <v>31</v>
      </c>
      <c r="J26" s="34" t="n">
        <f aca="false">IF(E26="","",IF(F26="상상",N(I26),N(H26)))</f>
        <v>31</v>
      </c>
      <c r="K26" s="27" t="n">
        <f aca="false">IF(E26="","",COUNTIFS($F$6:$F$105,F26,$J$6:$J$105,"&gt;"&amp;J26)+1)</f>
        <v>2</v>
      </c>
    </row>
    <row r="27" customFormat="false" ht="15" hidden="false" customHeight="false" outlineLevel="0" collapsed="false">
      <c r="A27" s="21"/>
      <c r="B27" s="21"/>
      <c r="C27" s="33" t="str">
        <f aca="false">IF(A27="","",IF(COUNTIF($A$6:$A$105,A27)&gt;1,"번호 중복(한 번만 남기세요)",IF(COUNTIF(작품목록!$A$4:$A$103,A27)=0,"작품목록에 없는 번호",IF(ISNUMBER(B27),"","좋아요 수가 숫자가 아님"))))</f>
        <v/>
      </c>
      <c r="E27" s="27" t="str">
        <f aca="false">IF(작품목록!A25="","",작품목록!A25)</f>
        <v>S-06</v>
      </c>
      <c r="F27" s="27" t="str">
        <f aca="false">IF(E27="","",작품목록!B25&amp;"")</f>
        <v>상상</v>
      </c>
      <c r="G27" s="28" t="str">
        <f aca="false">IF(E27="","",작품목록!G25&amp;"")</f>
        <v>학교 길 안내 로봇 '길동이'</v>
      </c>
      <c r="H27" s="27" t="str">
        <f aca="false">IF(E27="","",IF(F27="상상","-",SUMIF($A$6:$A$105,E27,$B$6:$B$105)))</f>
        <v>-</v>
      </c>
      <c r="I27" s="21" t="n">
        <v>15</v>
      </c>
      <c r="J27" s="34" t="n">
        <f aca="false">IF(E27="","",IF(F27="상상",N(I27),N(H27)))</f>
        <v>15</v>
      </c>
      <c r="K27" s="27" t="n">
        <f aca="false">IF(E27="","",COUNTIFS($F$6:$F$105,F27,$J$6:$J$105,"&gt;"&amp;J27)+1)</f>
        <v>7</v>
      </c>
    </row>
    <row r="28" customFormat="false" ht="15" hidden="false" customHeight="false" outlineLevel="0" collapsed="false">
      <c r="A28" s="21"/>
      <c r="B28" s="21"/>
      <c r="C28" s="33" t="str">
        <f aca="false">IF(A28="","",IF(COUNTIF($A$6:$A$105,A28)&gt;1,"번호 중복(한 번만 남기세요)",IF(COUNTIF(작품목록!$A$4:$A$103,A28)=0,"작품목록에 없는 번호",IF(ISNUMBER(B28),"","좋아요 수가 숫자가 아님"))))</f>
        <v/>
      </c>
      <c r="E28" s="27" t="str">
        <f aca="false">IF(작품목록!A26="","",작품목록!A26)</f>
        <v>S-07</v>
      </c>
      <c r="F28" s="27" t="str">
        <f aca="false">IF(E28="","",작품목록!B26&amp;"")</f>
        <v>상상</v>
      </c>
      <c r="G28" s="28" t="str">
        <f aca="false">IF(E28="","",작품목록!G26&amp;"")</f>
        <v>구구단 노래 상자</v>
      </c>
      <c r="H28" s="27" t="str">
        <f aca="false">IF(E28="","",IF(F28="상상","-",SUMIF($A$6:$A$105,E28,$B$6:$B$105)))</f>
        <v>-</v>
      </c>
      <c r="I28" s="21" t="n">
        <v>24</v>
      </c>
      <c r="J28" s="34" t="n">
        <f aca="false">IF(E28="","",IF(F28="상상",N(I28),N(H28)))</f>
        <v>24</v>
      </c>
      <c r="K28" s="27" t="n">
        <f aca="false">IF(E28="","",COUNTIFS($F$6:$F$105,F28,$J$6:$J$105,"&gt;"&amp;J28)+1)</f>
        <v>4</v>
      </c>
    </row>
    <row r="29" customFormat="false" ht="15" hidden="false" customHeight="false" outlineLevel="0" collapsed="false">
      <c r="A29" s="21"/>
      <c r="B29" s="21"/>
      <c r="C29" s="33" t="str">
        <f aca="false">IF(A29="","",IF(COUNTIF($A$6:$A$105,A29)&gt;1,"번호 중복(한 번만 남기세요)",IF(COUNTIF(작품목록!$A$4:$A$103,A29)=0,"작품목록에 없는 번호",IF(ISNUMBER(B29),"","좋아요 수가 숫자가 아님"))))</f>
        <v/>
      </c>
      <c r="E29" s="27" t="str">
        <f aca="false">IF(작품목록!A27="","",작품목록!A27)</f>
        <v>S-08</v>
      </c>
      <c r="F29" s="27" t="str">
        <f aca="false">IF(E29="","",작품목록!B27&amp;"")</f>
        <v>상상</v>
      </c>
      <c r="G29" s="28" t="str">
        <f aca="false">IF(E29="","",작품목록!G27&amp;"")</f>
        <v>또박또박 읽기 마이크</v>
      </c>
      <c r="H29" s="27" t="str">
        <f aca="false">IF(E29="","",IF(F29="상상","-",SUMIF($A$6:$A$105,E29,$B$6:$B$105)))</f>
        <v>-</v>
      </c>
      <c r="I29" s="21" t="n">
        <v>12</v>
      </c>
      <c r="J29" s="34" t="n">
        <f aca="false">IF(E29="","",IF(F29="상상",N(I29),N(H29)))</f>
        <v>12</v>
      </c>
      <c r="K29" s="27" t="n">
        <f aca="false">IF(E29="","",COUNTIFS($F$6:$F$105,F29,$J$6:$J$105,"&gt;"&amp;J29)+1)</f>
        <v>8</v>
      </c>
    </row>
    <row r="30" customFormat="false" ht="15" hidden="false" customHeight="false" outlineLevel="0" collapsed="false">
      <c r="A30" s="21"/>
      <c r="B30" s="21"/>
      <c r="C30" s="33" t="str">
        <f aca="false">IF(A30="","",IF(COUNTIF($A$6:$A$105,A30)&gt;1,"번호 중복(한 번만 남기세요)",IF(COUNTIF(작품목록!$A$4:$A$103,A30)=0,"작품목록에 없는 번호",IF(ISNUMBER(B30),"","좋아요 수가 숫자가 아님"))))</f>
        <v/>
      </c>
      <c r="E30" s="27" t="str">
        <f aca="false">IF(작품목록!A28="","",작품목록!A28)</f>
        <v/>
      </c>
      <c r="F30" s="27" t="str">
        <f aca="false">IF(E30="","",작품목록!B28&amp;"")</f>
        <v/>
      </c>
      <c r="G30" s="28" t="str">
        <f aca="false">IF(E30="","",작품목록!G28&amp;"")</f>
        <v/>
      </c>
      <c r="H30" s="27" t="str">
        <f aca="false">IF(E30="","",IF(F30="상상","-",SUMIF($A$6:$A$105,E30,$B$6:$B$105)))</f>
        <v/>
      </c>
      <c r="I30" s="21"/>
      <c r="J30" s="34" t="str">
        <f aca="false">IF(E30="","",IF(F30="상상",N(I30),N(H30)))</f>
        <v/>
      </c>
      <c r="K30" s="27" t="str">
        <f aca="false">IF(E30="","",COUNTIFS($F$6:$F$105,F30,$J$6:$J$105,"&gt;"&amp;J30)+1)</f>
        <v/>
      </c>
    </row>
    <row r="31" customFormat="false" ht="15" hidden="false" customHeight="false" outlineLevel="0" collapsed="false">
      <c r="A31" s="21"/>
      <c r="B31" s="21"/>
      <c r="C31" s="33" t="str">
        <f aca="false">IF(A31="","",IF(COUNTIF($A$6:$A$105,A31)&gt;1,"번호 중복(한 번만 남기세요)",IF(COUNTIF(작품목록!$A$4:$A$103,A31)=0,"작품목록에 없는 번호",IF(ISNUMBER(B31),"","좋아요 수가 숫자가 아님"))))</f>
        <v/>
      </c>
      <c r="E31" s="27" t="str">
        <f aca="false">IF(작품목록!A29="","",작품목록!A29)</f>
        <v/>
      </c>
      <c r="F31" s="27" t="str">
        <f aca="false">IF(E31="","",작품목록!B29&amp;"")</f>
        <v/>
      </c>
      <c r="G31" s="28" t="str">
        <f aca="false">IF(E31="","",작품목록!G29&amp;"")</f>
        <v/>
      </c>
      <c r="H31" s="27" t="str">
        <f aca="false">IF(E31="","",IF(F31="상상","-",SUMIF($A$6:$A$105,E31,$B$6:$B$105)))</f>
        <v/>
      </c>
      <c r="I31" s="21"/>
      <c r="J31" s="34" t="str">
        <f aca="false">IF(E31="","",IF(F31="상상",N(I31),N(H31)))</f>
        <v/>
      </c>
      <c r="K31" s="27" t="str">
        <f aca="false">IF(E31="","",COUNTIFS($F$6:$F$105,F31,$J$6:$J$105,"&gt;"&amp;J31)+1)</f>
        <v/>
      </c>
    </row>
    <row r="32" customFormat="false" ht="15" hidden="false" customHeight="false" outlineLevel="0" collapsed="false">
      <c r="A32" s="21"/>
      <c r="B32" s="21"/>
      <c r="C32" s="33" t="str">
        <f aca="false">IF(A32="","",IF(COUNTIF($A$6:$A$105,A32)&gt;1,"번호 중복(한 번만 남기세요)",IF(COUNTIF(작품목록!$A$4:$A$103,A32)=0,"작품목록에 없는 번호",IF(ISNUMBER(B32),"","좋아요 수가 숫자가 아님"))))</f>
        <v/>
      </c>
      <c r="E32" s="27" t="str">
        <f aca="false">IF(작품목록!A30="","",작품목록!A30)</f>
        <v/>
      </c>
      <c r="F32" s="27" t="str">
        <f aca="false">IF(E32="","",작품목록!B30&amp;"")</f>
        <v/>
      </c>
      <c r="G32" s="28" t="str">
        <f aca="false">IF(E32="","",작품목록!G30&amp;"")</f>
        <v/>
      </c>
      <c r="H32" s="27" t="str">
        <f aca="false">IF(E32="","",IF(F32="상상","-",SUMIF($A$6:$A$105,E32,$B$6:$B$105)))</f>
        <v/>
      </c>
      <c r="I32" s="21"/>
      <c r="J32" s="34" t="str">
        <f aca="false">IF(E32="","",IF(F32="상상",N(I32),N(H32)))</f>
        <v/>
      </c>
      <c r="K32" s="27" t="str">
        <f aca="false">IF(E32="","",COUNTIFS($F$6:$F$105,F32,$J$6:$J$105,"&gt;"&amp;J32)+1)</f>
        <v/>
      </c>
    </row>
    <row r="33" customFormat="false" ht="15" hidden="false" customHeight="false" outlineLevel="0" collapsed="false">
      <c r="A33" s="21"/>
      <c r="B33" s="21"/>
      <c r="C33" s="33" t="str">
        <f aca="false">IF(A33="","",IF(COUNTIF($A$6:$A$105,A33)&gt;1,"번호 중복(한 번만 남기세요)",IF(COUNTIF(작품목록!$A$4:$A$103,A33)=0,"작품목록에 없는 번호",IF(ISNUMBER(B33),"","좋아요 수가 숫자가 아님"))))</f>
        <v/>
      </c>
      <c r="E33" s="27" t="str">
        <f aca="false">IF(작품목록!A31="","",작품목록!A31)</f>
        <v/>
      </c>
      <c r="F33" s="27" t="str">
        <f aca="false">IF(E33="","",작품목록!B31&amp;"")</f>
        <v/>
      </c>
      <c r="G33" s="28" t="str">
        <f aca="false">IF(E33="","",작품목록!G31&amp;"")</f>
        <v/>
      </c>
      <c r="H33" s="27" t="str">
        <f aca="false">IF(E33="","",IF(F33="상상","-",SUMIF($A$6:$A$105,E33,$B$6:$B$105)))</f>
        <v/>
      </c>
      <c r="I33" s="21"/>
      <c r="J33" s="34" t="str">
        <f aca="false">IF(E33="","",IF(F33="상상",N(I33),N(H33)))</f>
        <v/>
      </c>
      <c r="K33" s="27" t="str">
        <f aca="false">IF(E33="","",COUNTIFS($F$6:$F$105,F33,$J$6:$J$105,"&gt;"&amp;J33)+1)</f>
        <v/>
      </c>
    </row>
    <row r="34" customFormat="false" ht="15" hidden="false" customHeight="false" outlineLevel="0" collapsed="false">
      <c r="A34" s="21"/>
      <c r="B34" s="21"/>
      <c r="C34" s="33" t="str">
        <f aca="false">IF(A34="","",IF(COUNTIF($A$6:$A$105,A34)&gt;1,"번호 중복(한 번만 남기세요)",IF(COUNTIF(작품목록!$A$4:$A$103,A34)=0,"작품목록에 없는 번호",IF(ISNUMBER(B34),"","좋아요 수가 숫자가 아님"))))</f>
        <v/>
      </c>
      <c r="E34" s="27" t="str">
        <f aca="false">IF(작품목록!A32="","",작품목록!A32)</f>
        <v/>
      </c>
      <c r="F34" s="27" t="str">
        <f aca="false">IF(E34="","",작품목록!B32&amp;"")</f>
        <v/>
      </c>
      <c r="G34" s="28" t="str">
        <f aca="false">IF(E34="","",작품목록!G32&amp;"")</f>
        <v/>
      </c>
      <c r="H34" s="27" t="str">
        <f aca="false">IF(E34="","",IF(F34="상상","-",SUMIF($A$6:$A$105,E34,$B$6:$B$105)))</f>
        <v/>
      </c>
      <c r="I34" s="21"/>
      <c r="J34" s="34" t="str">
        <f aca="false">IF(E34="","",IF(F34="상상",N(I34),N(H34)))</f>
        <v/>
      </c>
      <c r="K34" s="27" t="str">
        <f aca="false">IF(E34="","",COUNTIFS($F$6:$F$105,F34,$J$6:$J$105,"&gt;"&amp;J34)+1)</f>
        <v/>
      </c>
    </row>
    <row r="35" customFormat="false" ht="15" hidden="false" customHeight="false" outlineLevel="0" collapsed="false">
      <c r="A35" s="21"/>
      <c r="B35" s="21"/>
      <c r="C35" s="33" t="str">
        <f aca="false">IF(A35="","",IF(COUNTIF($A$6:$A$105,A35)&gt;1,"번호 중복(한 번만 남기세요)",IF(COUNTIF(작품목록!$A$4:$A$103,A35)=0,"작품목록에 없는 번호",IF(ISNUMBER(B35),"","좋아요 수가 숫자가 아님"))))</f>
        <v/>
      </c>
      <c r="E35" s="27" t="str">
        <f aca="false">IF(작품목록!A33="","",작품목록!A33)</f>
        <v/>
      </c>
      <c r="F35" s="27" t="str">
        <f aca="false">IF(E35="","",작품목록!B33&amp;"")</f>
        <v/>
      </c>
      <c r="G35" s="28" t="str">
        <f aca="false">IF(E35="","",작품목록!G33&amp;"")</f>
        <v/>
      </c>
      <c r="H35" s="27" t="str">
        <f aca="false">IF(E35="","",IF(F35="상상","-",SUMIF($A$6:$A$105,E35,$B$6:$B$105)))</f>
        <v/>
      </c>
      <c r="I35" s="21"/>
      <c r="J35" s="34" t="str">
        <f aca="false">IF(E35="","",IF(F35="상상",N(I35),N(H35)))</f>
        <v/>
      </c>
      <c r="K35" s="27" t="str">
        <f aca="false">IF(E35="","",COUNTIFS($F$6:$F$105,F35,$J$6:$J$105,"&gt;"&amp;J35)+1)</f>
        <v/>
      </c>
    </row>
    <row r="36" customFormat="false" ht="15" hidden="false" customHeight="false" outlineLevel="0" collapsed="false">
      <c r="A36" s="21"/>
      <c r="B36" s="21"/>
      <c r="C36" s="33" t="str">
        <f aca="false">IF(A36="","",IF(COUNTIF($A$6:$A$105,A36)&gt;1,"번호 중복(한 번만 남기세요)",IF(COUNTIF(작품목록!$A$4:$A$103,A36)=0,"작품목록에 없는 번호",IF(ISNUMBER(B36),"","좋아요 수가 숫자가 아님"))))</f>
        <v/>
      </c>
      <c r="E36" s="27" t="str">
        <f aca="false">IF(작품목록!A34="","",작품목록!A34)</f>
        <v/>
      </c>
      <c r="F36" s="27" t="str">
        <f aca="false">IF(E36="","",작품목록!B34&amp;"")</f>
        <v/>
      </c>
      <c r="G36" s="28" t="str">
        <f aca="false">IF(E36="","",작품목록!G34&amp;"")</f>
        <v/>
      </c>
      <c r="H36" s="27" t="str">
        <f aca="false">IF(E36="","",IF(F36="상상","-",SUMIF($A$6:$A$105,E36,$B$6:$B$105)))</f>
        <v/>
      </c>
      <c r="I36" s="21"/>
      <c r="J36" s="34" t="str">
        <f aca="false">IF(E36="","",IF(F36="상상",N(I36),N(H36)))</f>
        <v/>
      </c>
      <c r="K36" s="27" t="str">
        <f aca="false">IF(E36="","",COUNTIFS($F$6:$F$105,F36,$J$6:$J$105,"&gt;"&amp;J36)+1)</f>
        <v/>
      </c>
    </row>
    <row r="37" customFormat="false" ht="15" hidden="false" customHeight="false" outlineLevel="0" collapsed="false">
      <c r="A37" s="21"/>
      <c r="B37" s="21"/>
      <c r="C37" s="33" t="str">
        <f aca="false">IF(A37="","",IF(COUNTIF($A$6:$A$105,A37)&gt;1,"번호 중복(한 번만 남기세요)",IF(COUNTIF(작품목록!$A$4:$A$103,A37)=0,"작품목록에 없는 번호",IF(ISNUMBER(B37),"","좋아요 수가 숫자가 아님"))))</f>
        <v/>
      </c>
      <c r="E37" s="27" t="str">
        <f aca="false">IF(작품목록!A35="","",작품목록!A35)</f>
        <v/>
      </c>
      <c r="F37" s="27" t="str">
        <f aca="false">IF(E37="","",작품목록!B35&amp;"")</f>
        <v/>
      </c>
      <c r="G37" s="28" t="str">
        <f aca="false">IF(E37="","",작품목록!G35&amp;"")</f>
        <v/>
      </c>
      <c r="H37" s="27" t="str">
        <f aca="false">IF(E37="","",IF(F37="상상","-",SUMIF($A$6:$A$105,E37,$B$6:$B$105)))</f>
        <v/>
      </c>
      <c r="I37" s="21"/>
      <c r="J37" s="34" t="str">
        <f aca="false">IF(E37="","",IF(F37="상상",N(I37),N(H37)))</f>
        <v/>
      </c>
      <c r="K37" s="27" t="str">
        <f aca="false">IF(E37="","",COUNTIFS($F$6:$F$105,F37,$J$6:$J$105,"&gt;"&amp;J37)+1)</f>
        <v/>
      </c>
    </row>
    <row r="38" customFormat="false" ht="15" hidden="false" customHeight="false" outlineLevel="0" collapsed="false">
      <c r="A38" s="21"/>
      <c r="B38" s="21"/>
      <c r="C38" s="33" t="str">
        <f aca="false">IF(A38="","",IF(COUNTIF($A$6:$A$105,A38)&gt;1,"번호 중복(한 번만 남기세요)",IF(COUNTIF(작품목록!$A$4:$A$103,A38)=0,"작품목록에 없는 번호",IF(ISNUMBER(B38),"","좋아요 수가 숫자가 아님"))))</f>
        <v/>
      </c>
      <c r="E38" s="27" t="str">
        <f aca="false">IF(작품목록!A36="","",작품목록!A36)</f>
        <v/>
      </c>
      <c r="F38" s="27" t="str">
        <f aca="false">IF(E38="","",작품목록!B36&amp;"")</f>
        <v/>
      </c>
      <c r="G38" s="28" t="str">
        <f aca="false">IF(E38="","",작품목록!G36&amp;"")</f>
        <v/>
      </c>
      <c r="H38" s="27" t="str">
        <f aca="false">IF(E38="","",IF(F38="상상","-",SUMIF($A$6:$A$105,E38,$B$6:$B$105)))</f>
        <v/>
      </c>
      <c r="I38" s="21"/>
      <c r="J38" s="34" t="str">
        <f aca="false">IF(E38="","",IF(F38="상상",N(I38),N(H38)))</f>
        <v/>
      </c>
      <c r="K38" s="27" t="str">
        <f aca="false">IF(E38="","",COUNTIFS($F$6:$F$105,F38,$J$6:$J$105,"&gt;"&amp;J38)+1)</f>
        <v/>
      </c>
    </row>
    <row r="39" customFormat="false" ht="15" hidden="false" customHeight="false" outlineLevel="0" collapsed="false">
      <c r="A39" s="21"/>
      <c r="B39" s="21"/>
      <c r="C39" s="33" t="str">
        <f aca="false">IF(A39="","",IF(COUNTIF($A$6:$A$105,A39)&gt;1,"번호 중복(한 번만 남기세요)",IF(COUNTIF(작품목록!$A$4:$A$103,A39)=0,"작품목록에 없는 번호",IF(ISNUMBER(B39),"","좋아요 수가 숫자가 아님"))))</f>
        <v/>
      </c>
      <c r="E39" s="27" t="str">
        <f aca="false">IF(작품목록!A37="","",작품목록!A37)</f>
        <v/>
      </c>
      <c r="F39" s="27" t="str">
        <f aca="false">IF(E39="","",작품목록!B37&amp;"")</f>
        <v/>
      </c>
      <c r="G39" s="28" t="str">
        <f aca="false">IF(E39="","",작품목록!G37&amp;"")</f>
        <v/>
      </c>
      <c r="H39" s="27" t="str">
        <f aca="false">IF(E39="","",IF(F39="상상","-",SUMIF($A$6:$A$105,E39,$B$6:$B$105)))</f>
        <v/>
      </c>
      <c r="I39" s="21"/>
      <c r="J39" s="34" t="str">
        <f aca="false">IF(E39="","",IF(F39="상상",N(I39),N(H39)))</f>
        <v/>
      </c>
      <c r="K39" s="27" t="str">
        <f aca="false">IF(E39="","",COUNTIFS($F$6:$F$105,F39,$J$6:$J$105,"&gt;"&amp;J39)+1)</f>
        <v/>
      </c>
    </row>
    <row r="40" customFormat="false" ht="15" hidden="false" customHeight="false" outlineLevel="0" collapsed="false">
      <c r="A40" s="21"/>
      <c r="B40" s="21"/>
      <c r="C40" s="33" t="str">
        <f aca="false">IF(A40="","",IF(COUNTIF($A$6:$A$105,A40)&gt;1,"번호 중복(한 번만 남기세요)",IF(COUNTIF(작품목록!$A$4:$A$103,A40)=0,"작품목록에 없는 번호",IF(ISNUMBER(B40),"","좋아요 수가 숫자가 아님"))))</f>
        <v/>
      </c>
      <c r="E40" s="27" t="str">
        <f aca="false">IF(작품목록!A38="","",작품목록!A38)</f>
        <v/>
      </c>
      <c r="F40" s="27" t="str">
        <f aca="false">IF(E40="","",작품목록!B38&amp;"")</f>
        <v/>
      </c>
      <c r="G40" s="28" t="str">
        <f aca="false">IF(E40="","",작품목록!G38&amp;"")</f>
        <v/>
      </c>
      <c r="H40" s="27" t="str">
        <f aca="false">IF(E40="","",IF(F40="상상","-",SUMIF($A$6:$A$105,E40,$B$6:$B$105)))</f>
        <v/>
      </c>
      <c r="I40" s="21"/>
      <c r="J40" s="34" t="str">
        <f aca="false">IF(E40="","",IF(F40="상상",N(I40),N(H40)))</f>
        <v/>
      </c>
      <c r="K40" s="27" t="str">
        <f aca="false">IF(E40="","",COUNTIFS($F$6:$F$105,F40,$J$6:$J$105,"&gt;"&amp;J40)+1)</f>
        <v/>
      </c>
    </row>
    <row r="41" customFormat="false" ht="15" hidden="false" customHeight="false" outlineLevel="0" collapsed="false">
      <c r="A41" s="21"/>
      <c r="B41" s="21"/>
      <c r="C41" s="33" t="str">
        <f aca="false">IF(A41="","",IF(COUNTIF($A$6:$A$105,A41)&gt;1,"번호 중복(한 번만 남기세요)",IF(COUNTIF(작품목록!$A$4:$A$103,A41)=0,"작품목록에 없는 번호",IF(ISNUMBER(B41),"","좋아요 수가 숫자가 아님"))))</f>
        <v/>
      </c>
      <c r="E41" s="27" t="str">
        <f aca="false">IF(작품목록!A39="","",작품목록!A39)</f>
        <v/>
      </c>
      <c r="F41" s="27" t="str">
        <f aca="false">IF(E41="","",작품목록!B39&amp;"")</f>
        <v/>
      </c>
      <c r="G41" s="28" t="str">
        <f aca="false">IF(E41="","",작품목록!G39&amp;"")</f>
        <v/>
      </c>
      <c r="H41" s="27" t="str">
        <f aca="false">IF(E41="","",IF(F41="상상","-",SUMIF($A$6:$A$105,E41,$B$6:$B$105)))</f>
        <v/>
      </c>
      <c r="I41" s="21"/>
      <c r="J41" s="34" t="str">
        <f aca="false">IF(E41="","",IF(F41="상상",N(I41),N(H41)))</f>
        <v/>
      </c>
      <c r="K41" s="27" t="str">
        <f aca="false">IF(E41="","",COUNTIFS($F$6:$F$105,F41,$J$6:$J$105,"&gt;"&amp;J41)+1)</f>
        <v/>
      </c>
    </row>
    <row r="42" customFormat="false" ht="15" hidden="false" customHeight="false" outlineLevel="0" collapsed="false">
      <c r="A42" s="21"/>
      <c r="B42" s="21"/>
      <c r="C42" s="33" t="str">
        <f aca="false">IF(A42="","",IF(COUNTIF($A$6:$A$105,A42)&gt;1,"번호 중복(한 번만 남기세요)",IF(COUNTIF(작품목록!$A$4:$A$103,A42)=0,"작품목록에 없는 번호",IF(ISNUMBER(B42),"","좋아요 수가 숫자가 아님"))))</f>
        <v/>
      </c>
      <c r="E42" s="27" t="str">
        <f aca="false">IF(작품목록!A40="","",작품목록!A40)</f>
        <v/>
      </c>
      <c r="F42" s="27" t="str">
        <f aca="false">IF(E42="","",작품목록!B40&amp;"")</f>
        <v/>
      </c>
      <c r="G42" s="28" t="str">
        <f aca="false">IF(E42="","",작품목록!G40&amp;"")</f>
        <v/>
      </c>
      <c r="H42" s="27" t="str">
        <f aca="false">IF(E42="","",IF(F42="상상","-",SUMIF($A$6:$A$105,E42,$B$6:$B$105)))</f>
        <v/>
      </c>
      <c r="I42" s="21"/>
      <c r="J42" s="34" t="str">
        <f aca="false">IF(E42="","",IF(F42="상상",N(I42),N(H42)))</f>
        <v/>
      </c>
      <c r="K42" s="27" t="str">
        <f aca="false">IF(E42="","",COUNTIFS($F$6:$F$105,F42,$J$6:$J$105,"&gt;"&amp;J42)+1)</f>
        <v/>
      </c>
    </row>
    <row r="43" customFormat="false" ht="15" hidden="false" customHeight="false" outlineLevel="0" collapsed="false">
      <c r="A43" s="21"/>
      <c r="B43" s="21"/>
      <c r="C43" s="33" t="str">
        <f aca="false">IF(A43="","",IF(COUNTIF($A$6:$A$105,A43)&gt;1,"번호 중복(한 번만 남기세요)",IF(COUNTIF(작품목록!$A$4:$A$103,A43)=0,"작품목록에 없는 번호",IF(ISNUMBER(B43),"","좋아요 수가 숫자가 아님"))))</f>
        <v/>
      </c>
      <c r="E43" s="27" t="str">
        <f aca="false">IF(작품목록!A41="","",작품목록!A41)</f>
        <v/>
      </c>
      <c r="F43" s="27" t="str">
        <f aca="false">IF(E43="","",작품목록!B41&amp;"")</f>
        <v/>
      </c>
      <c r="G43" s="28" t="str">
        <f aca="false">IF(E43="","",작품목록!G41&amp;"")</f>
        <v/>
      </c>
      <c r="H43" s="27" t="str">
        <f aca="false">IF(E43="","",IF(F43="상상","-",SUMIF($A$6:$A$105,E43,$B$6:$B$105)))</f>
        <v/>
      </c>
      <c r="I43" s="21"/>
      <c r="J43" s="34" t="str">
        <f aca="false">IF(E43="","",IF(F43="상상",N(I43),N(H43)))</f>
        <v/>
      </c>
      <c r="K43" s="27" t="str">
        <f aca="false">IF(E43="","",COUNTIFS($F$6:$F$105,F43,$J$6:$J$105,"&gt;"&amp;J43)+1)</f>
        <v/>
      </c>
    </row>
    <row r="44" customFormat="false" ht="15" hidden="false" customHeight="false" outlineLevel="0" collapsed="false">
      <c r="A44" s="21"/>
      <c r="B44" s="21"/>
      <c r="C44" s="33" t="str">
        <f aca="false">IF(A44="","",IF(COUNTIF($A$6:$A$105,A44)&gt;1,"번호 중복(한 번만 남기세요)",IF(COUNTIF(작품목록!$A$4:$A$103,A44)=0,"작품목록에 없는 번호",IF(ISNUMBER(B44),"","좋아요 수가 숫자가 아님"))))</f>
        <v/>
      </c>
      <c r="E44" s="27" t="str">
        <f aca="false">IF(작품목록!A42="","",작품목록!A42)</f>
        <v/>
      </c>
      <c r="F44" s="27" t="str">
        <f aca="false">IF(E44="","",작품목록!B42&amp;"")</f>
        <v/>
      </c>
      <c r="G44" s="28" t="str">
        <f aca="false">IF(E44="","",작품목록!G42&amp;"")</f>
        <v/>
      </c>
      <c r="H44" s="27" t="str">
        <f aca="false">IF(E44="","",IF(F44="상상","-",SUMIF($A$6:$A$105,E44,$B$6:$B$105)))</f>
        <v/>
      </c>
      <c r="I44" s="21"/>
      <c r="J44" s="34" t="str">
        <f aca="false">IF(E44="","",IF(F44="상상",N(I44),N(H44)))</f>
        <v/>
      </c>
      <c r="K44" s="27" t="str">
        <f aca="false">IF(E44="","",COUNTIFS($F$6:$F$105,F44,$J$6:$J$105,"&gt;"&amp;J44)+1)</f>
        <v/>
      </c>
    </row>
    <row r="45" customFormat="false" ht="15" hidden="false" customHeight="false" outlineLevel="0" collapsed="false">
      <c r="A45" s="21"/>
      <c r="B45" s="21"/>
      <c r="C45" s="33" t="str">
        <f aca="false">IF(A45="","",IF(COUNTIF($A$6:$A$105,A45)&gt;1,"번호 중복(한 번만 남기세요)",IF(COUNTIF(작품목록!$A$4:$A$103,A45)=0,"작품목록에 없는 번호",IF(ISNUMBER(B45),"","좋아요 수가 숫자가 아님"))))</f>
        <v/>
      </c>
      <c r="E45" s="27" t="str">
        <f aca="false">IF(작품목록!A43="","",작품목록!A43)</f>
        <v/>
      </c>
      <c r="F45" s="27" t="str">
        <f aca="false">IF(E45="","",작품목록!B43&amp;"")</f>
        <v/>
      </c>
      <c r="G45" s="28" t="str">
        <f aca="false">IF(E45="","",작품목록!G43&amp;"")</f>
        <v/>
      </c>
      <c r="H45" s="27" t="str">
        <f aca="false">IF(E45="","",IF(F45="상상","-",SUMIF($A$6:$A$105,E45,$B$6:$B$105)))</f>
        <v/>
      </c>
      <c r="I45" s="21"/>
      <c r="J45" s="34" t="str">
        <f aca="false">IF(E45="","",IF(F45="상상",N(I45),N(H45)))</f>
        <v/>
      </c>
      <c r="K45" s="27" t="str">
        <f aca="false">IF(E45="","",COUNTIFS($F$6:$F$105,F45,$J$6:$J$105,"&gt;"&amp;J45)+1)</f>
        <v/>
      </c>
    </row>
    <row r="46" customFormat="false" ht="15" hidden="false" customHeight="false" outlineLevel="0" collapsed="false">
      <c r="A46" s="21"/>
      <c r="B46" s="21"/>
      <c r="C46" s="33" t="str">
        <f aca="false">IF(A46="","",IF(COUNTIF($A$6:$A$105,A46)&gt;1,"번호 중복(한 번만 남기세요)",IF(COUNTIF(작품목록!$A$4:$A$103,A46)=0,"작품목록에 없는 번호",IF(ISNUMBER(B46),"","좋아요 수가 숫자가 아님"))))</f>
        <v/>
      </c>
      <c r="E46" s="27" t="str">
        <f aca="false">IF(작품목록!A44="","",작품목록!A44)</f>
        <v/>
      </c>
      <c r="F46" s="27" t="str">
        <f aca="false">IF(E46="","",작품목록!B44&amp;"")</f>
        <v/>
      </c>
      <c r="G46" s="28" t="str">
        <f aca="false">IF(E46="","",작품목록!G44&amp;"")</f>
        <v/>
      </c>
      <c r="H46" s="27" t="str">
        <f aca="false">IF(E46="","",IF(F46="상상","-",SUMIF($A$6:$A$105,E46,$B$6:$B$105)))</f>
        <v/>
      </c>
      <c r="I46" s="21"/>
      <c r="J46" s="34" t="str">
        <f aca="false">IF(E46="","",IF(F46="상상",N(I46),N(H46)))</f>
        <v/>
      </c>
      <c r="K46" s="27" t="str">
        <f aca="false">IF(E46="","",COUNTIFS($F$6:$F$105,F46,$J$6:$J$105,"&gt;"&amp;J46)+1)</f>
        <v/>
      </c>
    </row>
    <row r="47" customFormat="false" ht="15" hidden="false" customHeight="false" outlineLevel="0" collapsed="false">
      <c r="A47" s="21"/>
      <c r="B47" s="21"/>
      <c r="C47" s="33" t="str">
        <f aca="false">IF(A47="","",IF(COUNTIF($A$6:$A$105,A47)&gt;1,"번호 중복(한 번만 남기세요)",IF(COUNTIF(작품목록!$A$4:$A$103,A47)=0,"작품목록에 없는 번호",IF(ISNUMBER(B47),"","좋아요 수가 숫자가 아님"))))</f>
        <v/>
      </c>
      <c r="E47" s="27" t="str">
        <f aca="false">IF(작품목록!A45="","",작품목록!A45)</f>
        <v/>
      </c>
      <c r="F47" s="27" t="str">
        <f aca="false">IF(E47="","",작품목록!B45&amp;"")</f>
        <v/>
      </c>
      <c r="G47" s="28" t="str">
        <f aca="false">IF(E47="","",작품목록!G45&amp;"")</f>
        <v/>
      </c>
      <c r="H47" s="27" t="str">
        <f aca="false">IF(E47="","",IF(F47="상상","-",SUMIF($A$6:$A$105,E47,$B$6:$B$105)))</f>
        <v/>
      </c>
      <c r="I47" s="21"/>
      <c r="J47" s="34" t="str">
        <f aca="false">IF(E47="","",IF(F47="상상",N(I47),N(H47)))</f>
        <v/>
      </c>
      <c r="K47" s="27" t="str">
        <f aca="false">IF(E47="","",COUNTIFS($F$6:$F$105,F47,$J$6:$J$105,"&gt;"&amp;J47)+1)</f>
        <v/>
      </c>
    </row>
    <row r="48" customFormat="false" ht="15" hidden="false" customHeight="false" outlineLevel="0" collapsed="false">
      <c r="A48" s="21"/>
      <c r="B48" s="21"/>
      <c r="C48" s="33" t="str">
        <f aca="false">IF(A48="","",IF(COUNTIF($A$6:$A$105,A48)&gt;1,"번호 중복(한 번만 남기세요)",IF(COUNTIF(작품목록!$A$4:$A$103,A48)=0,"작품목록에 없는 번호",IF(ISNUMBER(B48),"","좋아요 수가 숫자가 아님"))))</f>
        <v/>
      </c>
      <c r="E48" s="27" t="str">
        <f aca="false">IF(작품목록!A46="","",작품목록!A46)</f>
        <v/>
      </c>
      <c r="F48" s="27" t="str">
        <f aca="false">IF(E48="","",작품목록!B46&amp;"")</f>
        <v/>
      </c>
      <c r="G48" s="28" t="str">
        <f aca="false">IF(E48="","",작품목록!G46&amp;"")</f>
        <v/>
      </c>
      <c r="H48" s="27" t="str">
        <f aca="false">IF(E48="","",IF(F48="상상","-",SUMIF($A$6:$A$105,E48,$B$6:$B$105)))</f>
        <v/>
      </c>
      <c r="I48" s="21"/>
      <c r="J48" s="34" t="str">
        <f aca="false">IF(E48="","",IF(F48="상상",N(I48),N(H48)))</f>
        <v/>
      </c>
      <c r="K48" s="27" t="str">
        <f aca="false">IF(E48="","",COUNTIFS($F$6:$F$105,F48,$J$6:$J$105,"&gt;"&amp;J48)+1)</f>
        <v/>
      </c>
    </row>
    <row r="49" customFormat="false" ht="15" hidden="false" customHeight="false" outlineLevel="0" collapsed="false">
      <c r="A49" s="21"/>
      <c r="B49" s="21"/>
      <c r="C49" s="33" t="str">
        <f aca="false">IF(A49="","",IF(COUNTIF($A$6:$A$105,A49)&gt;1,"번호 중복(한 번만 남기세요)",IF(COUNTIF(작품목록!$A$4:$A$103,A49)=0,"작품목록에 없는 번호",IF(ISNUMBER(B49),"","좋아요 수가 숫자가 아님"))))</f>
        <v/>
      </c>
      <c r="E49" s="27" t="str">
        <f aca="false">IF(작품목록!A47="","",작품목록!A47)</f>
        <v/>
      </c>
      <c r="F49" s="27" t="str">
        <f aca="false">IF(E49="","",작품목록!B47&amp;"")</f>
        <v/>
      </c>
      <c r="G49" s="28" t="str">
        <f aca="false">IF(E49="","",작품목록!G47&amp;"")</f>
        <v/>
      </c>
      <c r="H49" s="27" t="str">
        <f aca="false">IF(E49="","",IF(F49="상상","-",SUMIF($A$6:$A$105,E49,$B$6:$B$105)))</f>
        <v/>
      </c>
      <c r="I49" s="21"/>
      <c r="J49" s="34" t="str">
        <f aca="false">IF(E49="","",IF(F49="상상",N(I49),N(H49)))</f>
        <v/>
      </c>
      <c r="K49" s="27" t="str">
        <f aca="false">IF(E49="","",COUNTIFS($F$6:$F$105,F49,$J$6:$J$105,"&gt;"&amp;J49)+1)</f>
        <v/>
      </c>
    </row>
    <row r="50" customFormat="false" ht="15" hidden="false" customHeight="false" outlineLevel="0" collapsed="false">
      <c r="A50" s="21"/>
      <c r="B50" s="21"/>
      <c r="C50" s="33" t="str">
        <f aca="false">IF(A50="","",IF(COUNTIF($A$6:$A$105,A50)&gt;1,"번호 중복(한 번만 남기세요)",IF(COUNTIF(작품목록!$A$4:$A$103,A50)=0,"작품목록에 없는 번호",IF(ISNUMBER(B50),"","좋아요 수가 숫자가 아님"))))</f>
        <v/>
      </c>
      <c r="E50" s="27" t="str">
        <f aca="false">IF(작품목록!A48="","",작품목록!A48)</f>
        <v/>
      </c>
      <c r="F50" s="27" t="str">
        <f aca="false">IF(E50="","",작품목록!B48&amp;"")</f>
        <v/>
      </c>
      <c r="G50" s="28" t="str">
        <f aca="false">IF(E50="","",작품목록!G48&amp;"")</f>
        <v/>
      </c>
      <c r="H50" s="27" t="str">
        <f aca="false">IF(E50="","",IF(F50="상상","-",SUMIF($A$6:$A$105,E50,$B$6:$B$105)))</f>
        <v/>
      </c>
      <c r="I50" s="21"/>
      <c r="J50" s="34" t="str">
        <f aca="false">IF(E50="","",IF(F50="상상",N(I50),N(H50)))</f>
        <v/>
      </c>
      <c r="K50" s="27" t="str">
        <f aca="false">IF(E50="","",COUNTIFS($F$6:$F$105,F50,$J$6:$J$105,"&gt;"&amp;J50)+1)</f>
        <v/>
      </c>
    </row>
    <row r="51" customFormat="false" ht="15" hidden="false" customHeight="false" outlineLevel="0" collapsed="false">
      <c r="A51" s="21"/>
      <c r="B51" s="21"/>
      <c r="C51" s="33" t="str">
        <f aca="false">IF(A51="","",IF(COUNTIF($A$6:$A$105,A51)&gt;1,"번호 중복(한 번만 남기세요)",IF(COUNTIF(작품목록!$A$4:$A$103,A51)=0,"작품목록에 없는 번호",IF(ISNUMBER(B51),"","좋아요 수가 숫자가 아님"))))</f>
        <v/>
      </c>
      <c r="E51" s="27" t="str">
        <f aca="false">IF(작품목록!A49="","",작품목록!A49)</f>
        <v/>
      </c>
      <c r="F51" s="27" t="str">
        <f aca="false">IF(E51="","",작품목록!B49&amp;"")</f>
        <v/>
      </c>
      <c r="G51" s="28" t="str">
        <f aca="false">IF(E51="","",작품목록!G49&amp;"")</f>
        <v/>
      </c>
      <c r="H51" s="27" t="str">
        <f aca="false">IF(E51="","",IF(F51="상상","-",SUMIF($A$6:$A$105,E51,$B$6:$B$105)))</f>
        <v/>
      </c>
      <c r="I51" s="21"/>
      <c r="J51" s="34" t="str">
        <f aca="false">IF(E51="","",IF(F51="상상",N(I51),N(H51)))</f>
        <v/>
      </c>
      <c r="K51" s="27" t="str">
        <f aca="false">IF(E51="","",COUNTIFS($F$6:$F$105,F51,$J$6:$J$105,"&gt;"&amp;J51)+1)</f>
        <v/>
      </c>
    </row>
    <row r="52" customFormat="false" ht="15" hidden="false" customHeight="false" outlineLevel="0" collapsed="false">
      <c r="A52" s="21"/>
      <c r="B52" s="21"/>
      <c r="C52" s="33" t="str">
        <f aca="false">IF(A52="","",IF(COUNTIF($A$6:$A$105,A52)&gt;1,"번호 중복(한 번만 남기세요)",IF(COUNTIF(작품목록!$A$4:$A$103,A52)=0,"작품목록에 없는 번호",IF(ISNUMBER(B52),"","좋아요 수가 숫자가 아님"))))</f>
        <v/>
      </c>
      <c r="E52" s="27" t="str">
        <f aca="false">IF(작품목록!A50="","",작품목록!A50)</f>
        <v/>
      </c>
      <c r="F52" s="27" t="str">
        <f aca="false">IF(E52="","",작품목록!B50&amp;"")</f>
        <v/>
      </c>
      <c r="G52" s="28" t="str">
        <f aca="false">IF(E52="","",작품목록!G50&amp;"")</f>
        <v/>
      </c>
      <c r="H52" s="27" t="str">
        <f aca="false">IF(E52="","",IF(F52="상상","-",SUMIF($A$6:$A$105,E52,$B$6:$B$105)))</f>
        <v/>
      </c>
      <c r="I52" s="21"/>
      <c r="J52" s="34" t="str">
        <f aca="false">IF(E52="","",IF(F52="상상",N(I52),N(H52)))</f>
        <v/>
      </c>
      <c r="K52" s="27" t="str">
        <f aca="false">IF(E52="","",COUNTIFS($F$6:$F$105,F52,$J$6:$J$105,"&gt;"&amp;J52)+1)</f>
        <v/>
      </c>
    </row>
    <row r="53" customFormat="false" ht="15" hidden="false" customHeight="false" outlineLevel="0" collapsed="false">
      <c r="A53" s="21"/>
      <c r="B53" s="21"/>
      <c r="C53" s="33" t="str">
        <f aca="false">IF(A53="","",IF(COUNTIF($A$6:$A$105,A53)&gt;1,"번호 중복(한 번만 남기세요)",IF(COUNTIF(작품목록!$A$4:$A$103,A53)=0,"작품목록에 없는 번호",IF(ISNUMBER(B53),"","좋아요 수가 숫자가 아님"))))</f>
        <v/>
      </c>
      <c r="E53" s="27" t="str">
        <f aca="false">IF(작품목록!A51="","",작품목록!A51)</f>
        <v/>
      </c>
      <c r="F53" s="27" t="str">
        <f aca="false">IF(E53="","",작품목록!B51&amp;"")</f>
        <v/>
      </c>
      <c r="G53" s="28" t="str">
        <f aca="false">IF(E53="","",작품목록!G51&amp;"")</f>
        <v/>
      </c>
      <c r="H53" s="27" t="str">
        <f aca="false">IF(E53="","",IF(F53="상상","-",SUMIF($A$6:$A$105,E53,$B$6:$B$105)))</f>
        <v/>
      </c>
      <c r="I53" s="21"/>
      <c r="J53" s="34" t="str">
        <f aca="false">IF(E53="","",IF(F53="상상",N(I53),N(H53)))</f>
        <v/>
      </c>
      <c r="K53" s="27" t="str">
        <f aca="false">IF(E53="","",COUNTIFS($F$6:$F$105,F53,$J$6:$J$105,"&gt;"&amp;J53)+1)</f>
        <v/>
      </c>
    </row>
    <row r="54" customFormat="false" ht="15" hidden="false" customHeight="false" outlineLevel="0" collapsed="false">
      <c r="A54" s="21"/>
      <c r="B54" s="21"/>
      <c r="C54" s="33" t="str">
        <f aca="false">IF(A54="","",IF(COUNTIF($A$6:$A$105,A54)&gt;1,"번호 중복(한 번만 남기세요)",IF(COUNTIF(작품목록!$A$4:$A$103,A54)=0,"작품목록에 없는 번호",IF(ISNUMBER(B54),"","좋아요 수가 숫자가 아님"))))</f>
        <v/>
      </c>
      <c r="E54" s="27" t="str">
        <f aca="false">IF(작품목록!A52="","",작품목록!A52)</f>
        <v/>
      </c>
      <c r="F54" s="27" t="str">
        <f aca="false">IF(E54="","",작품목록!B52&amp;"")</f>
        <v/>
      </c>
      <c r="G54" s="28" t="str">
        <f aca="false">IF(E54="","",작품목록!G52&amp;"")</f>
        <v/>
      </c>
      <c r="H54" s="27" t="str">
        <f aca="false">IF(E54="","",IF(F54="상상","-",SUMIF($A$6:$A$105,E54,$B$6:$B$105)))</f>
        <v/>
      </c>
      <c r="I54" s="21"/>
      <c r="J54" s="34" t="str">
        <f aca="false">IF(E54="","",IF(F54="상상",N(I54),N(H54)))</f>
        <v/>
      </c>
      <c r="K54" s="27" t="str">
        <f aca="false">IF(E54="","",COUNTIFS($F$6:$F$105,F54,$J$6:$J$105,"&gt;"&amp;J54)+1)</f>
        <v/>
      </c>
    </row>
    <row r="55" customFormat="false" ht="15" hidden="false" customHeight="false" outlineLevel="0" collapsed="false">
      <c r="A55" s="21"/>
      <c r="B55" s="21"/>
      <c r="C55" s="33" t="str">
        <f aca="false">IF(A55="","",IF(COUNTIF($A$6:$A$105,A55)&gt;1,"번호 중복(한 번만 남기세요)",IF(COUNTIF(작품목록!$A$4:$A$103,A55)=0,"작품목록에 없는 번호",IF(ISNUMBER(B55),"","좋아요 수가 숫자가 아님"))))</f>
        <v/>
      </c>
      <c r="E55" s="27" t="str">
        <f aca="false">IF(작품목록!A53="","",작품목록!A53)</f>
        <v/>
      </c>
      <c r="F55" s="27" t="str">
        <f aca="false">IF(E55="","",작품목록!B53&amp;"")</f>
        <v/>
      </c>
      <c r="G55" s="28" t="str">
        <f aca="false">IF(E55="","",작품목록!G53&amp;"")</f>
        <v/>
      </c>
      <c r="H55" s="27" t="str">
        <f aca="false">IF(E55="","",IF(F55="상상","-",SUMIF($A$6:$A$105,E55,$B$6:$B$105)))</f>
        <v/>
      </c>
      <c r="I55" s="21"/>
      <c r="J55" s="34" t="str">
        <f aca="false">IF(E55="","",IF(F55="상상",N(I55),N(H55)))</f>
        <v/>
      </c>
      <c r="K55" s="27" t="str">
        <f aca="false">IF(E55="","",COUNTIFS($F$6:$F$105,F55,$J$6:$J$105,"&gt;"&amp;J55)+1)</f>
        <v/>
      </c>
    </row>
    <row r="56" customFormat="false" ht="15" hidden="false" customHeight="false" outlineLevel="0" collapsed="false">
      <c r="A56" s="21"/>
      <c r="B56" s="21"/>
      <c r="C56" s="33" t="str">
        <f aca="false">IF(A56="","",IF(COUNTIF($A$6:$A$105,A56)&gt;1,"번호 중복(한 번만 남기세요)",IF(COUNTIF(작품목록!$A$4:$A$103,A56)=0,"작품목록에 없는 번호",IF(ISNUMBER(B56),"","좋아요 수가 숫자가 아님"))))</f>
        <v/>
      </c>
      <c r="E56" s="27" t="str">
        <f aca="false">IF(작품목록!A54="","",작품목록!A54)</f>
        <v/>
      </c>
      <c r="F56" s="27" t="str">
        <f aca="false">IF(E56="","",작품목록!B54&amp;"")</f>
        <v/>
      </c>
      <c r="G56" s="28" t="str">
        <f aca="false">IF(E56="","",작품목록!G54&amp;"")</f>
        <v/>
      </c>
      <c r="H56" s="27" t="str">
        <f aca="false">IF(E56="","",IF(F56="상상","-",SUMIF($A$6:$A$105,E56,$B$6:$B$105)))</f>
        <v/>
      </c>
      <c r="I56" s="21"/>
      <c r="J56" s="34" t="str">
        <f aca="false">IF(E56="","",IF(F56="상상",N(I56),N(H56)))</f>
        <v/>
      </c>
      <c r="K56" s="27" t="str">
        <f aca="false">IF(E56="","",COUNTIFS($F$6:$F$105,F56,$J$6:$J$105,"&gt;"&amp;J56)+1)</f>
        <v/>
      </c>
    </row>
    <row r="57" customFormat="false" ht="15" hidden="false" customHeight="false" outlineLevel="0" collapsed="false">
      <c r="A57" s="21"/>
      <c r="B57" s="21"/>
      <c r="C57" s="33" t="str">
        <f aca="false">IF(A57="","",IF(COUNTIF($A$6:$A$105,A57)&gt;1,"번호 중복(한 번만 남기세요)",IF(COUNTIF(작품목록!$A$4:$A$103,A57)=0,"작품목록에 없는 번호",IF(ISNUMBER(B57),"","좋아요 수가 숫자가 아님"))))</f>
        <v/>
      </c>
      <c r="E57" s="27" t="str">
        <f aca="false">IF(작품목록!A55="","",작품목록!A55)</f>
        <v/>
      </c>
      <c r="F57" s="27" t="str">
        <f aca="false">IF(E57="","",작품목록!B55&amp;"")</f>
        <v/>
      </c>
      <c r="G57" s="28" t="str">
        <f aca="false">IF(E57="","",작품목록!G55&amp;"")</f>
        <v/>
      </c>
      <c r="H57" s="27" t="str">
        <f aca="false">IF(E57="","",IF(F57="상상","-",SUMIF($A$6:$A$105,E57,$B$6:$B$105)))</f>
        <v/>
      </c>
      <c r="I57" s="21"/>
      <c r="J57" s="34" t="str">
        <f aca="false">IF(E57="","",IF(F57="상상",N(I57),N(H57)))</f>
        <v/>
      </c>
      <c r="K57" s="27" t="str">
        <f aca="false">IF(E57="","",COUNTIFS($F$6:$F$105,F57,$J$6:$J$105,"&gt;"&amp;J57)+1)</f>
        <v/>
      </c>
    </row>
    <row r="58" customFormat="false" ht="15" hidden="false" customHeight="false" outlineLevel="0" collapsed="false">
      <c r="A58" s="21"/>
      <c r="B58" s="21"/>
      <c r="C58" s="33" t="str">
        <f aca="false">IF(A58="","",IF(COUNTIF($A$6:$A$105,A58)&gt;1,"번호 중복(한 번만 남기세요)",IF(COUNTIF(작품목록!$A$4:$A$103,A58)=0,"작품목록에 없는 번호",IF(ISNUMBER(B58),"","좋아요 수가 숫자가 아님"))))</f>
        <v/>
      </c>
      <c r="E58" s="27" t="str">
        <f aca="false">IF(작품목록!A56="","",작품목록!A56)</f>
        <v/>
      </c>
      <c r="F58" s="27" t="str">
        <f aca="false">IF(E58="","",작품목록!B56&amp;"")</f>
        <v/>
      </c>
      <c r="G58" s="28" t="str">
        <f aca="false">IF(E58="","",작품목록!G56&amp;"")</f>
        <v/>
      </c>
      <c r="H58" s="27" t="str">
        <f aca="false">IF(E58="","",IF(F58="상상","-",SUMIF($A$6:$A$105,E58,$B$6:$B$105)))</f>
        <v/>
      </c>
      <c r="I58" s="21"/>
      <c r="J58" s="34" t="str">
        <f aca="false">IF(E58="","",IF(F58="상상",N(I58),N(H58)))</f>
        <v/>
      </c>
      <c r="K58" s="27" t="str">
        <f aca="false">IF(E58="","",COUNTIFS($F$6:$F$105,F58,$J$6:$J$105,"&gt;"&amp;J58)+1)</f>
        <v/>
      </c>
    </row>
    <row r="59" customFormat="false" ht="15" hidden="false" customHeight="false" outlineLevel="0" collapsed="false">
      <c r="A59" s="21"/>
      <c r="B59" s="21"/>
      <c r="C59" s="33" t="str">
        <f aca="false">IF(A59="","",IF(COUNTIF($A$6:$A$105,A59)&gt;1,"번호 중복(한 번만 남기세요)",IF(COUNTIF(작품목록!$A$4:$A$103,A59)=0,"작품목록에 없는 번호",IF(ISNUMBER(B59),"","좋아요 수가 숫자가 아님"))))</f>
        <v/>
      </c>
      <c r="E59" s="27" t="str">
        <f aca="false">IF(작품목록!A57="","",작품목록!A57)</f>
        <v/>
      </c>
      <c r="F59" s="27" t="str">
        <f aca="false">IF(E59="","",작품목록!B57&amp;"")</f>
        <v/>
      </c>
      <c r="G59" s="28" t="str">
        <f aca="false">IF(E59="","",작품목록!G57&amp;"")</f>
        <v/>
      </c>
      <c r="H59" s="27" t="str">
        <f aca="false">IF(E59="","",IF(F59="상상","-",SUMIF($A$6:$A$105,E59,$B$6:$B$105)))</f>
        <v/>
      </c>
      <c r="I59" s="21"/>
      <c r="J59" s="34" t="str">
        <f aca="false">IF(E59="","",IF(F59="상상",N(I59),N(H59)))</f>
        <v/>
      </c>
      <c r="K59" s="27" t="str">
        <f aca="false">IF(E59="","",COUNTIFS($F$6:$F$105,F59,$J$6:$J$105,"&gt;"&amp;J59)+1)</f>
        <v/>
      </c>
    </row>
    <row r="60" customFormat="false" ht="15" hidden="false" customHeight="false" outlineLevel="0" collapsed="false">
      <c r="A60" s="21"/>
      <c r="B60" s="21"/>
      <c r="C60" s="33" t="str">
        <f aca="false">IF(A60="","",IF(COUNTIF($A$6:$A$105,A60)&gt;1,"번호 중복(한 번만 남기세요)",IF(COUNTIF(작품목록!$A$4:$A$103,A60)=0,"작품목록에 없는 번호",IF(ISNUMBER(B60),"","좋아요 수가 숫자가 아님"))))</f>
        <v/>
      </c>
      <c r="E60" s="27" t="str">
        <f aca="false">IF(작품목록!A58="","",작품목록!A58)</f>
        <v/>
      </c>
      <c r="F60" s="27" t="str">
        <f aca="false">IF(E60="","",작품목록!B58&amp;"")</f>
        <v/>
      </c>
      <c r="G60" s="28" t="str">
        <f aca="false">IF(E60="","",작품목록!G58&amp;"")</f>
        <v/>
      </c>
      <c r="H60" s="27" t="str">
        <f aca="false">IF(E60="","",IF(F60="상상","-",SUMIF($A$6:$A$105,E60,$B$6:$B$105)))</f>
        <v/>
      </c>
      <c r="I60" s="21"/>
      <c r="J60" s="34" t="str">
        <f aca="false">IF(E60="","",IF(F60="상상",N(I60),N(H60)))</f>
        <v/>
      </c>
      <c r="K60" s="27" t="str">
        <f aca="false">IF(E60="","",COUNTIFS($F$6:$F$105,F60,$J$6:$J$105,"&gt;"&amp;J60)+1)</f>
        <v/>
      </c>
    </row>
    <row r="61" customFormat="false" ht="15" hidden="false" customHeight="false" outlineLevel="0" collapsed="false">
      <c r="A61" s="21"/>
      <c r="B61" s="21"/>
      <c r="C61" s="33" t="str">
        <f aca="false">IF(A61="","",IF(COUNTIF($A$6:$A$105,A61)&gt;1,"번호 중복(한 번만 남기세요)",IF(COUNTIF(작품목록!$A$4:$A$103,A61)=0,"작품목록에 없는 번호",IF(ISNUMBER(B61),"","좋아요 수가 숫자가 아님"))))</f>
        <v/>
      </c>
      <c r="E61" s="27" t="str">
        <f aca="false">IF(작품목록!A59="","",작품목록!A59)</f>
        <v/>
      </c>
      <c r="F61" s="27" t="str">
        <f aca="false">IF(E61="","",작품목록!B59&amp;"")</f>
        <v/>
      </c>
      <c r="G61" s="28" t="str">
        <f aca="false">IF(E61="","",작품목록!G59&amp;"")</f>
        <v/>
      </c>
      <c r="H61" s="27" t="str">
        <f aca="false">IF(E61="","",IF(F61="상상","-",SUMIF($A$6:$A$105,E61,$B$6:$B$105)))</f>
        <v/>
      </c>
      <c r="I61" s="21"/>
      <c r="J61" s="34" t="str">
        <f aca="false">IF(E61="","",IF(F61="상상",N(I61),N(H61)))</f>
        <v/>
      </c>
      <c r="K61" s="27" t="str">
        <f aca="false">IF(E61="","",COUNTIFS($F$6:$F$105,F61,$J$6:$J$105,"&gt;"&amp;J61)+1)</f>
        <v/>
      </c>
    </row>
    <row r="62" customFormat="false" ht="15" hidden="false" customHeight="false" outlineLevel="0" collapsed="false">
      <c r="A62" s="21"/>
      <c r="B62" s="21"/>
      <c r="C62" s="33" t="str">
        <f aca="false">IF(A62="","",IF(COUNTIF($A$6:$A$105,A62)&gt;1,"번호 중복(한 번만 남기세요)",IF(COUNTIF(작품목록!$A$4:$A$103,A62)=0,"작품목록에 없는 번호",IF(ISNUMBER(B62),"","좋아요 수가 숫자가 아님"))))</f>
        <v/>
      </c>
      <c r="E62" s="27" t="str">
        <f aca="false">IF(작품목록!A60="","",작품목록!A60)</f>
        <v/>
      </c>
      <c r="F62" s="27" t="str">
        <f aca="false">IF(E62="","",작품목록!B60&amp;"")</f>
        <v/>
      </c>
      <c r="G62" s="28" t="str">
        <f aca="false">IF(E62="","",작품목록!G60&amp;"")</f>
        <v/>
      </c>
      <c r="H62" s="27" t="str">
        <f aca="false">IF(E62="","",IF(F62="상상","-",SUMIF($A$6:$A$105,E62,$B$6:$B$105)))</f>
        <v/>
      </c>
      <c r="I62" s="21"/>
      <c r="J62" s="34" t="str">
        <f aca="false">IF(E62="","",IF(F62="상상",N(I62),N(H62)))</f>
        <v/>
      </c>
      <c r="K62" s="27" t="str">
        <f aca="false">IF(E62="","",COUNTIFS($F$6:$F$105,F62,$J$6:$J$105,"&gt;"&amp;J62)+1)</f>
        <v/>
      </c>
    </row>
    <row r="63" customFormat="false" ht="15" hidden="false" customHeight="false" outlineLevel="0" collapsed="false">
      <c r="A63" s="21"/>
      <c r="B63" s="21"/>
      <c r="C63" s="33" t="str">
        <f aca="false">IF(A63="","",IF(COUNTIF($A$6:$A$105,A63)&gt;1,"번호 중복(한 번만 남기세요)",IF(COUNTIF(작품목록!$A$4:$A$103,A63)=0,"작품목록에 없는 번호",IF(ISNUMBER(B63),"","좋아요 수가 숫자가 아님"))))</f>
        <v/>
      </c>
      <c r="E63" s="27" t="str">
        <f aca="false">IF(작품목록!A61="","",작품목록!A61)</f>
        <v/>
      </c>
      <c r="F63" s="27" t="str">
        <f aca="false">IF(E63="","",작품목록!B61&amp;"")</f>
        <v/>
      </c>
      <c r="G63" s="28" t="str">
        <f aca="false">IF(E63="","",작품목록!G61&amp;"")</f>
        <v/>
      </c>
      <c r="H63" s="27" t="str">
        <f aca="false">IF(E63="","",IF(F63="상상","-",SUMIF($A$6:$A$105,E63,$B$6:$B$105)))</f>
        <v/>
      </c>
      <c r="I63" s="21"/>
      <c r="J63" s="34" t="str">
        <f aca="false">IF(E63="","",IF(F63="상상",N(I63),N(H63)))</f>
        <v/>
      </c>
      <c r="K63" s="27" t="str">
        <f aca="false">IF(E63="","",COUNTIFS($F$6:$F$105,F63,$J$6:$J$105,"&gt;"&amp;J63)+1)</f>
        <v/>
      </c>
    </row>
    <row r="64" customFormat="false" ht="15" hidden="false" customHeight="false" outlineLevel="0" collapsed="false">
      <c r="A64" s="21"/>
      <c r="B64" s="21"/>
      <c r="C64" s="33" t="str">
        <f aca="false">IF(A64="","",IF(COUNTIF($A$6:$A$105,A64)&gt;1,"번호 중복(한 번만 남기세요)",IF(COUNTIF(작품목록!$A$4:$A$103,A64)=0,"작품목록에 없는 번호",IF(ISNUMBER(B64),"","좋아요 수가 숫자가 아님"))))</f>
        <v/>
      </c>
      <c r="E64" s="27" t="str">
        <f aca="false">IF(작품목록!A62="","",작품목록!A62)</f>
        <v/>
      </c>
      <c r="F64" s="27" t="str">
        <f aca="false">IF(E64="","",작품목록!B62&amp;"")</f>
        <v/>
      </c>
      <c r="G64" s="28" t="str">
        <f aca="false">IF(E64="","",작품목록!G62&amp;"")</f>
        <v/>
      </c>
      <c r="H64" s="27" t="str">
        <f aca="false">IF(E64="","",IF(F64="상상","-",SUMIF($A$6:$A$105,E64,$B$6:$B$105)))</f>
        <v/>
      </c>
      <c r="I64" s="21"/>
      <c r="J64" s="34" t="str">
        <f aca="false">IF(E64="","",IF(F64="상상",N(I64),N(H64)))</f>
        <v/>
      </c>
      <c r="K64" s="27" t="str">
        <f aca="false">IF(E64="","",COUNTIFS($F$6:$F$105,F64,$J$6:$J$105,"&gt;"&amp;J64)+1)</f>
        <v/>
      </c>
    </row>
    <row r="65" customFormat="false" ht="15" hidden="false" customHeight="false" outlineLevel="0" collapsed="false">
      <c r="A65" s="21"/>
      <c r="B65" s="21"/>
      <c r="C65" s="33" t="str">
        <f aca="false">IF(A65="","",IF(COUNTIF($A$6:$A$105,A65)&gt;1,"번호 중복(한 번만 남기세요)",IF(COUNTIF(작품목록!$A$4:$A$103,A65)=0,"작품목록에 없는 번호",IF(ISNUMBER(B65),"","좋아요 수가 숫자가 아님"))))</f>
        <v/>
      </c>
      <c r="E65" s="27" t="str">
        <f aca="false">IF(작품목록!A63="","",작품목록!A63)</f>
        <v/>
      </c>
      <c r="F65" s="27" t="str">
        <f aca="false">IF(E65="","",작품목록!B63&amp;"")</f>
        <v/>
      </c>
      <c r="G65" s="28" t="str">
        <f aca="false">IF(E65="","",작품목록!G63&amp;"")</f>
        <v/>
      </c>
      <c r="H65" s="27" t="str">
        <f aca="false">IF(E65="","",IF(F65="상상","-",SUMIF($A$6:$A$105,E65,$B$6:$B$105)))</f>
        <v/>
      </c>
      <c r="I65" s="21"/>
      <c r="J65" s="34" t="str">
        <f aca="false">IF(E65="","",IF(F65="상상",N(I65),N(H65)))</f>
        <v/>
      </c>
      <c r="K65" s="27" t="str">
        <f aca="false">IF(E65="","",COUNTIFS($F$6:$F$105,F65,$J$6:$J$105,"&gt;"&amp;J65)+1)</f>
        <v/>
      </c>
    </row>
    <row r="66" customFormat="false" ht="15" hidden="false" customHeight="false" outlineLevel="0" collapsed="false">
      <c r="A66" s="21"/>
      <c r="B66" s="21"/>
      <c r="C66" s="33" t="str">
        <f aca="false">IF(A66="","",IF(COUNTIF($A$6:$A$105,A66)&gt;1,"번호 중복(한 번만 남기세요)",IF(COUNTIF(작품목록!$A$4:$A$103,A66)=0,"작품목록에 없는 번호",IF(ISNUMBER(B66),"","좋아요 수가 숫자가 아님"))))</f>
        <v/>
      </c>
      <c r="E66" s="27" t="str">
        <f aca="false">IF(작품목록!A64="","",작품목록!A64)</f>
        <v/>
      </c>
      <c r="F66" s="27" t="str">
        <f aca="false">IF(E66="","",작품목록!B64&amp;"")</f>
        <v/>
      </c>
      <c r="G66" s="28" t="str">
        <f aca="false">IF(E66="","",작품목록!G64&amp;"")</f>
        <v/>
      </c>
      <c r="H66" s="27" t="str">
        <f aca="false">IF(E66="","",IF(F66="상상","-",SUMIF($A$6:$A$105,E66,$B$6:$B$105)))</f>
        <v/>
      </c>
      <c r="I66" s="21"/>
      <c r="J66" s="34" t="str">
        <f aca="false">IF(E66="","",IF(F66="상상",N(I66),N(H66)))</f>
        <v/>
      </c>
      <c r="K66" s="27" t="str">
        <f aca="false">IF(E66="","",COUNTIFS($F$6:$F$105,F66,$J$6:$J$105,"&gt;"&amp;J66)+1)</f>
        <v/>
      </c>
    </row>
    <row r="67" customFormat="false" ht="15" hidden="false" customHeight="false" outlineLevel="0" collapsed="false">
      <c r="A67" s="21"/>
      <c r="B67" s="21"/>
      <c r="C67" s="33" t="str">
        <f aca="false">IF(A67="","",IF(COUNTIF($A$6:$A$105,A67)&gt;1,"번호 중복(한 번만 남기세요)",IF(COUNTIF(작품목록!$A$4:$A$103,A67)=0,"작품목록에 없는 번호",IF(ISNUMBER(B67),"","좋아요 수가 숫자가 아님"))))</f>
        <v/>
      </c>
      <c r="E67" s="27" t="str">
        <f aca="false">IF(작품목록!A65="","",작품목록!A65)</f>
        <v/>
      </c>
      <c r="F67" s="27" t="str">
        <f aca="false">IF(E67="","",작품목록!B65&amp;"")</f>
        <v/>
      </c>
      <c r="G67" s="28" t="str">
        <f aca="false">IF(E67="","",작품목록!G65&amp;"")</f>
        <v/>
      </c>
      <c r="H67" s="27" t="str">
        <f aca="false">IF(E67="","",IF(F67="상상","-",SUMIF($A$6:$A$105,E67,$B$6:$B$105)))</f>
        <v/>
      </c>
      <c r="I67" s="21"/>
      <c r="J67" s="34" t="str">
        <f aca="false">IF(E67="","",IF(F67="상상",N(I67),N(H67)))</f>
        <v/>
      </c>
      <c r="K67" s="27" t="str">
        <f aca="false">IF(E67="","",COUNTIFS($F$6:$F$105,F67,$J$6:$J$105,"&gt;"&amp;J67)+1)</f>
        <v/>
      </c>
    </row>
    <row r="68" customFormat="false" ht="15" hidden="false" customHeight="false" outlineLevel="0" collapsed="false">
      <c r="A68" s="21"/>
      <c r="B68" s="21"/>
      <c r="C68" s="33" t="str">
        <f aca="false">IF(A68="","",IF(COUNTIF($A$6:$A$105,A68)&gt;1,"번호 중복(한 번만 남기세요)",IF(COUNTIF(작품목록!$A$4:$A$103,A68)=0,"작품목록에 없는 번호",IF(ISNUMBER(B68),"","좋아요 수가 숫자가 아님"))))</f>
        <v/>
      </c>
      <c r="E68" s="27" t="str">
        <f aca="false">IF(작품목록!A66="","",작품목록!A66)</f>
        <v/>
      </c>
      <c r="F68" s="27" t="str">
        <f aca="false">IF(E68="","",작품목록!B66&amp;"")</f>
        <v/>
      </c>
      <c r="G68" s="28" t="str">
        <f aca="false">IF(E68="","",작품목록!G66&amp;"")</f>
        <v/>
      </c>
      <c r="H68" s="27" t="str">
        <f aca="false">IF(E68="","",IF(F68="상상","-",SUMIF($A$6:$A$105,E68,$B$6:$B$105)))</f>
        <v/>
      </c>
      <c r="I68" s="21"/>
      <c r="J68" s="34" t="str">
        <f aca="false">IF(E68="","",IF(F68="상상",N(I68),N(H68)))</f>
        <v/>
      </c>
      <c r="K68" s="27" t="str">
        <f aca="false">IF(E68="","",COUNTIFS($F$6:$F$105,F68,$J$6:$J$105,"&gt;"&amp;J68)+1)</f>
        <v/>
      </c>
    </row>
    <row r="69" customFormat="false" ht="15" hidden="false" customHeight="false" outlineLevel="0" collapsed="false">
      <c r="A69" s="21"/>
      <c r="B69" s="21"/>
      <c r="C69" s="33" t="str">
        <f aca="false">IF(A69="","",IF(COUNTIF($A$6:$A$105,A69)&gt;1,"번호 중복(한 번만 남기세요)",IF(COUNTIF(작품목록!$A$4:$A$103,A69)=0,"작품목록에 없는 번호",IF(ISNUMBER(B69),"","좋아요 수가 숫자가 아님"))))</f>
        <v/>
      </c>
      <c r="E69" s="27" t="str">
        <f aca="false">IF(작품목록!A67="","",작품목록!A67)</f>
        <v/>
      </c>
      <c r="F69" s="27" t="str">
        <f aca="false">IF(E69="","",작품목록!B67&amp;"")</f>
        <v/>
      </c>
      <c r="G69" s="28" t="str">
        <f aca="false">IF(E69="","",작품목록!G67&amp;"")</f>
        <v/>
      </c>
      <c r="H69" s="27" t="str">
        <f aca="false">IF(E69="","",IF(F69="상상","-",SUMIF($A$6:$A$105,E69,$B$6:$B$105)))</f>
        <v/>
      </c>
      <c r="I69" s="21"/>
      <c r="J69" s="34" t="str">
        <f aca="false">IF(E69="","",IF(F69="상상",N(I69),N(H69)))</f>
        <v/>
      </c>
      <c r="K69" s="27" t="str">
        <f aca="false">IF(E69="","",COUNTIFS($F$6:$F$105,F69,$J$6:$J$105,"&gt;"&amp;J69)+1)</f>
        <v/>
      </c>
    </row>
    <row r="70" customFormat="false" ht="15" hidden="false" customHeight="false" outlineLevel="0" collapsed="false">
      <c r="A70" s="21"/>
      <c r="B70" s="21"/>
      <c r="C70" s="33" t="str">
        <f aca="false">IF(A70="","",IF(COUNTIF($A$6:$A$105,A70)&gt;1,"번호 중복(한 번만 남기세요)",IF(COUNTIF(작품목록!$A$4:$A$103,A70)=0,"작품목록에 없는 번호",IF(ISNUMBER(B70),"","좋아요 수가 숫자가 아님"))))</f>
        <v/>
      </c>
      <c r="E70" s="27" t="str">
        <f aca="false">IF(작품목록!A68="","",작품목록!A68)</f>
        <v/>
      </c>
      <c r="F70" s="27" t="str">
        <f aca="false">IF(E70="","",작품목록!B68&amp;"")</f>
        <v/>
      </c>
      <c r="G70" s="28" t="str">
        <f aca="false">IF(E70="","",작품목록!G68&amp;"")</f>
        <v/>
      </c>
      <c r="H70" s="27" t="str">
        <f aca="false">IF(E70="","",IF(F70="상상","-",SUMIF($A$6:$A$105,E70,$B$6:$B$105)))</f>
        <v/>
      </c>
      <c r="I70" s="21"/>
      <c r="J70" s="34" t="str">
        <f aca="false">IF(E70="","",IF(F70="상상",N(I70),N(H70)))</f>
        <v/>
      </c>
      <c r="K70" s="27" t="str">
        <f aca="false">IF(E70="","",COUNTIFS($F$6:$F$105,F70,$J$6:$J$105,"&gt;"&amp;J70)+1)</f>
        <v/>
      </c>
    </row>
    <row r="71" customFormat="false" ht="15" hidden="false" customHeight="false" outlineLevel="0" collapsed="false">
      <c r="A71" s="21"/>
      <c r="B71" s="21"/>
      <c r="C71" s="33" t="str">
        <f aca="false">IF(A71="","",IF(COUNTIF($A$6:$A$105,A71)&gt;1,"번호 중복(한 번만 남기세요)",IF(COUNTIF(작품목록!$A$4:$A$103,A71)=0,"작품목록에 없는 번호",IF(ISNUMBER(B71),"","좋아요 수가 숫자가 아님"))))</f>
        <v/>
      </c>
      <c r="E71" s="27" t="str">
        <f aca="false">IF(작품목록!A69="","",작품목록!A69)</f>
        <v/>
      </c>
      <c r="F71" s="27" t="str">
        <f aca="false">IF(E71="","",작품목록!B69&amp;"")</f>
        <v/>
      </c>
      <c r="G71" s="28" t="str">
        <f aca="false">IF(E71="","",작품목록!G69&amp;"")</f>
        <v/>
      </c>
      <c r="H71" s="27" t="str">
        <f aca="false">IF(E71="","",IF(F71="상상","-",SUMIF($A$6:$A$105,E71,$B$6:$B$105)))</f>
        <v/>
      </c>
      <c r="I71" s="21"/>
      <c r="J71" s="34" t="str">
        <f aca="false">IF(E71="","",IF(F71="상상",N(I71),N(H71)))</f>
        <v/>
      </c>
      <c r="K71" s="27" t="str">
        <f aca="false">IF(E71="","",COUNTIFS($F$6:$F$105,F71,$J$6:$J$105,"&gt;"&amp;J71)+1)</f>
        <v/>
      </c>
    </row>
    <row r="72" customFormat="false" ht="15" hidden="false" customHeight="false" outlineLevel="0" collapsed="false">
      <c r="A72" s="21"/>
      <c r="B72" s="21"/>
      <c r="C72" s="33" t="str">
        <f aca="false">IF(A72="","",IF(COUNTIF($A$6:$A$105,A72)&gt;1,"번호 중복(한 번만 남기세요)",IF(COUNTIF(작품목록!$A$4:$A$103,A72)=0,"작품목록에 없는 번호",IF(ISNUMBER(B72),"","좋아요 수가 숫자가 아님"))))</f>
        <v/>
      </c>
      <c r="E72" s="27" t="str">
        <f aca="false">IF(작품목록!A70="","",작품목록!A70)</f>
        <v/>
      </c>
      <c r="F72" s="27" t="str">
        <f aca="false">IF(E72="","",작품목록!B70&amp;"")</f>
        <v/>
      </c>
      <c r="G72" s="28" t="str">
        <f aca="false">IF(E72="","",작품목록!G70&amp;"")</f>
        <v/>
      </c>
      <c r="H72" s="27" t="str">
        <f aca="false">IF(E72="","",IF(F72="상상","-",SUMIF($A$6:$A$105,E72,$B$6:$B$105)))</f>
        <v/>
      </c>
      <c r="I72" s="21"/>
      <c r="J72" s="34" t="str">
        <f aca="false">IF(E72="","",IF(F72="상상",N(I72),N(H72)))</f>
        <v/>
      </c>
      <c r="K72" s="27" t="str">
        <f aca="false">IF(E72="","",COUNTIFS($F$6:$F$105,F72,$J$6:$J$105,"&gt;"&amp;J72)+1)</f>
        <v/>
      </c>
    </row>
    <row r="73" customFormat="false" ht="15" hidden="false" customHeight="false" outlineLevel="0" collapsed="false">
      <c r="A73" s="21"/>
      <c r="B73" s="21"/>
      <c r="C73" s="33" t="str">
        <f aca="false">IF(A73="","",IF(COUNTIF($A$6:$A$105,A73)&gt;1,"번호 중복(한 번만 남기세요)",IF(COUNTIF(작품목록!$A$4:$A$103,A73)=0,"작품목록에 없는 번호",IF(ISNUMBER(B73),"","좋아요 수가 숫자가 아님"))))</f>
        <v/>
      </c>
      <c r="E73" s="27" t="str">
        <f aca="false">IF(작품목록!A71="","",작품목록!A71)</f>
        <v/>
      </c>
      <c r="F73" s="27" t="str">
        <f aca="false">IF(E73="","",작품목록!B71&amp;"")</f>
        <v/>
      </c>
      <c r="G73" s="28" t="str">
        <f aca="false">IF(E73="","",작품목록!G71&amp;"")</f>
        <v/>
      </c>
      <c r="H73" s="27" t="str">
        <f aca="false">IF(E73="","",IF(F73="상상","-",SUMIF($A$6:$A$105,E73,$B$6:$B$105)))</f>
        <v/>
      </c>
      <c r="I73" s="21"/>
      <c r="J73" s="34" t="str">
        <f aca="false">IF(E73="","",IF(F73="상상",N(I73),N(H73)))</f>
        <v/>
      </c>
      <c r="K73" s="27" t="str">
        <f aca="false">IF(E73="","",COUNTIFS($F$6:$F$105,F73,$J$6:$J$105,"&gt;"&amp;J73)+1)</f>
        <v/>
      </c>
    </row>
    <row r="74" customFormat="false" ht="15" hidden="false" customHeight="false" outlineLevel="0" collapsed="false">
      <c r="A74" s="21"/>
      <c r="B74" s="21"/>
      <c r="C74" s="33" t="str">
        <f aca="false">IF(A74="","",IF(COUNTIF($A$6:$A$105,A74)&gt;1,"번호 중복(한 번만 남기세요)",IF(COUNTIF(작품목록!$A$4:$A$103,A74)=0,"작품목록에 없는 번호",IF(ISNUMBER(B74),"","좋아요 수가 숫자가 아님"))))</f>
        <v/>
      </c>
      <c r="E74" s="27" t="str">
        <f aca="false">IF(작품목록!A72="","",작품목록!A72)</f>
        <v/>
      </c>
      <c r="F74" s="27" t="str">
        <f aca="false">IF(E74="","",작품목록!B72&amp;"")</f>
        <v/>
      </c>
      <c r="G74" s="28" t="str">
        <f aca="false">IF(E74="","",작품목록!G72&amp;"")</f>
        <v/>
      </c>
      <c r="H74" s="27" t="str">
        <f aca="false">IF(E74="","",IF(F74="상상","-",SUMIF($A$6:$A$105,E74,$B$6:$B$105)))</f>
        <v/>
      </c>
      <c r="I74" s="21"/>
      <c r="J74" s="34" t="str">
        <f aca="false">IF(E74="","",IF(F74="상상",N(I74),N(H74)))</f>
        <v/>
      </c>
      <c r="K74" s="27" t="str">
        <f aca="false">IF(E74="","",COUNTIFS($F$6:$F$105,F74,$J$6:$J$105,"&gt;"&amp;J74)+1)</f>
        <v/>
      </c>
    </row>
    <row r="75" customFormat="false" ht="15" hidden="false" customHeight="false" outlineLevel="0" collapsed="false">
      <c r="A75" s="21"/>
      <c r="B75" s="21"/>
      <c r="C75" s="33" t="str">
        <f aca="false">IF(A75="","",IF(COUNTIF($A$6:$A$105,A75)&gt;1,"번호 중복(한 번만 남기세요)",IF(COUNTIF(작품목록!$A$4:$A$103,A75)=0,"작품목록에 없는 번호",IF(ISNUMBER(B75),"","좋아요 수가 숫자가 아님"))))</f>
        <v/>
      </c>
      <c r="E75" s="27" t="str">
        <f aca="false">IF(작품목록!A73="","",작품목록!A73)</f>
        <v/>
      </c>
      <c r="F75" s="27" t="str">
        <f aca="false">IF(E75="","",작품목록!B73&amp;"")</f>
        <v/>
      </c>
      <c r="G75" s="28" t="str">
        <f aca="false">IF(E75="","",작품목록!G73&amp;"")</f>
        <v/>
      </c>
      <c r="H75" s="27" t="str">
        <f aca="false">IF(E75="","",IF(F75="상상","-",SUMIF($A$6:$A$105,E75,$B$6:$B$105)))</f>
        <v/>
      </c>
      <c r="I75" s="21"/>
      <c r="J75" s="34" t="str">
        <f aca="false">IF(E75="","",IF(F75="상상",N(I75),N(H75)))</f>
        <v/>
      </c>
      <c r="K75" s="27" t="str">
        <f aca="false">IF(E75="","",COUNTIFS($F$6:$F$105,F75,$J$6:$J$105,"&gt;"&amp;J75)+1)</f>
        <v/>
      </c>
    </row>
    <row r="76" customFormat="false" ht="15" hidden="false" customHeight="false" outlineLevel="0" collapsed="false">
      <c r="A76" s="21"/>
      <c r="B76" s="21"/>
      <c r="C76" s="33" t="str">
        <f aca="false">IF(A76="","",IF(COUNTIF($A$6:$A$105,A76)&gt;1,"번호 중복(한 번만 남기세요)",IF(COUNTIF(작품목록!$A$4:$A$103,A76)=0,"작품목록에 없는 번호",IF(ISNUMBER(B76),"","좋아요 수가 숫자가 아님"))))</f>
        <v/>
      </c>
      <c r="E76" s="27" t="str">
        <f aca="false">IF(작품목록!A74="","",작품목록!A74)</f>
        <v/>
      </c>
      <c r="F76" s="27" t="str">
        <f aca="false">IF(E76="","",작품목록!B74&amp;"")</f>
        <v/>
      </c>
      <c r="G76" s="28" t="str">
        <f aca="false">IF(E76="","",작품목록!G74&amp;"")</f>
        <v/>
      </c>
      <c r="H76" s="27" t="str">
        <f aca="false">IF(E76="","",IF(F76="상상","-",SUMIF($A$6:$A$105,E76,$B$6:$B$105)))</f>
        <v/>
      </c>
      <c r="I76" s="21"/>
      <c r="J76" s="34" t="str">
        <f aca="false">IF(E76="","",IF(F76="상상",N(I76),N(H76)))</f>
        <v/>
      </c>
      <c r="K76" s="27" t="str">
        <f aca="false">IF(E76="","",COUNTIFS($F$6:$F$105,F76,$J$6:$J$105,"&gt;"&amp;J76)+1)</f>
        <v/>
      </c>
    </row>
    <row r="77" customFormat="false" ht="15" hidden="false" customHeight="false" outlineLevel="0" collapsed="false">
      <c r="A77" s="21"/>
      <c r="B77" s="21"/>
      <c r="C77" s="33" t="str">
        <f aca="false">IF(A77="","",IF(COUNTIF($A$6:$A$105,A77)&gt;1,"번호 중복(한 번만 남기세요)",IF(COUNTIF(작품목록!$A$4:$A$103,A77)=0,"작품목록에 없는 번호",IF(ISNUMBER(B77),"","좋아요 수가 숫자가 아님"))))</f>
        <v/>
      </c>
      <c r="E77" s="27" t="str">
        <f aca="false">IF(작품목록!A75="","",작품목록!A75)</f>
        <v/>
      </c>
      <c r="F77" s="27" t="str">
        <f aca="false">IF(E77="","",작품목록!B75&amp;"")</f>
        <v/>
      </c>
      <c r="G77" s="28" t="str">
        <f aca="false">IF(E77="","",작품목록!G75&amp;"")</f>
        <v/>
      </c>
      <c r="H77" s="27" t="str">
        <f aca="false">IF(E77="","",IF(F77="상상","-",SUMIF($A$6:$A$105,E77,$B$6:$B$105)))</f>
        <v/>
      </c>
      <c r="I77" s="21"/>
      <c r="J77" s="34" t="str">
        <f aca="false">IF(E77="","",IF(F77="상상",N(I77),N(H77)))</f>
        <v/>
      </c>
      <c r="K77" s="27" t="str">
        <f aca="false">IF(E77="","",COUNTIFS($F$6:$F$105,F77,$J$6:$J$105,"&gt;"&amp;J77)+1)</f>
        <v/>
      </c>
    </row>
    <row r="78" customFormat="false" ht="15" hidden="false" customHeight="false" outlineLevel="0" collapsed="false">
      <c r="A78" s="21"/>
      <c r="B78" s="21"/>
      <c r="C78" s="33" t="str">
        <f aca="false">IF(A78="","",IF(COUNTIF($A$6:$A$105,A78)&gt;1,"번호 중복(한 번만 남기세요)",IF(COUNTIF(작품목록!$A$4:$A$103,A78)=0,"작품목록에 없는 번호",IF(ISNUMBER(B78),"","좋아요 수가 숫자가 아님"))))</f>
        <v/>
      </c>
      <c r="E78" s="27" t="str">
        <f aca="false">IF(작품목록!A76="","",작품목록!A76)</f>
        <v/>
      </c>
      <c r="F78" s="27" t="str">
        <f aca="false">IF(E78="","",작품목록!B76&amp;"")</f>
        <v/>
      </c>
      <c r="G78" s="28" t="str">
        <f aca="false">IF(E78="","",작품목록!G76&amp;"")</f>
        <v/>
      </c>
      <c r="H78" s="27" t="str">
        <f aca="false">IF(E78="","",IF(F78="상상","-",SUMIF($A$6:$A$105,E78,$B$6:$B$105)))</f>
        <v/>
      </c>
      <c r="I78" s="21"/>
      <c r="J78" s="34" t="str">
        <f aca="false">IF(E78="","",IF(F78="상상",N(I78),N(H78)))</f>
        <v/>
      </c>
      <c r="K78" s="27" t="str">
        <f aca="false">IF(E78="","",COUNTIFS($F$6:$F$105,F78,$J$6:$J$105,"&gt;"&amp;J78)+1)</f>
        <v/>
      </c>
    </row>
    <row r="79" customFormat="false" ht="15" hidden="false" customHeight="false" outlineLevel="0" collapsed="false">
      <c r="A79" s="21"/>
      <c r="B79" s="21"/>
      <c r="C79" s="33" t="str">
        <f aca="false">IF(A79="","",IF(COUNTIF($A$6:$A$105,A79)&gt;1,"번호 중복(한 번만 남기세요)",IF(COUNTIF(작품목록!$A$4:$A$103,A79)=0,"작품목록에 없는 번호",IF(ISNUMBER(B79),"","좋아요 수가 숫자가 아님"))))</f>
        <v/>
      </c>
      <c r="E79" s="27" t="str">
        <f aca="false">IF(작품목록!A77="","",작품목록!A77)</f>
        <v/>
      </c>
      <c r="F79" s="27" t="str">
        <f aca="false">IF(E79="","",작품목록!B77&amp;"")</f>
        <v/>
      </c>
      <c r="G79" s="28" t="str">
        <f aca="false">IF(E79="","",작품목록!G77&amp;"")</f>
        <v/>
      </c>
      <c r="H79" s="27" t="str">
        <f aca="false">IF(E79="","",IF(F79="상상","-",SUMIF($A$6:$A$105,E79,$B$6:$B$105)))</f>
        <v/>
      </c>
      <c r="I79" s="21"/>
      <c r="J79" s="34" t="str">
        <f aca="false">IF(E79="","",IF(F79="상상",N(I79),N(H79)))</f>
        <v/>
      </c>
      <c r="K79" s="27" t="str">
        <f aca="false">IF(E79="","",COUNTIFS($F$6:$F$105,F79,$J$6:$J$105,"&gt;"&amp;J79)+1)</f>
        <v/>
      </c>
    </row>
    <row r="80" customFormat="false" ht="15" hidden="false" customHeight="false" outlineLevel="0" collapsed="false">
      <c r="A80" s="21"/>
      <c r="B80" s="21"/>
      <c r="C80" s="33" t="str">
        <f aca="false">IF(A80="","",IF(COUNTIF($A$6:$A$105,A80)&gt;1,"번호 중복(한 번만 남기세요)",IF(COUNTIF(작품목록!$A$4:$A$103,A80)=0,"작품목록에 없는 번호",IF(ISNUMBER(B80),"","좋아요 수가 숫자가 아님"))))</f>
        <v/>
      </c>
      <c r="E80" s="27" t="str">
        <f aca="false">IF(작품목록!A78="","",작품목록!A78)</f>
        <v/>
      </c>
      <c r="F80" s="27" t="str">
        <f aca="false">IF(E80="","",작품목록!B78&amp;"")</f>
        <v/>
      </c>
      <c r="G80" s="28" t="str">
        <f aca="false">IF(E80="","",작품목록!G78&amp;"")</f>
        <v/>
      </c>
      <c r="H80" s="27" t="str">
        <f aca="false">IF(E80="","",IF(F80="상상","-",SUMIF($A$6:$A$105,E80,$B$6:$B$105)))</f>
        <v/>
      </c>
      <c r="I80" s="21"/>
      <c r="J80" s="34" t="str">
        <f aca="false">IF(E80="","",IF(F80="상상",N(I80),N(H80)))</f>
        <v/>
      </c>
      <c r="K80" s="27" t="str">
        <f aca="false">IF(E80="","",COUNTIFS($F$6:$F$105,F80,$J$6:$J$105,"&gt;"&amp;J80)+1)</f>
        <v/>
      </c>
    </row>
    <row r="81" customFormat="false" ht="15" hidden="false" customHeight="false" outlineLevel="0" collapsed="false">
      <c r="A81" s="21"/>
      <c r="B81" s="21"/>
      <c r="C81" s="33" t="str">
        <f aca="false">IF(A81="","",IF(COUNTIF($A$6:$A$105,A81)&gt;1,"번호 중복(한 번만 남기세요)",IF(COUNTIF(작품목록!$A$4:$A$103,A81)=0,"작품목록에 없는 번호",IF(ISNUMBER(B81),"","좋아요 수가 숫자가 아님"))))</f>
        <v/>
      </c>
      <c r="E81" s="27" t="str">
        <f aca="false">IF(작품목록!A79="","",작품목록!A79)</f>
        <v/>
      </c>
      <c r="F81" s="27" t="str">
        <f aca="false">IF(E81="","",작품목록!B79&amp;"")</f>
        <v/>
      </c>
      <c r="G81" s="28" t="str">
        <f aca="false">IF(E81="","",작품목록!G79&amp;"")</f>
        <v/>
      </c>
      <c r="H81" s="27" t="str">
        <f aca="false">IF(E81="","",IF(F81="상상","-",SUMIF($A$6:$A$105,E81,$B$6:$B$105)))</f>
        <v/>
      </c>
      <c r="I81" s="21"/>
      <c r="J81" s="34" t="str">
        <f aca="false">IF(E81="","",IF(F81="상상",N(I81),N(H81)))</f>
        <v/>
      </c>
      <c r="K81" s="27" t="str">
        <f aca="false">IF(E81="","",COUNTIFS($F$6:$F$105,F81,$J$6:$J$105,"&gt;"&amp;J81)+1)</f>
        <v/>
      </c>
    </row>
    <row r="82" customFormat="false" ht="15" hidden="false" customHeight="false" outlineLevel="0" collapsed="false">
      <c r="A82" s="21"/>
      <c r="B82" s="21"/>
      <c r="C82" s="33" t="str">
        <f aca="false">IF(A82="","",IF(COUNTIF($A$6:$A$105,A82)&gt;1,"번호 중복(한 번만 남기세요)",IF(COUNTIF(작품목록!$A$4:$A$103,A82)=0,"작품목록에 없는 번호",IF(ISNUMBER(B82),"","좋아요 수가 숫자가 아님"))))</f>
        <v/>
      </c>
      <c r="E82" s="27" t="str">
        <f aca="false">IF(작품목록!A80="","",작품목록!A80)</f>
        <v/>
      </c>
      <c r="F82" s="27" t="str">
        <f aca="false">IF(E82="","",작품목록!B80&amp;"")</f>
        <v/>
      </c>
      <c r="G82" s="28" t="str">
        <f aca="false">IF(E82="","",작품목록!G80&amp;"")</f>
        <v/>
      </c>
      <c r="H82" s="27" t="str">
        <f aca="false">IF(E82="","",IF(F82="상상","-",SUMIF($A$6:$A$105,E82,$B$6:$B$105)))</f>
        <v/>
      </c>
      <c r="I82" s="21"/>
      <c r="J82" s="34" t="str">
        <f aca="false">IF(E82="","",IF(F82="상상",N(I82),N(H82)))</f>
        <v/>
      </c>
      <c r="K82" s="27" t="str">
        <f aca="false">IF(E82="","",COUNTIFS($F$6:$F$105,F82,$J$6:$J$105,"&gt;"&amp;J82)+1)</f>
        <v/>
      </c>
    </row>
    <row r="83" customFormat="false" ht="15" hidden="false" customHeight="false" outlineLevel="0" collapsed="false">
      <c r="A83" s="21"/>
      <c r="B83" s="21"/>
      <c r="C83" s="33" t="str">
        <f aca="false">IF(A83="","",IF(COUNTIF($A$6:$A$105,A83)&gt;1,"번호 중복(한 번만 남기세요)",IF(COUNTIF(작품목록!$A$4:$A$103,A83)=0,"작품목록에 없는 번호",IF(ISNUMBER(B83),"","좋아요 수가 숫자가 아님"))))</f>
        <v/>
      </c>
      <c r="E83" s="27" t="str">
        <f aca="false">IF(작품목록!A81="","",작품목록!A81)</f>
        <v/>
      </c>
      <c r="F83" s="27" t="str">
        <f aca="false">IF(E83="","",작품목록!B81&amp;"")</f>
        <v/>
      </c>
      <c r="G83" s="28" t="str">
        <f aca="false">IF(E83="","",작품목록!G81&amp;"")</f>
        <v/>
      </c>
      <c r="H83" s="27" t="str">
        <f aca="false">IF(E83="","",IF(F83="상상","-",SUMIF($A$6:$A$105,E83,$B$6:$B$105)))</f>
        <v/>
      </c>
      <c r="I83" s="21"/>
      <c r="J83" s="34" t="str">
        <f aca="false">IF(E83="","",IF(F83="상상",N(I83),N(H83)))</f>
        <v/>
      </c>
      <c r="K83" s="27" t="str">
        <f aca="false">IF(E83="","",COUNTIFS($F$6:$F$105,F83,$J$6:$J$105,"&gt;"&amp;J83)+1)</f>
        <v/>
      </c>
    </row>
    <row r="84" customFormat="false" ht="15" hidden="false" customHeight="false" outlineLevel="0" collapsed="false">
      <c r="A84" s="21"/>
      <c r="B84" s="21"/>
      <c r="C84" s="33" t="str">
        <f aca="false">IF(A84="","",IF(COUNTIF($A$6:$A$105,A84)&gt;1,"번호 중복(한 번만 남기세요)",IF(COUNTIF(작품목록!$A$4:$A$103,A84)=0,"작품목록에 없는 번호",IF(ISNUMBER(B84),"","좋아요 수가 숫자가 아님"))))</f>
        <v/>
      </c>
      <c r="E84" s="27" t="str">
        <f aca="false">IF(작품목록!A82="","",작품목록!A82)</f>
        <v/>
      </c>
      <c r="F84" s="27" t="str">
        <f aca="false">IF(E84="","",작품목록!B82&amp;"")</f>
        <v/>
      </c>
      <c r="G84" s="28" t="str">
        <f aca="false">IF(E84="","",작품목록!G82&amp;"")</f>
        <v/>
      </c>
      <c r="H84" s="27" t="str">
        <f aca="false">IF(E84="","",IF(F84="상상","-",SUMIF($A$6:$A$105,E84,$B$6:$B$105)))</f>
        <v/>
      </c>
      <c r="I84" s="21"/>
      <c r="J84" s="34" t="str">
        <f aca="false">IF(E84="","",IF(F84="상상",N(I84),N(H84)))</f>
        <v/>
      </c>
      <c r="K84" s="27" t="str">
        <f aca="false">IF(E84="","",COUNTIFS($F$6:$F$105,F84,$J$6:$J$105,"&gt;"&amp;J84)+1)</f>
        <v/>
      </c>
    </row>
    <row r="85" customFormat="false" ht="15" hidden="false" customHeight="false" outlineLevel="0" collapsed="false">
      <c r="A85" s="21"/>
      <c r="B85" s="21"/>
      <c r="C85" s="33" t="str">
        <f aca="false">IF(A85="","",IF(COUNTIF($A$6:$A$105,A85)&gt;1,"번호 중복(한 번만 남기세요)",IF(COUNTIF(작품목록!$A$4:$A$103,A85)=0,"작품목록에 없는 번호",IF(ISNUMBER(B85),"","좋아요 수가 숫자가 아님"))))</f>
        <v/>
      </c>
      <c r="E85" s="27" t="str">
        <f aca="false">IF(작품목록!A83="","",작품목록!A83)</f>
        <v/>
      </c>
      <c r="F85" s="27" t="str">
        <f aca="false">IF(E85="","",작품목록!B83&amp;"")</f>
        <v/>
      </c>
      <c r="G85" s="28" t="str">
        <f aca="false">IF(E85="","",작품목록!G83&amp;"")</f>
        <v/>
      </c>
      <c r="H85" s="27" t="str">
        <f aca="false">IF(E85="","",IF(F85="상상","-",SUMIF($A$6:$A$105,E85,$B$6:$B$105)))</f>
        <v/>
      </c>
      <c r="I85" s="21"/>
      <c r="J85" s="34" t="str">
        <f aca="false">IF(E85="","",IF(F85="상상",N(I85),N(H85)))</f>
        <v/>
      </c>
      <c r="K85" s="27" t="str">
        <f aca="false">IF(E85="","",COUNTIFS($F$6:$F$105,F85,$J$6:$J$105,"&gt;"&amp;J85)+1)</f>
        <v/>
      </c>
    </row>
    <row r="86" customFormat="false" ht="15" hidden="false" customHeight="false" outlineLevel="0" collapsed="false">
      <c r="A86" s="21"/>
      <c r="B86" s="21"/>
      <c r="C86" s="33" t="str">
        <f aca="false">IF(A86="","",IF(COUNTIF($A$6:$A$105,A86)&gt;1,"번호 중복(한 번만 남기세요)",IF(COUNTIF(작품목록!$A$4:$A$103,A86)=0,"작품목록에 없는 번호",IF(ISNUMBER(B86),"","좋아요 수가 숫자가 아님"))))</f>
        <v/>
      </c>
      <c r="E86" s="27" t="str">
        <f aca="false">IF(작품목록!A84="","",작품목록!A84)</f>
        <v/>
      </c>
      <c r="F86" s="27" t="str">
        <f aca="false">IF(E86="","",작품목록!B84&amp;"")</f>
        <v/>
      </c>
      <c r="G86" s="28" t="str">
        <f aca="false">IF(E86="","",작품목록!G84&amp;"")</f>
        <v/>
      </c>
      <c r="H86" s="27" t="str">
        <f aca="false">IF(E86="","",IF(F86="상상","-",SUMIF($A$6:$A$105,E86,$B$6:$B$105)))</f>
        <v/>
      </c>
      <c r="I86" s="21"/>
      <c r="J86" s="34" t="str">
        <f aca="false">IF(E86="","",IF(F86="상상",N(I86),N(H86)))</f>
        <v/>
      </c>
      <c r="K86" s="27" t="str">
        <f aca="false">IF(E86="","",COUNTIFS($F$6:$F$105,F86,$J$6:$J$105,"&gt;"&amp;J86)+1)</f>
        <v/>
      </c>
    </row>
    <row r="87" customFormat="false" ht="15" hidden="false" customHeight="false" outlineLevel="0" collapsed="false">
      <c r="A87" s="21"/>
      <c r="B87" s="21"/>
      <c r="C87" s="33" t="str">
        <f aca="false">IF(A87="","",IF(COUNTIF($A$6:$A$105,A87)&gt;1,"번호 중복(한 번만 남기세요)",IF(COUNTIF(작품목록!$A$4:$A$103,A87)=0,"작품목록에 없는 번호",IF(ISNUMBER(B87),"","좋아요 수가 숫자가 아님"))))</f>
        <v/>
      </c>
      <c r="E87" s="27" t="str">
        <f aca="false">IF(작품목록!A85="","",작품목록!A85)</f>
        <v/>
      </c>
      <c r="F87" s="27" t="str">
        <f aca="false">IF(E87="","",작품목록!B85&amp;"")</f>
        <v/>
      </c>
      <c r="G87" s="28" t="str">
        <f aca="false">IF(E87="","",작품목록!G85&amp;"")</f>
        <v/>
      </c>
      <c r="H87" s="27" t="str">
        <f aca="false">IF(E87="","",IF(F87="상상","-",SUMIF($A$6:$A$105,E87,$B$6:$B$105)))</f>
        <v/>
      </c>
      <c r="I87" s="21"/>
      <c r="J87" s="34" t="str">
        <f aca="false">IF(E87="","",IF(F87="상상",N(I87),N(H87)))</f>
        <v/>
      </c>
      <c r="K87" s="27" t="str">
        <f aca="false">IF(E87="","",COUNTIFS($F$6:$F$105,F87,$J$6:$J$105,"&gt;"&amp;J87)+1)</f>
        <v/>
      </c>
    </row>
    <row r="88" customFormat="false" ht="15" hidden="false" customHeight="false" outlineLevel="0" collapsed="false">
      <c r="A88" s="21"/>
      <c r="B88" s="21"/>
      <c r="C88" s="33" t="str">
        <f aca="false">IF(A88="","",IF(COUNTIF($A$6:$A$105,A88)&gt;1,"번호 중복(한 번만 남기세요)",IF(COUNTIF(작품목록!$A$4:$A$103,A88)=0,"작품목록에 없는 번호",IF(ISNUMBER(B88),"","좋아요 수가 숫자가 아님"))))</f>
        <v/>
      </c>
      <c r="E88" s="27" t="str">
        <f aca="false">IF(작품목록!A86="","",작품목록!A86)</f>
        <v/>
      </c>
      <c r="F88" s="27" t="str">
        <f aca="false">IF(E88="","",작품목록!B86&amp;"")</f>
        <v/>
      </c>
      <c r="G88" s="28" t="str">
        <f aca="false">IF(E88="","",작품목록!G86&amp;"")</f>
        <v/>
      </c>
      <c r="H88" s="27" t="str">
        <f aca="false">IF(E88="","",IF(F88="상상","-",SUMIF($A$6:$A$105,E88,$B$6:$B$105)))</f>
        <v/>
      </c>
      <c r="I88" s="21"/>
      <c r="J88" s="34" t="str">
        <f aca="false">IF(E88="","",IF(F88="상상",N(I88),N(H88)))</f>
        <v/>
      </c>
      <c r="K88" s="27" t="str">
        <f aca="false">IF(E88="","",COUNTIFS($F$6:$F$105,F88,$J$6:$J$105,"&gt;"&amp;J88)+1)</f>
        <v/>
      </c>
    </row>
    <row r="89" customFormat="false" ht="15" hidden="false" customHeight="false" outlineLevel="0" collapsed="false">
      <c r="A89" s="21"/>
      <c r="B89" s="21"/>
      <c r="C89" s="33" t="str">
        <f aca="false">IF(A89="","",IF(COUNTIF($A$6:$A$105,A89)&gt;1,"번호 중복(한 번만 남기세요)",IF(COUNTIF(작품목록!$A$4:$A$103,A89)=0,"작품목록에 없는 번호",IF(ISNUMBER(B89),"","좋아요 수가 숫자가 아님"))))</f>
        <v/>
      </c>
      <c r="E89" s="27" t="str">
        <f aca="false">IF(작품목록!A87="","",작품목록!A87)</f>
        <v/>
      </c>
      <c r="F89" s="27" t="str">
        <f aca="false">IF(E89="","",작품목록!B87&amp;"")</f>
        <v/>
      </c>
      <c r="G89" s="28" t="str">
        <f aca="false">IF(E89="","",작품목록!G87&amp;"")</f>
        <v/>
      </c>
      <c r="H89" s="27" t="str">
        <f aca="false">IF(E89="","",IF(F89="상상","-",SUMIF($A$6:$A$105,E89,$B$6:$B$105)))</f>
        <v/>
      </c>
      <c r="I89" s="21"/>
      <c r="J89" s="34" t="str">
        <f aca="false">IF(E89="","",IF(F89="상상",N(I89),N(H89)))</f>
        <v/>
      </c>
      <c r="K89" s="27" t="str">
        <f aca="false">IF(E89="","",COUNTIFS($F$6:$F$105,F89,$J$6:$J$105,"&gt;"&amp;J89)+1)</f>
        <v/>
      </c>
    </row>
    <row r="90" customFormat="false" ht="15" hidden="false" customHeight="false" outlineLevel="0" collapsed="false">
      <c r="A90" s="21"/>
      <c r="B90" s="21"/>
      <c r="C90" s="33" t="str">
        <f aca="false">IF(A90="","",IF(COUNTIF($A$6:$A$105,A90)&gt;1,"번호 중복(한 번만 남기세요)",IF(COUNTIF(작품목록!$A$4:$A$103,A90)=0,"작품목록에 없는 번호",IF(ISNUMBER(B90),"","좋아요 수가 숫자가 아님"))))</f>
        <v/>
      </c>
      <c r="E90" s="27" t="str">
        <f aca="false">IF(작품목록!A88="","",작품목록!A88)</f>
        <v/>
      </c>
      <c r="F90" s="27" t="str">
        <f aca="false">IF(E90="","",작품목록!B88&amp;"")</f>
        <v/>
      </c>
      <c r="G90" s="28" t="str">
        <f aca="false">IF(E90="","",작품목록!G88&amp;"")</f>
        <v/>
      </c>
      <c r="H90" s="27" t="str">
        <f aca="false">IF(E90="","",IF(F90="상상","-",SUMIF($A$6:$A$105,E90,$B$6:$B$105)))</f>
        <v/>
      </c>
      <c r="I90" s="21"/>
      <c r="J90" s="34" t="str">
        <f aca="false">IF(E90="","",IF(F90="상상",N(I90),N(H90)))</f>
        <v/>
      </c>
      <c r="K90" s="27" t="str">
        <f aca="false">IF(E90="","",COUNTIFS($F$6:$F$105,F90,$J$6:$J$105,"&gt;"&amp;J90)+1)</f>
        <v/>
      </c>
    </row>
    <row r="91" customFormat="false" ht="15" hidden="false" customHeight="false" outlineLevel="0" collapsed="false">
      <c r="A91" s="21"/>
      <c r="B91" s="21"/>
      <c r="C91" s="33" t="str">
        <f aca="false">IF(A91="","",IF(COUNTIF($A$6:$A$105,A91)&gt;1,"번호 중복(한 번만 남기세요)",IF(COUNTIF(작품목록!$A$4:$A$103,A91)=0,"작품목록에 없는 번호",IF(ISNUMBER(B91),"","좋아요 수가 숫자가 아님"))))</f>
        <v/>
      </c>
      <c r="E91" s="27" t="str">
        <f aca="false">IF(작품목록!A89="","",작품목록!A89)</f>
        <v/>
      </c>
      <c r="F91" s="27" t="str">
        <f aca="false">IF(E91="","",작품목록!B89&amp;"")</f>
        <v/>
      </c>
      <c r="G91" s="28" t="str">
        <f aca="false">IF(E91="","",작품목록!G89&amp;"")</f>
        <v/>
      </c>
      <c r="H91" s="27" t="str">
        <f aca="false">IF(E91="","",IF(F91="상상","-",SUMIF($A$6:$A$105,E91,$B$6:$B$105)))</f>
        <v/>
      </c>
      <c r="I91" s="21"/>
      <c r="J91" s="34" t="str">
        <f aca="false">IF(E91="","",IF(F91="상상",N(I91),N(H91)))</f>
        <v/>
      </c>
      <c r="K91" s="27" t="str">
        <f aca="false">IF(E91="","",COUNTIFS($F$6:$F$105,F91,$J$6:$J$105,"&gt;"&amp;J91)+1)</f>
        <v/>
      </c>
    </row>
    <row r="92" customFormat="false" ht="15" hidden="false" customHeight="false" outlineLevel="0" collapsed="false">
      <c r="A92" s="21"/>
      <c r="B92" s="21"/>
      <c r="C92" s="33" t="str">
        <f aca="false">IF(A92="","",IF(COUNTIF($A$6:$A$105,A92)&gt;1,"번호 중복(한 번만 남기세요)",IF(COUNTIF(작품목록!$A$4:$A$103,A92)=0,"작품목록에 없는 번호",IF(ISNUMBER(B92),"","좋아요 수가 숫자가 아님"))))</f>
        <v/>
      </c>
      <c r="E92" s="27" t="str">
        <f aca="false">IF(작품목록!A90="","",작품목록!A90)</f>
        <v/>
      </c>
      <c r="F92" s="27" t="str">
        <f aca="false">IF(E92="","",작품목록!B90&amp;"")</f>
        <v/>
      </c>
      <c r="G92" s="28" t="str">
        <f aca="false">IF(E92="","",작품목록!G90&amp;"")</f>
        <v/>
      </c>
      <c r="H92" s="27" t="str">
        <f aca="false">IF(E92="","",IF(F92="상상","-",SUMIF($A$6:$A$105,E92,$B$6:$B$105)))</f>
        <v/>
      </c>
      <c r="I92" s="21"/>
      <c r="J92" s="34" t="str">
        <f aca="false">IF(E92="","",IF(F92="상상",N(I92),N(H92)))</f>
        <v/>
      </c>
      <c r="K92" s="27" t="str">
        <f aca="false">IF(E92="","",COUNTIFS($F$6:$F$105,F92,$J$6:$J$105,"&gt;"&amp;J92)+1)</f>
        <v/>
      </c>
    </row>
    <row r="93" customFormat="false" ht="15" hidden="false" customHeight="false" outlineLevel="0" collapsed="false">
      <c r="A93" s="21"/>
      <c r="B93" s="21"/>
      <c r="C93" s="33" t="str">
        <f aca="false">IF(A93="","",IF(COUNTIF($A$6:$A$105,A93)&gt;1,"번호 중복(한 번만 남기세요)",IF(COUNTIF(작품목록!$A$4:$A$103,A93)=0,"작품목록에 없는 번호",IF(ISNUMBER(B93),"","좋아요 수가 숫자가 아님"))))</f>
        <v/>
      </c>
      <c r="E93" s="27" t="str">
        <f aca="false">IF(작품목록!A91="","",작품목록!A91)</f>
        <v/>
      </c>
      <c r="F93" s="27" t="str">
        <f aca="false">IF(E93="","",작품목록!B91&amp;"")</f>
        <v/>
      </c>
      <c r="G93" s="28" t="str">
        <f aca="false">IF(E93="","",작품목록!G91&amp;"")</f>
        <v/>
      </c>
      <c r="H93" s="27" t="str">
        <f aca="false">IF(E93="","",IF(F93="상상","-",SUMIF($A$6:$A$105,E93,$B$6:$B$105)))</f>
        <v/>
      </c>
      <c r="I93" s="21"/>
      <c r="J93" s="34" t="str">
        <f aca="false">IF(E93="","",IF(F93="상상",N(I93),N(H93)))</f>
        <v/>
      </c>
      <c r="K93" s="27" t="str">
        <f aca="false">IF(E93="","",COUNTIFS($F$6:$F$105,F93,$J$6:$J$105,"&gt;"&amp;J93)+1)</f>
        <v/>
      </c>
    </row>
    <row r="94" customFormat="false" ht="15" hidden="false" customHeight="false" outlineLevel="0" collapsed="false">
      <c r="A94" s="21"/>
      <c r="B94" s="21"/>
      <c r="C94" s="33" t="str">
        <f aca="false">IF(A94="","",IF(COUNTIF($A$6:$A$105,A94)&gt;1,"번호 중복(한 번만 남기세요)",IF(COUNTIF(작품목록!$A$4:$A$103,A94)=0,"작품목록에 없는 번호",IF(ISNUMBER(B94),"","좋아요 수가 숫자가 아님"))))</f>
        <v/>
      </c>
      <c r="E94" s="27" t="str">
        <f aca="false">IF(작품목록!A92="","",작품목록!A92)</f>
        <v/>
      </c>
      <c r="F94" s="27" t="str">
        <f aca="false">IF(E94="","",작품목록!B92&amp;"")</f>
        <v/>
      </c>
      <c r="G94" s="28" t="str">
        <f aca="false">IF(E94="","",작품목록!G92&amp;"")</f>
        <v/>
      </c>
      <c r="H94" s="27" t="str">
        <f aca="false">IF(E94="","",IF(F94="상상","-",SUMIF($A$6:$A$105,E94,$B$6:$B$105)))</f>
        <v/>
      </c>
      <c r="I94" s="21"/>
      <c r="J94" s="34" t="str">
        <f aca="false">IF(E94="","",IF(F94="상상",N(I94),N(H94)))</f>
        <v/>
      </c>
      <c r="K94" s="27" t="str">
        <f aca="false">IF(E94="","",COUNTIFS($F$6:$F$105,F94,$J$6:$J$105,"&gt;"&amp;J94)+1)</f>
        <v/>
      </c>
    </row>
    <row r="95" customFormat="false" ht="15" hidden="false" customHeight="false" outlineLevel="0" collapsed="false">
      <c r="A95" s="21"/>
      <c r="B95" s="21"/>
      <c r="C95" s="33" t="str">
        <f aca="false">IF(A95="","",IF(COUNTIF($A$6:$A$105,A95)&gt;1,"번호 중복(한 번만 남기세요)",IF(COUNTIF(작품목록!$A$4:$A$103,A95)=0,"작품목록에 없는 번호",IF(ISNUMBER(B95),"","좋아요 수가 숫자가 아님"))))</f>
        <v/>
      </c>
      <c r="E95" s="27" t="str">
        <f aca="false">IF(작품목록!A93="","",작품목록!A93)</f>
        <v/>
      </c>
      <c r="F95" s="27" t="str">
        <f aca="false">IF(E95="","",작품목록!B93&amp;"")</f>
        <v/>
      </c>
      <c r="G95" s="28" t="str">
        <f aca="false">IF(E95="","",작품목록!G93&amp;"")</f>
        <v/>
      </c>
      <c r="H95" s="27" t="str">
        <f aca="false">IF(E95="","",IF(F95="상상","-",SUMIF($A$6:$A$105,E95,$B$6:$B$105)))</f>
        <v/>
      </c>
      <c r="I95" s="21"/>
      <c r="J95" s="34" t="str">
        <f aca="false">IF(E95="","",IF(F95="상상",N(I95),N(H95)))</f>
        <v/>
      </c>
      <c r="K95" s="27" t="str">
        <f aca="false">IF(E95="","",COUNTIFS($F$6:$F$105,F95,$J$6:$J$105,"&gt;"&amp;J95)+1)</f>
        <v/>
      </c>
    </row>
    <row r="96" customFormat="false" ht="15" hidden="false" customHeight="false" outlineLevel="0" collapsed="false">
      <c r="A96" s="21"/>
      <c r="B96" s="21"/>
      <c r="C96" s="33" t="str">
        <f aca="false">IF(A96="","",IF(COUNTIF($A$6:$A$105,A96)&gt;1,"번호 중복(한 번만 남기세요)",IF(COUNTIF(작품목록!$A$4:$A$103,A96)=0,"작품목록에 없는 번호",IF(ISNUMBER(B96),"","좋아요 수가 숫자가 아님"))))</f>
        <v/>
      </c>
      <c r="E96" s="27" t="str">
        <f aca="false">IF(작품목록!A94="","",작품목록!A94)</f>
        <v/>
      </c>
      <c r="F96" s="27" t="str">
        <f aca="false">IF(E96="","",작품목록!B94&amp;"")</f>
        <v/>
      </c>
      <c r="G96" s="28" t="str">
        <f aca="false">IF(E96="","",작품목록!G94&amp;"")</f>
        <v/>
      </c>
      <c r="H96" s="27" t="str">
        <f aca="false">IF(E96="","",IF(F96="상상","-",SUMIF($A$6:$A$105,E96,$B$6:$B$105)))</f>
        <v/>
      </c>
      <c r="I96" s="21"/>
      <c r="J96" s="34" t="str">
        <f aca="false">IF(E96="","",IF(F96="상상",N(I96),N(H96)))</f>
        <v/>
      </c>
      <c r="K96" s="27" t="str">
        <f aca="false">IF(E96="","",COUNTIFS($F$6:$F$105,F96,$J$6:$J$105,"&gt;"&amp;J96)+1)</f>
        <v/>
      </c>
    </row>
    <row r="97" customFormat="false" ht="15" hidden="false" customHeight="false" outlineLevel="0" collapsed="false">
      <c r="A97" s="21"/>
      <c r="B97" s="21"/>
      <c r="C97" s="33" t="str">
        <f aca="false">IF(A97="","",IF(COUNTIF($A$6:$A$105,A97)&gt;1,"번호 중복(한 번만 남기세요)",IF(COUNTIF(작품목록!$A$4:$A$103,A97)=0,"작품목록에 없는 번호",IF(ISNUMBER(B97),"","좋아요 수가 숫자가 아님"))))</f>
        <v/>
      </c>
      <c r="E97" s="27" t="str">
        <f aca="false">IF(작품목록!A95="","",작품목록!A95)</f>
        <v/>
      </c>
      <c r="F97" s="27" t="str">
        <f aca="false">IF(E97="","",작품목록!B95&amp;"")</f>
        <v/>
      </c>
      <c r="G97" s="28" t="str">
        <f aca="false">IF(E97="","",작품목록!G95&amp;"")</f>
        <v/>
      </c>
      <c r="H97" s="27" t="str">
        <f aca="false">IF(E97="","",IF(F97="상상","-",SUMIF($A$6:$A$105,E97,$B$6:$B$105)))</f>
        <v/>
      </c>
      <c r="I97" s="21"/>
      <c r="J97" s="34" t="str">
        <f aca="false">IF(E97="","",IF(F97="상상",N(I97),N(H97)))</f>
        <v/>
      </c>
      <c r="K97" s="27" t="str">
        <f aca="false">IF(E97="","",COUNTIFS($F$6:$F$105,F97,$J$6:$J$105,"&gt;"&amp;J97)+1)</f>
        <v/>
      </c>
    </row>
    <row r="98" customFormat="false" ht="15" hidden="false" customHeight="false" outlineLevel="0" collapsed="false">
      <c r="A98" s="21"/>
      <c r="B98" s="21"/>
      <c r="C98" s="33" t="str">
        <f aca="false">IF(A98="","",IF(COUNTIF($A$6:$A$105,A98)&gt;1,"번호 중복(한 번만 남기세요)",IF(COUNTIF(작품목록!$A$4:$A$103,A98)=0,"작품목록에 없는 번호",IF(ISNUMBER(B98),"","좋아요 수가 숫자가 아님"))))</f>
        <v/>
      </c>
      <c r="E98" s="27" t="str">
        <f aca="false">IF(작품목록!A96="","",작품목록!A96)</f>
        <v/>
      </c>
      <c r="F98" s="27" t="str">
        <f aca="false">IF(E98="","",작품목록!B96&amp;"")</f>
        <v/>
      </c>
      <c r="G98" s="28" t="str">
        <f aca="false">IF(E98="","",작품목록!G96&amp;"")</f>
        <v/>
      </c>
      <c r="H98" s="27" t="str">
        <f aca="false">IF(E98="","",IF(F98="상상","-",SUMIF($A$6:$A$105,E98,$B$6:$B$105)))</f>
        <v/>
      </c>
      <c r="I98" s="21"/>
      <c r="J98" s="34" t="str">
        <f aca="false">IF(E98="","",IF(F98="상상",N(I98),N(H98)))</f>
        <v/>
      </c>
      <c r="K98" s="27" t="str">
        <f aca="false">IF(E98="","",COUNTIFS($F$6:$F$105,F98,$J$6:$J$105,"&gt;"&amp;J98)+1)</f>
        <v/>
      </c>
    </row>
    <row r="99" customFormat="false" ht="15" hidden="false" customHeight="false" outlineLevel="0" collapsed="false">
      <c r="A99" s="21"/>
      <c r="B99" s="21"/>
      <c r="C99" s="33" t="str">
        <f aca="false">IF(A99="","",IF(COUNTIF($A$6:$A$105,A99)&gt;1,"번호 중복(한 번만 남기세요)",IF(COUNTIF(작품목록!$A$4:$A$103,A99)=0,"작품목록에 없는 번호",IF(ISNUMBER(B99),"","좋아요 수가 숫자가 아님"))))</f>
        <v/>
      </c>
      <c r="E99" s="27" t="str">
        <f aca="false">IF(작품목록!A97="","",작품목록!A97)</f>
        <v/>
      </c>
      <c r="F99" s="27" t="str">
        <f aca="false">IF(E99="","",작품목록!B97&amp;"")</f>
        <v/>
      </c>
      <c r="G99" s="28" t="str">
        <f aca="false">IF(E99="","",작품목록!G97&amp;"")</f>
        <v/>
      </c>
      <c r="H99" s="27" t="str">
        <f aca="false">IF(E99="","",IF(F99="상상","-",SUMIF($A$6:$A$105,E99,$B$6:$B$105)))</f>
        <v/>
      </c>
      <c r="I99" s="21"/>
      <c r="J99" s="34" t="str">
        <f aca="false">IF(E99="","",IF(F99="상상",N(I99),N(H99)))</f>
        <v/>
      </c>
      <c r="K99" s="27" t="str">
        <f aca="false">IF(E99="","",COUNTIFS($F$6:$F$105,F99,$J$6:$J$105,"&gt;"&amp;J99)+1)</f>
        <v/>
      </c>
    </row>
    <row r="100" customFormat="false" ht="15" hidden="false" customHeight="false" outlineLevel="0" collapsed="false">
      <c r="A100" s="21"/>
      <c r="B100" s="21"/>
      <c r="C100" s="33" t="str">
        <f aca="false">IF(A100="","",IF(COUNTIF($A$6:$A$105,A100)&gt;1,"번호 중복(한 번만 남기세요)",IF(COUNTIF(작품목록!$A$4:$A$103,A100)=0,"작품목록에 없는 번호",IF(ISNUMBER(B100),"","좋아요 수가 숫자가 아님"))))</f>
        <v/>
      </c>
      <c r="E100" s="27" t="str">
        <f aca="false">IF(작품목록!A98="","",작품목록!A98)</f>
        <v/>
      </c>
      <c r="F100" s="27" t="str">
        <f aca="false">IF(E100="","",작품목록!B98&amp;"")</f>
        <v/>
      </c>
      <c r="G100" s="28" t="str">
        <f aca="false">IF(E100="","",작품목록!G98&amp;"")</f>
        <v/>
      </c>
      <c r="H100" s="27" t="str">
        <f aca="false">IF(E100="","",IF(F100="상상","-",SUMIF($A$6:$A$105,E100,$B$6:$B$105)))</f>
        <v/>
      </c>
      <c r="I100" s="21"/>
      <c r="J100" s="34" t="str">
        <f aca="false">IF(E100="","",IF(F100="상상",N(I100),N(H100)))</f>
        <v/>
      </c>
      <c r="K100" s="27" t="str">
        <f aca="false">IF(E100="","",COUNTIFS($F$6:$F$105,F100,$J$6:$J$105,"&gt;"&amp;J100)+1)</f>
        <v/>
      </c>
    </row>
    <row r="101" customFormat="false" ht="15" hidden="false" customHeight="false" outlineLevel="0" collapsed="false">
      <c r="A101" s="21"/>
      <c r="B101" s="21"/>
      <c r="C101" s="33" t="str">
        <f aca="false">IF(A101="","",IF(COUNTIF($A$6:$A$105,A101)&gt;1,"번호 중복(한 번만 남기세요)",IF(COUNTIF(작품목록!$A$4:$A$103,A101)=0,"작품목록에 없는 번호",IF(ISNUMBER(B101),"","좋아요 수가 숫자가 아님"))))</f>
        <v/>
      </c>
      <c r="E101" s="27" t="str">
        <f aca="false">IF(작품목록!A99="","",작품목록!A99)</f>
        <v/>
      </c>
      <c r="F101" s="27" t="str">
        <f aca="false">IF(E101="","",작품목록!B99&amp;"")</f>
        <v/>
      </c>
      <c r="G101" s="28" t="str">
        <f aca="false">IF(E101="","",작품목록!G99&amp;"")</f>
        <v/>
      </c>
      <c r="H101" s="27" t="str">
        <f aca="false">IF(E101="","",IF(F101="상상","-",SUMIF($A$6:$A$105,E101,$B$6:$B$105)))</f>
        <v/>
      </c>
      <c r="I101" s="21"/>
      <c r="J101" s="34" t="str">
        <f aca="false">IF(E101="","",IF(F101="상상",N(I101),N(H101)))</f>
        <v/>
      </c>
      <c r="K101" s="27" t="str">
        <f aca="false">IF(E101="","",COUNTIFS($F$6:$F$105,F101,$J$6:$J$105,"&gt;"&amp;J101)+1)</f>
        <v/>
      </c>
    </row>
    <row r="102" customFormat="false" ht="15" hidden="false" customHeight="false" outlineLevel="0" collapsed="false">
      <c r="A102" s="21"/>
      <c r="B102" s="21"/>
      <c r="C102" s="33" t="str">
        <f aca="false">IF(A102="","",IF(COUNTIF($A$6:$A$105,A102)&gt;1,"번호 중복(한 번만 남기세요)",IF(COUNTIF(작품목록!$A$4:$A$103,A102)=0,"작품목록에 없는 번호",IF(ISNUMBER(B102),"","좋아요 수가 숫자가 아님"))))</f>
        <v/>
      </c>
      <c r="E102" s="27" t="str">
        <f aca="false">IF(작품목록!A100="","",작품목록!A100)</f>
        <v/>
      </c>
      <c r="F102" s="27" t="str">
        <f aca="false">IF(E102="","",작품목록!B100&amp;"")</f>
        <v/>
      </c>
      <c r="G102" s="28" t="str">
        <f aca="false">IF(E102="","",작품목록!G100&amp;"")</f>
        <v/>
      </c>
      <c r="H102" s="27" t="str">
        <f aca="false">IF(E102="","",IF(F102="상상","-",SUMIF($A$6:$A$105,E102,$B$6:$B$105)))</f>
        <v/>
      </c>
      <c r="I102" s="21"/>
      <c r="J102" s="34" t="str">
        <f aca="false">IF(E102="","",IF(F102="상상",N(I102),N(H102)))</f>
        <v/>
      </c>
      <c r="K102" s="27" t="str">
        <f aca="false">IF(E102="","",COUNTIFS($F$6:$F$105,F102,$J$6:$J$105,"&gt;"&amp;J102)+1)</f>
        <v/>
      </c>
    </row>
    <row r="103" customFormat="false" ht="15" hidden="false" customHeight="false" outlineLevel="0" collapsed="false">
      <c r="A103" s="21"/>
      <c r="B103" s="21"/>
      <c r="C103" s="33" t="str">
        <f aca="false">IF(A103="","",IF(COUNTIF($A$6:$A$105,A103)&gt;1,"번호 중복(한 번만 남기세요)",IF(COUNTIF(작품목록!$A$4:$A$103,A103)=0,"작품목록에 없는 번호",IF(ISNUMBER(B103),"","좋아요 수가 숫자가 아님"))))</f>
        <v/>
      </c>
      <c r="E103" s="27" t="str">
        <f aca="false">IF(작품목록!A101="","",작품목록!A101)</f>
        <v/>
      </c>
      <c r="F103" s="27" t="str">
        <f aca="false">IF(E103="","",작품목록!B101&amp;"")</f>
        <v/>
      </c>
      <c r="G103" s="28" t="str">
        <f aca="false">IF(E103="","",작품목록!G101&amp;"")</f>
        <v/>
      </c>
      <c r="H103" s="27" t="str">
        <f aca="false">IF(E103="","",IF(F103="상상","-",SUMIF($A$6:$A$105,E103,$B$6:$B$105)))</f>
        <v/>
      </c>
      <c r="I103" s="21"/>
      <c r="J103" s="34" t="str">
        <f aca="false">IF(E103="","",IF(F103="상상",N(I103),N(H103)))</f>
        <v/>
      </c>
      <c r="K103" s="27" t="str">
        <f aca="false">IF(E103="","",COUNTIFS($F$6:$F$105,F103,$J$6:$J$105,"&gt;"&amp;J103)+1)</f>
        <v/>
      </c>
    </row>
    <row r="104" customFormat="false" ht="15" hidden="false" customHeight="false" outlineLevel="0" collapsed="false">
      <c r="A104" s="21"/>
      <c r="B104" s="21"/>
      <c r="C104" s="33" t="str">
        <f aca="false">IF(A104="","",IF(COUNTIF($A$6:$A$105,A104)&gt;1,"번호 중복(한 번만 남기세요)",IF(COUNTIF(작품목록!$A$4:$A$103,A104)=0,"작품목록에 없는 번호",IF(ISNUMBER(B104),"","좋아요 수가 숫자가 아님"))))</f>
        <v/>
      </c>
      <c r="E104" s="27" t="str">
        <f aca="false">IF(작품목록!A102="","",작품목록!A102)</f>
        <v/>
      </c>
      <c r="F104" s="27" t="str">
        <f aca="false">IF(E104="","",작품목록!B102&amp;"")</f>
        <v/>
      </c>
      <c r="G104" s="28" t="str">
        <f aca="false">IF(E104="","",작품목록!G102&amp;"")</f>
        <v/>
      </c>
      <c r="H104" s="27" t="str">
        <f aca="false">IF(E104="","",IF(F104="상상","-",SUMIF($A$6:$A$105,E104,$B$6:$B$105)))</f>
        <v/>
      </c>
      <c r="I104" s="21"/>
      <c r="J104" s="34" t="str">
        <f aca="false">IF(E104="","",IF(F104="상상",N(I104),N(H104)))</f>
        <v/>
      </c>
      <c r="K104" s="27" t="str">
        <f aca="false">IF(E104="","",COUNTIFS($F$6:$F$105,F104,$J$6:$J$105,"&gt;"&amp;J104)+1)</f>
        <v/>
      </c>
    </row>
    <row r="105" customFormat="false" ht="15" hidden="false" customHeight="false" outlineLevel="0" collapsed="false">
      <c r="A105" s="21"/>
      <c r="B105" s="21"/>
      <c r="C105" s="33" t="str">
        <f aca="false">IF(A105="","",IF(COUNTIF($A$6:$A$105,A105)&gt;1,"번호 중복(한 번만 남기세요)",IF(COUNTIF(작품목록!$A$4:$A$103,A105)=0,"작품목록에 없는 번호",IF(ISNUMBER(B105),"","좋아요 수가 숫자가 아님"))))</f>
        <v/>
      </c>
      <c r="E105" s="27" t="str">
        <f aca="false">IF(작품목록!A103="","",작품목록!A103)</f>
        <v/>
      </c>
      <c r="F105" s="27" t="str">
        <f aca="false">IF(E105="","",작품목록!B103&amp;"")</f>
        <v/>
      </c>
      <c r="G105" s="28" t="str">
        <f aca="false">IF(E105="","",작품목록!G103&amp;"")</f>
        <v/>
      </c>
      <c r="H105" s="27" t="str">
        <f aca="false">IF(E105="","",IF(F105="상상","-",SUMIF($A$6:$A$105,E105,$B$6:$B$105)))</f>
        <v/>
      </c>
      <c r="I105" s="21"/>
      <c r="J105" s="34" t="str">
        <f aca="false">IF(E105="","",IF(F105="상상",N(I105),N(H105)))</f>
        <v/>
      </c>
      <c r="K105" s="27" t="str">
        <f aca="false">IF(E105="","",COUNTIFS($F$6:$F$105,F105,$J$6:$J$105,"&gt;"&amp;J105)+1)</f>
        <v/>
      </c>
    </row>
  </sheetData>
  <conditionalFormatting sqref="I6:I105">
    <cfRule type="expression" priority="2" aboveAverage="0" equalAverage="0" bottom="0" percent="0" rank="0" text="" dxfId="4">
      <formula>AND($F6&lt;&gt;"",$F6&lt;&gt;"상상")</formula>
    </cfRule>
  </conditionalFormatting>
  <conditionalFormatting sqref="A6:C105">
    <cfRule type="expression" priority="3" aboveAverage="0" equalAverage="0" bottom="0" percent="0" rank="0" text="" dxfId="5">
      <formula>$C6&lt;&gt;""</formula>
    </cfRule>
  </conditionalFormatting>
  <dataValidations count="1">
    <dataValidation allowBlank="true" error="0 이상의 정수를 입력하세요." errorStyle="stop" operator="greaterThanOrEqual" showDropDown="false" showErrorMessage="false" showInputMessage="false" sqref="B6:B105 I6:I105" type="whole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9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2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8"/>
    <col collapsed="false" customWidth="true" hidden="false" outlineLevel="0" max="14" min="14" style="0" width="9"/>
  </cols>
  <sheetData>
    <row r="1" customFormat="false" ht="27.75" hidden="false" customHeight="true" outlineLevel="0" collapsed="false">
      <c r="A1" s="19" t="s">
        <v>224</v>
      </c>
    </row>
    <row r="2" customFormat="false" ht="15" hidden="false" customHeight="false" outlineLevel="0" collapsed="false">
      <c r="A2" s="20" t="s">
        <v>225</v>
      </c>
    </row>
    <row r="3" customFormat="false" ht="15" hidden="false" customHeight="false" outlineLevel="0" collapsed="false">
      <c r="A3" s="31" t="s">
        <v>226</v>
      </c>
      <c r="J3" s="31" t="s">
        <v>227</v>
      </c>
    </row>
    <row r="4" customFormat="false" ht="48" hidden="false" customHeight="true" outlineLevel="0" collapsed="false">
      <c r="A4" s="4" t="s">
        <v>228</v>
      </c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  <c r="G4" s="4" t="s">
        <v>219</v>
      </c>
      <c r="H4" s="4" t="s">
        <v>234</v>
      </c>
      <c r="J4" s="4" t="s">
        <v>232</v>
      </c>
      <c r="K4" s="4" t="s">
        <v>228</v>
      </c>
      <c r="L4" s="4" t="s">
        <v>230</v>
      </c>
      <c r="M4" s="4" t="s">
        <v>235</v>
      </c>
      <c r="N4" s="4" t="s">
        <v>231</v>
      </c>
    </row>
    <row r="5" customFormat="false" ht="15" hidden="false" customHeight="false" outlineLevel="0" collapsed="false">
      <c r="A5" s="35" t="s">
        <v>174</v>
      </c>
      <c r="B5" s="21" t="n">
        <v>24</v>
      </c>
      <c r="C5" s="34" t="n">
        <f aca="false">COUNTIF(작품목록!$C$4:$C$103,A5)+COUNTIF(작품목록!$D$4:$D$103,A5)</f>
        <v>1</v>
      </c>
      <c r="D5" s="36" t="n">
        <f aca="false">IF(N(B5)=0,"",ROUND(C5/B5,4))</f>
        <v>0.0417</v>
      </c>
      <c r="E5" s="34" t="n">
        <f aca="false">IF(D5="","",COUNTIFS($D$5:$D$46,"&gt;"&amp;D5)+COUNTIFS($D$5:$D$46,D5,$C$5:$C$46,"&gt;"&amp;C5)+1)</f>
        <v>4</v>
      </c>
      <c r="F5" s="21" t="n">
        <v>1</v>
      </c>
      <c r="G5" s="33" t="str">
        <f aca="false">IF(AND(N(B5)=0,C5&gt;0),"학생 수를 입력하세요",IF(AND(N(B5)&gt;0,C5&gt;N(B5)),"참여 학생 수가 학생 수보다 많아요",IF(F5="","",IF(N(F5)=C5,"일치","작품목록 확인(차이 "&amp;(N(F5)-C5)&amp;"명)"))))</f>
        <v>일치</v>
      </c>
      <c r="H5" s="37" t="n">
        <f aca="false">IF(E5="","",E5+COUNTIF($E$5:E5,E5)-1)</f>
        <v>4</v>
      </c>
      <c r="J5" s="34" t="n">
        <f aca="false">IFERROR(INDEX($E$5:$E$46,MATCH(1,$H$5:$H$46,0)),"")</f>
        <v>1</v>
      </c>
      <c r="K5" s="34" t="str">
        <f aca="false">IFERROR(INDEX($A$5:$A$46,MATCH(1,$H$5:$H$46,0)),"")</f>
        <v>4-2</v>
      </c>
      <c r="L5" s="38" t="n">
        <f aca="false">IFERROR(INDEX($C$5:$C$46,MATCH(1,$H$5:$H$46,0)),"")</f>
        <v>2</v>
      </c>
      <c r="M5" s="38" t="n">
        <f aca="false">IFERROR(INDEX($B$5:$B$46,MATCH(1,$H$5:$H$46,0)),"")</f>
        <v>25</v>
      </c>
      <c r="N5" s="36" t="n">
        <f aca="false">IFERROR(INDEX($D$5:$D$46,MATCH(1,$H$5:$H$46,0)),"")</f>
        <v>0.08</v>
      </c>
    </row>
    <row r="6" customFormat="false" ht="15" hidden="false" customHeight="false" outlineLevel="0" collapsed="false">
      <c r="A6" s="35" t="s">
        <v>194</v>
      </c>
      <c r="B6" s="21" t="n">
        <v>26</v>
      </c>
      <c r="C6" s="34" t="n">
        <f aca="false">COUNTIF(작품목록!$C$4:$C$103,A6)+COUNTIF(작품목록!$D$4:$D$103,A6)</f>
        <v>1</v>
      </c>
      <c r="D6" s="36" t="n">
        <f aca="false">IF(N(B6)=0,"",ROUND(C6/B6,4))</f>
        <v>0.0385</v>
      </c>
      <c r="E6" s="34" t="n">
        <f aca="false">IF(D6="","",COUNTIFS($D$5:$D$46,"&gt;"&amp;D6)+COUNTIFS($D$5:$D$46,D6,$C$5:$C$46,"&gt;"&amp;C6)+1)</f>
        <v>10</v>
      </c>
      <c r="F6" s="21"/>
      <c r="G6" s="33" t="str">
        <f aca="false">IF(AND(N(B6)=0,C6&gt;0),"학생 수를 입력하세요",IF(AND(N(B6)&gt;0,C6&gt;N(B6)),"참여 학생 수가 학생 수보다 많아요",IF(F6="","",IF(N(F6)=C6,"일치","작품목록 확인(차이 "&amp;(N(F6)-C6)&amp;"명)"))))</f>
        <v/>
      </c>
      <c r="H6" s="37" t="n">
        <f aca="false">IF(E6="","",E6+COUNTIF($E$5:E6,E6)-1)</f>
        <v>10</v>
      </c>
      <c r="J6" s="34" t="n">
        <f aca="false">IFERROR(INDEX($E$5:$E$46,MATCH(2,$H$5:$H$46,0)),"")</f>
        <v>2</v>
      </c>
      <c r="K6" s="34" t="str">
        <f aca="false">IFERROR(INDEX($A$5:$A$46,MATCH(2,$H$5:$H$46,0)),"")</f>
        <v>5-1</v>
      </c>
      <c r="L6" s="38" t="n">
        <f aca="false">IFERROR(INDEX($C$5:$C$46,MATCH(2,$H$5:$H$46,0)),"")</f>
        <v>2</v>
      </c>
      <c r="M6" s="38" t="n">
        <f aca="false">IFERROR(INDEX($B$5:$B$46,MATCH(2,$H$5:$H$46,0)),"")</f>
        <v>26</v>
      </c>
      <c r="N6" s="36" t="n">
        <f aca="false">IFERROR(INDEX($D$5:$D$46,MATCH(2,$H$5:$H$46,0)),"")</f>
        <v>0.0769</v>
      </c>
    </row>
    <row r="7" customFormat="false" ht="15" hidden="false" customHeight="false" outlineLevel="0" collapsed="false">
      <c r="A7" s="35" t="s">
        <v>164</v>
      </c>
      <c r="B7" s="21" t="n">
        <v>28</v>
      </c>
      <c r="C7" s="34" t="n">
        <f aca="false">COUNTIF(작품목록!$C$4:$C$103,A7)+COUNTIF(작품목록!$D$4:$D$103,A7)</f>
        <v>1</v>
      </c>
      <c r="D7" s="36" t="n">
        <f aca="false">IF(N(B7)=0,"",ROUND(C7/B7,4))</f>
        <v>0.0357</v>
      </c>
      <c r="E7" s="34" t="n">
        <f aca="false">IF(D7="","",COUNTIFS($D$5:$D$46,"&gt;"&amp;D7)+COUNTIFS($D$5:$D$46,D7,$C$5:$C$46,"&gt;"&amp;C7)+1)</f>
        <v>19</v>
      </c>
      <c r="F7" s="21"/>
      <c r="G7" s="33" t="str">
        <f aca="false">IF(AND(N(B7)=0,C7&gt;0),"학생 수를 입력하세요",IF(AND(N(B7)&gt;0,C7&gt;N(B7)),"참여 학생 수가 학생 수보다 많아요",IF(F7="","",IF(N(F7)=C7,"일치","작품목록 확인(차이 "&amp;(N(F7)-C7)&amp;"명)"))))</f>
        <v/>
      </c>
      <c r="H7" s="37" t="n">
        <f aca="false">IF(E7="","",E7+COUNTIF($E$5:E7,E7)-1)</f>
        <v>19</v>
      </c>
      <c r="J7" s="34" t="n">
        <f aca="false">IFERROR(INDEX($E$5:$E$46,MATCH(3,$H$5:$H$46,0)),"")</f>
        <v>3</v>
      </c>
      <c r="K7" s="34" t="str">
        <f aca="false">IFERROR(INDEX($A$5:$A$46,MATCH(3,$H$5:$H$46,0)),"")</f>
        <v>5-2</v>
      </c>
      <c r="L7" s="38" t="n">
        <f aca="false">IFERROR(INDEX($C$5:$C$46,MATCH(3,$H$5:$H$46,0)),"")</f>
        <v>2</v>
      </c>
      <c r="M7" s="38" t="n">
        <f aca="false">IFERROR(INDEX($B$5:$B$46,MATCH(3,$H$5:$H$46,0)),"")</f>
        <v>28</v>
      </c>
      <c r="N7" s="36" t="n">
        <f aca="false">IFERROR(INDEX($D$5:$D$46,MATCH(3,$H$5:$H$46,0)),"")</f>
        <v>0.0714</v>
      </c>
    </row>
    <row r="8" customFormat="false" ht="15" hidden="false" customHeight="false" outlineLevel="0" collapsed="false">
      <c r="A8" s="35" t="s">
        <v>236</v>
      </c>
      <c r="B8" s="21" t="n">
        <v>25</v>
      </c>
      <c r="C8" s="34" t="n">
        <f aca="false">COUNTIF(작품목록!$C$4:$C$103,A8)+COUNTIF(작품목록!$D$4:$D$103,A8)</f>
        <v>0</v>
      </c>
      <c r="D8" s="36" t="n">
        <f aca="false">IF(N(B8)=0,"",ROUND(C8/B8,4))</f>
        <v>0</v>
      </c>
      <c r="E8" s="34" t="n">
        <f aca="false">IF(D8="","",COUNTIFS($D$5:$D$46,"&gt;"&amp;D8)+COUNTIFS($D$5:$D$46,D8,$C$5:$C$46,"&gt;"&amp;C8)+1)</f>
        <v>25</v>
      </c>
      <c r="F8" s="21"/>
      <c r="G8" s="33" t="str">
        <f aca="false">IF(AND(N(B8)=0,C8&gt;0),"학생 수를 입력하세요",IF(AND(N(B8)&gt;0,C8&gt;N(B8)),"참여 학생 수가 학생 수보다 많아요",IF(F8="","",IF(N(F8)=C8,"일치","작품목록 확인(차이 "&amp;(N(F8)-C8)&amp;"명)"))))</f>
        <v/>
      </c>
      <c r="H8" s="37" t="n">
        <f aca="false">IF(E8="","",E8+COUNTIF($E$5:E8,E8)-1)</f>
        <v>25</v>
      </c>
      <c r="J8" s="34" t="n">
        <f aca="false">IFERROR(INDEX($E$5:$E$46,MATCH(4,$H$5:$H$46,0)),"")</f>
        <v>4</v>
      </c>
      <c r="K8" s="34" t="str">
        <f aca="false">IFERROR(INDEX($A$5:$A$46,MATCH(4,$H$5:$H$46,0)),"")</f>
        <v>1-1</v>
      </c>
      <c r="L8" s="38" t="n">
        <f aca="false">IFERROR(INDEX($C$5:$C$46,MATCH(4,$H$5:$H$46,0)),"")</f>
        <v>1</v>
      </c>
      <c r="M8" s="38" t="n">
        <f aca="false">IFERROR(INDEX($B$5:$B$46,MATCH(4,$H$5:$H$46,0)),"")</f>
        <v>24</v>
      </c>
      <c r="N8" s="36" t="n">
        <f aca="false">IFERROR(INDEX($D$5:$D$46,MATCH(4,$H$5:$H$46,0)),"")</f>
        <v>0.0417</v>
      </c>
    </row>
    <row r="9" customFormat="false" ht="15" hidden="false" customHeight="false" outlineLevel="0" collapsed="false">
      <c r="A9" s="35" t="s">
        <v>184</v>
      </c>
      <c r="B9" s="21" t="n">
        <v>27</v>
      </c>
      <c r="C9" s="34" t="n">
        <f aca="false">COUNTIF(작품목록!$C$4:$C$103,A9)+COUNTIF(작품목록!$D$4:$D$103,A9)</f>
        <v>1</v>
      </c>
      <c r="D9" s="36" t="n">
        <f aca="false">IF(N(B9)=0,"",ROUND(C9/B9,4))</f>
        <v>0.037</v>
      </c>
      <c r="E9" s="34" t="n">
        <f aca="false">IF(D9="","",COUNTIFS($D$5:$D$46,"&gt;"&amp;D9)+COUNTIFS($D$5:$D$46,D9,$C$5:$C$46,"&gt;"&amp;C9)+1)</f>
        <v>14</v>
      </c>
      <c r="F9" s="21"/>
      <c r="G9" s="33" t="str">
        <f aca="false">IF(AND(N(B9)=0,C9&gt;0),"학생 수를 입력하세요",IF(AND(N(B9)&gt;0,C9&gt;N(B9)),"참여 학생 수가 학생 수보다 많아요",IF(F9="","",IF(N(F9)=C9,"일치","작품목록 확인(차이 "&amp;(N(F9)-C9)&amp;"명)"))))</f>
        <v/>
      </c>
      <c r="H9" s="37" t="n">
        <f aca="false">IF(E9="","",E9+COUNTIF($E$5:E9,E9)-1)</f>
        <v>14</v>
      </c>
      <c r="J9" s="34" t="n">
        <f aca="false">IFERROR(INDEX($E$5:$E$46,MATCH(5,$H$5:$H$46,0)),"")</f>
        <v>4</v>
      </c>
      <c r="K9" s="34" t="str">
        <f aca="false">IFERROR(INDEX($A$5:$A$46,MATCH(5,$H$5:$H$46,0)),"")</f>
        <v>2-2</v>
      </c>
      <c r="L9" s="38" t="n">
        <f aca="false">IFERROR(INDEX($C$5:$C$46,MATCH(5,$H$5:$H$46,0)),"")</f>
        <v>1</v>
      </c>
      <c r="M9" s="38" t="n">
        <f aca="false">IFERROR(INDEX($B$5:$B$46,MATCH(5,$H$5:$H$46,0)),"")</f>
        <v>24</v>
      </c>
      <c r="N9" s="36" t="n">
        <f aca="false">IFERROR(INDEX($D$5:$D$46,MATCH(5,$H$5:$H$46,0)),"")</f>
        <v>0.0417</v>
      </c>
    </row>
    <row r="10" customFormat="false" ht="15" hidden="false" customHeight="false" outlineLevel="0" collapsed="false">
      <c r="A10" s="35" t="s">
        <v>237</v>
      </c>
      <c r="B10" s="21" t="n">
        <v>24</v>
      </c>
      <c r="C10" s="34" t="n">
        <f aca="false">COUNTIF(작품목록!$C$4:$C$103,A10)+COUNTIF(작품목록!$D$4:$D$103,A10)</f>
        <v>0</v>
      </c>
      <c r="D10" s="36" t="n">
        <f aca="false">IF(N(B10)=0,"",ROUND(C10/B10,4))</f>
        <v>0</v>
      </c>
      <c r="E10" s="34" t="n">
        <f aca="false">IF(D10="","",COUNTIFS($D$5:$D$46,"&gt;"&amp;D10)+COUNTIFS($D$5:$D$46,D10,$C$5:$C$46,"&gt;"&amp;C10)+1)</f>
        <v>25</v>
      </c>
      <c r="F10" s="21"/>
      <c r="G10" s="33" t="str">
        <f aca="false">IF(AND(N(B10)=0,C10&gt;0),"학생 수를 입력하세요",IF(AND(N(B10)&gt;0,C10&gt;N(B10)),"참여 학생 수가 학생 수보다 많아요",IF(F10="","",IF(N(F10)=C10,"일치","작품목록 확인(차이 "&amp;(N(F10)-C10)&amp;"명)"))))</f>
        <v/>
      </c>
      <c r="H10" s="37" t="n">
        <f aca="false">IF(E10="","",E10+COUNTIF($E$5:E10,E10)-1)</f>
        <v>26</v>
      </c>
      <c r="J10" s="34" t="n">
        <f aca="false">IFERROR(INDEX($E$5:$E$46,MATCH(6,$H$5:$H$46,0)),"")</f>
        <v>4</v>
      </c>
      <c r="K10" s="34" t="str">
        <f aca="false">IFERROR(INDEX($A$5:$A$46,MATCH(6,$H$5:$H$46,0)),"")</f>
        <v>6-1</v>
      </c>
      <c r="L10" s="38" t="n">
        <f aca="false">IFERROR(INDEX($C$5:$C$46,MATCH(6,$H$5:$H$46,0)),"")</f>
        <v>1</v>
      </c>
      <c r="M10" s="38" t="n">
        <f aca="false">IFERROR(INDEX($B$5:$B$46,MATCH(6,$H$5:$H$46,0)),"")</f>
        <v>24</v>
      </c>
      <c r="N10" s="36" t="n">
        <f aca="false">IFERROR(INDEX($D$5:$D$46,MATCH(6,$H$5:$H$46,0)),"")</f>
        <v>0.0417</v>
      </c>
    </row>
    <row r="11" customFormat="false" ht="15" hidden="false" customHeight="false" outlineLevel="0" collapsed="false">
      <c r="A11" s="35" t="s">
        <v>238</v>
      </c>
      <c r="B11" s="21" t="n">
        <v>26</v>
      </c>
      <c r="C11" s="34" t="n">
        <f aca="false">COUNTIF(작품목록!$C$4:$C$103,A11)+COUNTIF(작품목록!$D$4:$D$103,A11)</f>
        <v>0</v>
      </c>
      <c r="D11" s="36" t="n">
        <f aca="false">IF(N(B11)=0,"",ROUND(C11/B11,4))</f>
        <v>0</v>
      </c>
      <c r="E11" s="34" t="n">
        <f aca="false">IF(D11="","",COUNTIFS($D$5:$D$46,"&gt;"&amp;D11)+COUNTIFS($D$5:$D$46,D11,$C$5:$C$46,"&gt;"&amp;C11)+1)</f>
        <v>25</v>
      </c>
      <c r="F11" s="21"/>
      <c r="G11" s="33" t="str">
        <f aca="false">IF(AND(N(B11)=0,C11&gt;0),"학생 수를 입력하세요",IF(AND(N(B11)&gt;0,C11&gt;N(B11)),"참여 학생 수가 학생 수보다 많아요",IF(F11="","",IF(N(F11)=C11,"일치","작품목록 확인(차이 "&amp;(N(F11)-C11)&amp;"명)"))))</f>
        <v/>
      </c>
      <c r="H11" s="37" t="n">
        <f aca="false">IF(E11="","",E11+COUNTIF($E$5:E11,E11)-1)</f>
        <v>27</v>
      </c>
      <c r="J11" s="34" t="n">
        <f aca="false">IFERROR(INDEX($E$5:$E$46,MATCH(7,$H$5:$H$46,0)),"")</f>
        <v>7</v>
      </c>
      <c r="K11" s="34" t="str">
        <f aca="false">IFERROR(INDEX($A$5:$A$46,MATCH(7,$H$5:$H$46,0)),"")</f>
        <v>3-1</v>
      </c>
      <c r="L11" s="38" t="n">
        <f aca="false">IFERROR(INDEX($C$5:$C$46,MATCH(7,$H$5:$H$46,0)),"")</f>
        <v>1</v>
      </c>
      <c r="M11" s="38" t="n">
        <f aca="false">IFERROR(INDEX($B$5:$B$46,MATCH(7,$H$5:$H$46,0)),"")</f>
        <v>25</v>
      </c>
      <c r="N11" s="36" t="n">
        <f aca="false">IFERROR(INDEX($D$5:$D$46,MATCH(7,$H$5:$H$46,0)),"")</f>
        <v>0.04</v>
      </c>
    </row>
    <row r="12" customFormat="false" ht="15" hidden="false" customHeight="false" outlineLevel="0" collapsed="false">
      <c r="A12" s="35" t="s">
        <v>158</v>
      </c>
      <c r="B12" s="21" t="n">
        <v>27</v>
      </c>
      <c r="C12" s="34" t="n">
        <f aca="false">COUNTIF(작품목록!$C$4:$C$103,A12)+COUNTIF(작품목록!$D$4:$D$103,A12)</f>
        <v>1</v>
      </c>
      <c r="D12" s="36" t="n">
        <f aca="false">IF(N(B12)=0,"",ROUND(C12/B12,4))</f>
        <v>0.037</v>
      </c>
      <c r="E12" s="34" t="n">
        <f aca="false">IF(D12="","",COUNTIFS($D$5:$D$46,"&gt;"&amp;D12)+COUNTIFS($D$5:$D$46,D12,$C$5:$C$46,"&gt;"&amp;C12)+1)</f>
        <v>14</v>
      </c>
      <c r="F12" s="21" t="n">
        <v>1</v>
      </c>
      <c r="G12" s="33" t="str">
        <f aca="false">IF(AND(N(B12)=0,C12&gt;0),"학생 수를 입력하세요",IF(AND(N(B12)&gt;0,C12&gt;N(B12)),"참여 학생 수가 학생 수보다 많아요",IF(F12="","",IF(N(F12)=C12,"일치","작품목록 확인(차이 "&amp;(N(F12)-C12)&amp;"명)"))))</f>
        <v>일치</v>
      </c>
      <c r="H12" s="37" t="n">
        <f aca="false">IF(E12="","",E12+COUNTIF($E$5:E12,E12)-1)</f>
        <v>15</v>
      </c>
      <c r="J12" s="34" t="n">
        <f aca="false">IFERROR(INDEX($E$5:$E$46,MATCH(8,$H$5:$H$46,0)),"")</f>
        <v>7</v>
      </c>
      <c r="K12" s="34" t="str">
        <f aca="false">IFERROR(INDEX($A$5:$A$46,MATCH(8,$H$5:$H$46,0)),"")</f>
        <v>5-3</v>
      </c>
      <c r="L12" s="38" t="n">
        <f aca="false">IFERROR(INDEX($C$5:$C$46,MATCH(8,$H$5:$H$46,0)),"")</f>
        <v>1</v>
      </c>
      <c r="M12" s="38" t="n">
        <f aca="false">IFERROR(INDEX($B$5:$B$46,MATCH(8,$H$5:$H$46,0)),"")</f>
        <v>25</v>
      </c>
      <c r="N12" s="36" t="n">
        <f aca="false">IFERROR(INDEX($D$5:$D$46,MATCH(8,$H$5:$H$46,0)),"")</f>
        <v>0.04</v>
      </c>
    </row>
    <row r="13" customFormat="false" ht="15" hidden="false" customHeight="false" outlineLevel="0" collapsed="false">
      <c r="A13" s="35" t="s">
        <v>179</v>
      </c>
      <c r="B13" s="21" t="n">
        <v>24</v>
      </c>
      <c r="C13" s="34" t="n">
        <f aca="false">COUNTIF(작품목록!$C$4:$C$103,A13)+COUNTIF(작품목록!$D$4:$D$103,A13)</f>
        <v>1</v>
      </c>
      <c r="D13" s="36" t="n">
        <f aca="false">IF(N(B13)=0,"",ROUND(C13/B13,4))</f>
        <v>0.0417</v>
      </c>
      <c r="E13" s="34" t="n">
        <f aca="false">IF(D13="","",COUNTIFS($D$5:$D$46,"&gt;"&amp;D13)+COUNTIFS($D$5:$D$46,D13,$C$5:$C$46,"&gt;"&amp;C13)+1)</f>
        <v>4</v>
      </c>
      <c r="F13" s="21"/>
      <c r="G13" s="33" t="str">
        <f aca="false">IF(AND(N(B13)=0,C13&gt;0),"학생 수를 입력하세요",IF(AND(N(B13)&gt;0,C13&gt;N(B13)),"참여 학생 수가 학생 수보다 많아요",IF(F13="","",IF(N(F13)=C13,"일치","작품목록 확인(차이 "&amp;(N(F13)-C13)&amp;"명)"))))</f>
        <v/>
      </c>
      <c r="H13" s="37" t="n">
        <f aca="false">IF(E13="","",E13+COUNTIF($E$5:E13,E13)-1)</f>
        <v>5</v>
      </c>
      <c r="J13" s="34" t="n">
        <f aca="false">IFERROR(INDEX($E$5:$E$46,MATCH(9,$H$5:$H$46,0)),"")</f>
        <v>7</v>
      </c>
      <c r="K13" s="34" t="str">
        <f aca="false">IFERROR(INDEX($A$5:$A$46,MATCH(9,$H$5:$H$46,0)),"")</f>
        <v>6-4</v>
      </c>
      <c r="L13" s="38" t="n">
        <f aca="false">IFERROR(INDEX($C$5:$C$46,MATCH(9,$H$5:$H$46,0)),"")</f>
        <v>1</v>
      </c>
      <c r="M13" s="38" t="n">
        <f aca="false">IFERROR(INDEX($B$5:$B$46,MATCH(9,$H$5:$H$46,0)),"")</f>
        <v>25</v>
      </c>
      <c r="N13" s="36" t="n">
        <f aca="false">IFERROR(INDEX($D$5:$D$46,MATCH(9,$H$5:$H$46,0)),"")</f>
        <v>0.04</v>
      </c>
    </row>
    <row r="14" customFormat="false" ht="15" hidden="false" customHeight="false" outlineLevel="0" collapsed="false">
      <c r="A14" s="35" t="s">
        <v>189</v>
      </c>
      <c r="B14" s="21" t="n">
        <v>26</v>
      </c>
      <c r="C14" s="34" t="n">
        <f aca="false">COUNTIF(작품목록!$C$4:$C$103,A14)+COUNTIF(작품목록!$D$4:$D$103,A14)</f>
        <v>1</v>
      </c>
      <c r="D14" s="36" t="n">
        <f aca="false">IF(N(B14)=0,"",ROUND(C14/B14,4))</f>
        <v>0.0385</v>
      </c>
      <c r="E14" s="34" t="n">
        <f aca="false">IF(D14="","",COUNTIFS($D$5:$D$46,"&gt;"&amp;D14)+COUNTIFS($D$5:$D$46,D14,$C$5:$C$46,"&gt;"&amp;C14)+1)</f>
        <v>10</v>
      </c>
      <c r="F14" s="21"/>
      <c r="G14" s="33" t="str">
        <f aca="false">IF(AND(N(B14)=0,C14&gt;0),"학생 수를 입력하세요",IF(AND(N(B14)&gt;0,C14&gt;N(B14)),"참여 학생 수가 학생 수보다 많아요",IF(F14="","",IF(N(F14)=C14,"일치","작품목록 확인(차이 "&amp;(N(F14)-C14)&amp;"명)"))))</f>
        <v/>
      </c>
      <c r="H14" s="37" t="n">
        <f aca="false">IF(E14="","",E14+COUNTIF($E$5:E14,E14)-1)</f>
        <v>11</v>
      </c>
      <c r="J14" s="34" t="n">
        <f aca="false">IFERROR(INDEX($E$5:$E$46,MATCH(10,$H$5:$H$46,0)),"")</f>
        <v>10</v>
      </c>
      <c r="K14" s="34" t="str">
        <f aca="false">IFERROR(INDEX($A$5:$A$46,MATCH(10,$H$5:$H$46,0)),"")</f>
        <v>1-2</v>
      </c>
      <c r="L14" s="38" t="n">
        <f aca="false">IFERROR(INDEX($C$5:$C$46,MATCH(10,$H$5:$H$46,0)),"")</f>
        <v>1</v>
      </c>
      <c r="M14" s="38" t="n">
        <f aca="false">IFERROR(INDEX($B$5:$B$46,MATCH(10,$H$5:$H$46,0)),"")</f>
        <v>26</v>
      </c>
      <c r="N14" s="36" t="n">
        <f aca="false">IFERROR(INDEX($D$5:$D$46,MATCH(10,$H$5:$H$46,0)),"")</f>
        <v>0.0385</v>
      </c>
    </row>
    <row r="15" customFormat="false" ht="15" hidden="false" customHeight="false" outlineLevel="0" collapsed="false">
      <c r="A15" s="35" t="s">
        <v>169</v>
      </c>
      <c r="B15" s="21" t="n">
        <v>28</v>
      </c>
      <c r="C15" s="34" t="n">
        <f aca="false">COUNTIF(작품목록!$C$4:$C$103,A15)+COUNTIF(작품목록!$D$4:$D$103,A15)</f>
        <v>1</v>
      </c>
      <c r="D15" s="36" t="n">
        <f aca="false">IF(N(B15)=0,"",ROUND(C15/B15,4))</f>
        <v>0.0357</v>
      </c>
      <c r="E15" s="34" t="n">
        <f aca="false">IF(D15="","",COUNTIFS($D$5:$D$46,"&gt;"&amp;D15)+COUNTIFS($D$5:$D$46,D15,$C$5:$C$46,"&gt;"&amp;C15)+1)</f>
        <v>19</v>
      </c>
      <c r="F15" s="21"/>
      <c r="G15" s="33" t="str">
        <f aca="false">IF(AND(N(B15)=0,C15&gt;0),"학생 수를 입력하세요",IF(AND(N(B15)&gt;0,C15&gt;N(B15)),"참여 학생 수가 학생 수보다 많아요",IF(F15="","",IF(N(F15)=C15,"일치","작품목록 확인(차이 "&amp;(N(F15)-C15)&amp;"명)"))))</f>
        <v/>
      </c>
      <c r="H15" s="37" t="n">
        <f aca="false">IF(E15="","",E15+COUNTIF($E$5:E15,E15)-1)</f>
        <v>20</v>
      </c>
      <c r="J15" s="39" t="s">
        <v>239</v>
      </c>
    </row>
    <row r="16" customFormat="false" ht="15" hidden="false" customHeight="false" outlineLevel="0" collapsed="false">
      <c r="A16" s="35" t="s">
        <v>240</v>
      </c>
      <c r="B16" s="21" t="n">
        <v>25</v>
      </c>
      <c r="C16" s="34" t="n">
        <f aca="false">COUNTIF(작품목록!$C$4:$C$103,A16)+COUNTIF(작품목록!$D$4:$D$103,A16)</f>
        <v>0</v>
      </c>
      <c r="D16" s="36" t="n">
        <f aca="false">IF(N(B16)=0,"",ROUND(C16/B16,4))</f>
        <v>0</v>
      </c>
      <c r="E16" s="34" t="n">
        <f aca="false">IF(D16="","",COUNTIFS($D$5:$D$46,"&gt;"&amp;D16)+COUNTIFS($D$5:$D$46,D16,$C$5:$C$46,"&gt;"&amp;C16)+1)</f>
        <v>25</v>
      </c>
      <c r="F16" s="21"/>
      <c r="G16" s="33" t="str">
        <f aca="false">IF(AND(N(B16)=0,C16&gt;0),"학생 수를 입력하세요",IF(AND(N(B16)&gt;0,C16&gt;N(B16)),"참여 학생 수가 학생 수보다 많아요",IF(F16="","",IF(N(F16)=C16,"일치","작품목록 확인(차이 "&amp;(N(F16)-C16)&amp;"명)"))))</f>
        <v/>
      </c>
      <c r="H16" s="37" t="n">
        <f aca="false">IF(E16="","",E16+COUNTIF($E$5:E16,E16)-1)</f>
        <v>28</v>
      </c>
    </row>
    <row r="17" customFormat="false" ht="15" hidden="false" customHeight="false" outlineLevel="0" collapsed="false">
      <c r="A17" s="35" t="s">
        <v>241</v>
      </c>
      <c r="B17" s="21" t="n">
        <v>27</v>
      </c>
      <c r="C17" s="34" t="n">
        <f aca="false">COUNTIF(작품목록!$C$4:$C$103,A17)+COUNTIF(작품목록!$D$4:$D$103,A17)</f>
        <v>0</v>
      </c>
      <c r="D17" s="36" t="n">
        <f aca="false">IF(N(B17)=0,"",ROUND(C17/B17,4))</f>
        <v>0</v>
      </c>
      <c r="E17" s="34" t="n">
        <f aca="false">IF(D17="","",COUNTIFS($D$5:$D$46,"&gt;"&amp;D17)+COUNTIFS($D$5:$D$46,D17,$C$5:$C$46,"&gt;"&amp;C17)+1)</f>
        <v>25</v>
      </c>
      <c r="F17" s="21"/>
      <c r="G17" s="33" t="str">
        <f aca="false">IF(AND(N(B17)=0,C17&gt;0),"학생 수를 입력하세요",IF(AND(N(B17)&gt;0,C17&gt;N(B17)),"참여 학생 수가 학생 수보다 많아요",IF(F17="","",IF(N(F17)=C17,"일치","작품목록 확인(차이 "&amp;(N(F17)-C17)&amp;"명)"))))</f>
        <v/>
      </c>
      <c r="H17" s="37" t="n">
        <f aca="false">IF(E17="","",E17+COUNTIF($E$5:E17,E17)-1)</f>
        <v>29</v>
      </c>
      <c r="J17" s="31" t="s">
        <v>242</v>
      </c>
    </row>
    <row r="18" customFormat="false" ht="15" hidden="false" customHeight="true" outlineLevel="0" collapsed="false">
      <c r="A18" s="35" t="s">
        <v>243</v>
      </c>
      <c r="B18" s="21" t="n">
        <v>24</v>
      </c>
      <c r="C18" s="34" t="n">
        <f aca="false">COUNTIF(작품목록!$C$4:$C$103,A18)+COUNTIF(작품목록!$D$4:$D$103,A18)</f>
        <v>0</v>
      </c>
      <c r="D18" s="36" t="n">
        <f aca="false">IF(N(B18)=0,"",ROUND(C18/B18,4))</f>
        <v>0</v>
      </c>
      <c r="E18" s="34" t="n">
        <f aca="false">IF(D18="","",COUNTIFS($D$5:$D$46,"&gt;"&amp;D18)+COUNTIFS($D$5:$D$46,D18,$C$5:$C$46,"&gt;"&amp;C18)+1)</f>
        <v>25</v>
      </c>
      <c r="F18" s="21"/>
      <c r="G18" s="33" t="str">
        <f aca="false">IF(AND(N(B18)=0,C18&gt;0),"학생 수를 입력하세요",IF(AND(N(B18)&gt;0,C18&gt;N(B18)),"참여 학생 수가 학생 수보다 많아요",IF(F18="","",IF(N(F18)=C18,"일치","작품목록 확인(차이 "&amp;(N(F18)-C18)&amp;"명)"))))</f>
        <v/>
      </c>
      <c r="H18" s="37" t="n">
        <f aca="false">IF(E18="","",E18+COUNTIF($E$5:E18,E18)-1)</f>
        <v>30</v>
      </c>
      <c r="J18" s="40" t="s">
        <v>244</v>
      </c>
      <c r="K18" s="40"/>
      <c r="L18" s="41" t="n">
        <f aca="false">SUM($B$5:$B$46)</f>
        <v>1090</v>
      </c>
    </row>
    <row r="19" customFormat="false" ht="15" hidden="false" customHeight="true" outlineLevel="0" collapsed="false">
      <c r="A19" s="35" t="s">
        <v>151</v>
      </c>
      <c r="B19" s="21" t="n">
        <v>25</v>
      </c>
      <c r="C19" s="34" t="n">
        <f aca="false">COUNTIF(작품목록!$C$4:$C$103,A19)+COUNTIF(작품목록!$D$4:$D$103,A19)</f>
        <v>1</v>
      </c>
      <c r="D19" s="36" t="n">
        <f aca="false">IF(N(B19)=0,"",ROUND(C19/B19,4))</f>
        <v>0.04</v>
      </c>
      <c r="E19" s="34" t="n">
        <f aca="false">IF(D19="","",COUNTIFS($D$5:$D$46,"&gt;"&amp;D19)+COUNTIFS($D$5:$D$46,D19,$C$5:$C$46,"&gt;"&amp;C19)+1)</f>
        <v>7</v>
      </c>
      <c r="F19" s="42" t="s">
        <v>245</v>
      </c>
      <c r="G19" s="33" t="str">
        <f aca="false">IF(AND(N(B19)=0,C19&gt;0),"학생 수를 입력하세요",IF(AND(N(B19)&gt;0,C19&gt;N(B19)),"참여 학생 수가 학생 수보다 많아요",""))</f>
        <v/>
      </c>
      <c r="H19" s="37" t="n">
        <f aca="false">IF(E19="","",E19+COUNTIF($E$5:E19,E19)-1)</f>
        <v>7</v>
      </c>
      <c r="J19" s="40" t="s">
        <v>246</v>
      </c>
      <c r="K19" s="40"/>
      <c r="L19" s="41" t="n">
        <f aca="false">SUM($C$5:$C$46)</f>
        <v>27</v>
      </c>
    </row>
    <row r="20" customFormat="false" ht="15" hidden="false" customHeight="true" outlineLevel="0" collapsed="false">
      <c r="A20" s="35" t="s">
        <v>60</v>
      </c>
      <c r="B20" s="21" t="n">
        <v>27</v>
      </c>
      <c r="C20" s="34" t="n">
        <f aca="false">COUNTIF(작품목록!$C$4:$C$103,A20)+COUNTIF(작품목록!$D$4:$D$103,A20)</f>
        <v>1</v>
      </c>
      <c r="D20" s="36" t="n">
        <f aca="false">IF(N(B20)=0,"",ROUND(C20/B20,4))</f>
        <v>0.037</v>
      </c>
      <c r="E20" s="34" t="n">
        <f aca="false">IF(D20="","",COUNTIFS($D$5:$D$46,"&gt;"&amp;D20)+COUNTIFS($D$5:$D$46,D20,$C$5:$C$46,"&gt;"&amp;C20)+1)</f>
        <v>14</v>
      </c>
      <c r="F20" s="42" t="s">
        <v>245</v>
      </c>
      <c r="G20" s="33" t="str">
        <f aca="false">IF(AND(N(B20)=0,C20&gt;0),"학생 수를 입력하세요",IF(AND(N(B20)&gt;0,C20&gt;N(B20)),"참여 학생 수가 학생 수보다 많아요",""))</f>
        <v/>
      </c>
      <c r="H20" s="37" t="n">
        <f aca="false">IF(E20="","",E20+COUNTIF($E$5:E20,E20)-1)</f>
        <v>16</v>
      </c>
      <c r="J20" s="40" t="s">
        <v>247</v>
      </c>
      <c r="K20" s="40"/>
      <c r="L20" s="36" t="n">
        <f aca="false">IF(SUM($B$5:$B$46)=0,"",ROUND(SUMIF($B$5:$B$46,"&gt;0",$C$5:$C$46)/SUM($B$5:$B$46),4))</f>
        <v>0.0248</v>
      </c>
    </row>
    <row r="21" customFormat="false" ht="15" hidden="false" customHeight="true" outlineLevel="0" collapsed="false">
      <c r="A21" s="35" t="s">
        <v>248</v>
      </c>
      <c r="B21" s="21" t="n">
        <v>24</v>
      </c>
      <c r="C21" s="34" t="n">
        <f aca="false">COUNTIF(작품목록!$C$4:$C$103,A21)+COUNTIF(작품목록!$D$4:$D$103,A21)</f>
        <v>0</v>
      </c>
      <c r="D21" s="36" t="n">
        <f aca="false">IF(N(B21)=0,"",ROUND(C21/B21,4))</f>
        <v>0</v>
      </c>
      <c r="E21" s="34" t="n">
        <f aca="false">IF(D21="","",COUNTIFS($D$5:$D$46,"&gt;"&amp;D21)+COUNTIFS($D$5:$D$46,D21,$C$5:$C$46,"&gt;"&amp;C21)+1)</f>
        <v>25</v>
      </c>
      <c r="F21" s="42" t="s">
        <v>245</v>
      </c>
      <c r="G21" s="33" t="str">
        <f aca="false">IF(AND(N(B21)=0,C21&gt;0),"학생 수를 입력하세요",IF(AND(N(B21)&gt;0,C21&gt;N(B21)),"참여 학생 수가 학생 수보다 많아요",""))</f>
        <v/>
      </c>
      <c r="H21" s="37" t="n">
        <f aca="false">IF(E21="","",E21+COUNTIF($E$5:E21,E21)-1)</f>
        <v>31</v>
      </c>
      <c r="J21" s="40" t="s">
        <v>249</v>
      </c>
      <c r="K21" s="40"/>
      <c r="L21" s="43" t="n">
        <f aca="false">SUMPRODUCT(--(작품목록!$A$4:$A$103&lt;&gt;""))+SUMPRODUCT(--(작품목록!$D$4:$D$103&lt;&gt;""))-SUM($C$5:$C$46)</f>
        <v>0</v>
      </c>
    </row>
    <row r="22" customFormat="false" ht="15" hidden="false" customHeight="false" outlineLevel="0" collapsed="false">
      <c r="A22" s="35" t="s">
        <v>127</v>
      </c>
      <c r="B22" s="21" t="n">
        <v>26</v>
      </c>
      <c r="C22" s="34" t="n">
        <f aca="false">COUNTIF(작품목록!$C$4:$C$103,A22)+COUNTIF(작품목록!$D$4:$D$103,A22)</f>
        <v>1</v>
      </c>
      <c r="D22" s="36" t="n">
        <f aca="false">IF(N(B22)=0,"",ROUND(C22/B22,4))</f>
        <v>0.0385</v>
      </c>
      <c r="E22" s="34" t="n">
        <f aca="false">IF(D22="","",COUNTIFS($D$5:$D$46,"&gt;"&amp;D22)+COUNTIFS($D$5:$D$46,D22,$C$5:$C$46,"&gt;"&amp;C22)+1)</f>
        <v>10</v>
      </c>
      <c r="F22" s="42" t="s">
        <v>245</v>
      </c>
      <c r="G22" s="33" t="str">
        <f aca="false">IF(AND(N(B22)=0,C22&gt;0),"학생 수를 입력하세요",IF(AND(N(B22)&gt;0,C22&gt;N(B22)),"참여 학생 수가 학생 수보다 많아요",""))</f>
        <v/>
      </c>
      <c r="H22" s="37" t="n">
        <f aca="false">IF(E22="","",E22+COUNTIF($E$5:E22,E22)-1)</f>
        <v>12</v>
      </c>
      <c r="J22" s="44" t="s">
        <v>250</v>
      </c>
    </row>
    <row r="23" customFormat="false" ht="15" hidden="false" customHeight="false" outlineLevel="0" collapsed="false">
      <c r="A23" s="35" t="s">
        <v>85</v>
      </c>
      <c r="B23" s="21" t="n">
        <v>28</v>
      </c>
      <c r="C23" s="34" t="n">
        <f aca="false">COUNTIF(작품목록!$C$4:$C$103,A23)+COUNTIF(작품목록!$D$4:$D$103,A23)</f>
        <v>1</v>
      </c>
      <c r="D23" s="36" t="n">
        <f aca="false">IF(N(B23)=0,"",ROUND(C23/B23,4))</f>
        <v>0.0357</v>
      </c>
      <c r="E23" s="34" t="n">
        <f aca="false">IF(D23="","",COUNTIFS($D$5:$D$46,"&gt;"&amp;D23)+COUNTIFS($D$5:$D$46,D23,$C$5:$C$46,"&gt;"&amp;C23)+1)</f>
        <v>19</v>
      </c>
      <c r="F23" s="42" t="s">
        <v>245</v>
      </c>
      <c r="G23" s="33" t="str">
        <f aca="false">IF(AND(N(B23)=0,C23&gt;0),"학생 수를 입력하세요",IF(AND(N(B23)&gt;0,C23&gt;N(B23)),"참여 학생 수가 학생 수보다 많아요",""))</f>
        <v/>
      </c>
      <c r="H23" s="37" t="n">
        <f aca="false">IF(E23="","",E23+COUNTIF($E$5:E23,E23)-1)</f>
        <v>21</v>
      </c>
    </row>
    <row r="24" customFormat="false" ht="15" hidden="false" customHeight="false" outlineLevel="0" collapsed="false">
      <c r="A24" s="35" t="s">
        <v>251</v>
      </c>
      <c r="B24" s="21" t="n">
        <v>25</v>
      </c>
      <c r="C24" s="34" t="n">
        <f aca="false">COUNTIF(작품목록!$C$4:$C$103,A24)+COUNTIF(작품목록!$D$4:$D$103,A24)</f>
        <v>0</v>
      </c>
      <c r="D24" s="36" t="n">
        <f aca="false">IF(N(B24)=0,"",ROUND(C24/B24,4))</f>
        <v>0</v>
      </c>
      <c r="E24" s="34" t="n">
        <f aca="false">IF(D24="","",COUNTIFS($D$5:$D$46,"&gt;"&amp;D24)+COUNTIFS($D$5:$D$46,D24,$C$5:$C$46,"&gt;"&amp;C24)+1)</f>
        <v>25</v>
      </c>
      <c r="F24" s="42" t="s">
        <v>245</v>
      </c>
      <c r="G24" s="33" t="str">
        <f aca="false">IF(AND(N(B24)=0,C24&gt;0),"학생 수를 입력하세요",IF(AND(N(B24)&gt;0,C24&gt;N(B24)),"참여 학생 수가 학생 수보다 많아요",""))</f>
        <v/>
      </c>
      <c r="H24" s="37" t="n">
        <f aca="false">IF(E24="","",E24+COUNTIF($E$5:E24,E24)-1)</f>
        <v>32</v>
      </c>
    </row>
    <row r="25" customFormat="false" ht="15" hidden="false" customHeight="false" outlineLevel="0" collapsed="false">
      <c r="A25" s="35" t="s">
        <v>252</v>
      </c>
      <c r="B25" s="21" t="n">
        <v>27</v>
      </c>
      <c r="C25" s="34" t="n">
        <f aca="false">COUNTIF(작품목록!$C$4:$C$103,A25)+COUNTIF(작품목록!$D$4:$D$103,A25)</f>
        <v>0</v>
      </c>
      <c r="D25" s="36" t="n">
        <f aca="false">IF(N(B25)=0,"",ROUND(C25/B25,4))</f>
        <v>0</v>
      </c>
      <c r="E25" s="34" t="n">
        <f aca="false">IF(D25="","",COUNTIFS($D$5:$D$46,"&gt;"&amp;D25)+COUNTIFS($D$5:$D$46,D25,$C$5:$C$46,"&gt;"&amp;C25)+1)</f>
        <v>25</v>
      </c>
      <c r="F25" s="42" t="s">
        <v>245</v>
      </c>
      <c r="G25" s="33" t="str">
        <f aca="false">IF(AND(N(B25)=0,C25&gt;0),"학생 수를 입력하세요",IF(AND(N(B25)&gt;0,C25&gt;N(B25)),"참여 학생 수가 학생 수보다 많아요",""))</f>
        <v/>
      </c>
      <c r="H25" s="37" t="n">
        <f aca="false">IF(E25="","",E25+COUNTIF($E$5:E25,E25)-1)</f>
        <v>33</v>
      </c>
    </row>
    <row r="26" customFormat="false" ht="15" hidden="false" customHeight="false" outlineLevel="0" collapsed="false">
      <c r="A26" s="35" t="s">
        <v>72</v>
      </c>
      <c r="B26" s="21" t="n">
        <v>28</v>
      </c>
      <c r="C26" s="34" t="n">
        <f aca="false">COUNTIF(작품목록!$C$4:$C$103,A26)+COUNTIF(작품목록!$D$4:$D$103,A26)</f>
        <v>1</v>
      </c>
      <c r="D26" s="36" t="n">
        <f aca="false">IF(N(B26)=0,"",ROUND(C26/B26,4))</f>
        <v>0.0357</v>
      </c>
      <c r="E26" s="34" t="n">
        <f aca="false">IF(D26="","",COUNTIFS($D$5:$D$46,"&gt;"&amp;D26)+COUNTIFS($D$5:$D$46,D26,$C$5:$C$46,"&gt;"&amp;C26)+1)</f>
        <v>19</v>
      </c>
      <c r="F26" s="42" t="s">
        <v>245</v>
      </c>
      <c r="G26" s="33" t="str">
        <f aca="false">IF(AND(N(B26)=0,C26&gt;0),"학생 수를 입력하세요",IF(AND(N(B26)&gt;0,C26&gt;N(B26)),"참여 학생 수가 학생 수보다 많아요",""))</f>
        <v/>
      </c>
      <c r="H26" s="37" t="n">
        <f aca="false">IF(E26="","",E26+COUNTIF($E$5:E26,E26)-1)</f>
        <v>22</v>
      </c>
    </row>
    <row r="27" customFormat="false" ht="15" hidden="false" customHeight="false" outlineLevel="0" collapsed="false">
      <c r="A27" s="35" t="s">
        <v>139</v>
      </c>
      <c r="B27" s="21" t="n">
        <v>25</v>
      </c>
      <c r="C27" s="34" t="n">
        <f aca="false">COUNTIF(작품목록!$C$4:$C$103,A27)+COUNTIF(작품목록!$D$4:$D$103,A27)</f>
        <v>2</v>
      </c>
      <c r="D27" s="36" t="n">
        <f aca="false">IF(N(B27)=0,"",ROUND(C27/B27,4))</f>
        <v>0.08</v>
      </c>
      <c r="E27" s="34" t="n">
        <f aca="false">IF(D27="","",COUNTIFS($D$5:$D$46,"&gt;"&amp;D27)+COUNTIFS($D$5:$D$46,D27,$C$5:$C$46,"&gt;"&amp;C27)+1)</f>
        <v>1</v>
      </c>
      <c r="F27" s="42" t="s">
        <v>245</v>
      </c>
      <c r="G27" s="33" t="str">
        <f aca="false">IF(AND(N(B27)=0,C27&gt;0),"학생 수를 입력하세요",IF(AND(N(B27)&gt;0,C27&gt;N(B27)),"참여 학생 수가 학생 수보다 많아요",""))</f>
        <v/>
      </c>
      <c r="H27" s="37" t="n">
        <f aca="false">IF(E27="","",E27+COUNTIF($E$5:E27,E27)-1)</f>
        <v>1</v>
      </c>
    </row>
    <row r="28" customFormat="false" ht="15" hidden="false" customHeight="false" outlineLevel="0" collapsed="false">
      <c r="A28" s="35" t="s">
        <v>109</v>
      </c>
      <c r="B28" s="21" t="n">
        <v>27</v>
      </c>
      <c r="C28" s="34" t="n">
        <f aca="false">COUNTIF(작품목록!$C$4:$C$103,A28)+COUNTIF(작품목록!$D$4:$D$103,A28)</f>
        <v>1</v>
      </c>
      <c r="D28" s="36" t="n">
        <f aca="false">IF(N(B28)=0,"",ROUND(C28/B28,4))</f>
        <v>0.037</v>
      </c>
      <c r="E28" s="34" t="n">
        <f aca="false">IF(D28="","",COUNTIFS($D$5:$D$46,"&gt;"&amp;D28)+COUNTIFS($D$5:$D$46,D28,$C$5:$C$46,"&gt;"&amp;C28)+1)</f>
        <v>14</v>
      </c>
      <c r="F28" s="42" t="s">
        <v>245</v>
      </c>
      <c r="G28" s="33" t="str">
        <f aca="false">IF(AND(N(B28)=0,C28&gt;0),"학생 수를 입력하세요",IF(AND(N(B28)&gt;0,C28&gt;N(B28)),"참여 학생 수가 학생 수보다 많아요",""))</f>
        <v/>
      </c>
      <c r="H28" s="37" t="n">
        <f aca="false">IF(E28="","",E28+COUNTIF($E$5:E28,E28)-1)</f>
        <v>17</v>
      </c>
    </row>
    <row r="29" customFormat="false" ht="15" hidden="false" customHeight="false" outlineLevel="0" collapsed="false">
      <c r="A29" s="35" t="s">
        <v>253</v>
      </c>
      <c r="B29" s="21" t="n">
        <v>24</v>
      </c>
      <c r="C29" s="34" t="n">
        <f aca="false">COUNTIF(작품목록!$C$4:$C$103,A29)+COUNTIF(작품목록!$D$4:$D$103,A29)</f>
        <v>0</v>
      </c>
      <c r="D29" s="36" t="n">
        <f aca="false">IF(N(B29)=0,"",ROUND(C29/B29,4))</f>
        <v>0</v>
      </c>
      <c r="E29" s="34" t="n">
        <f aca="false">IF(D29="","",COUNTIFS($D$5:$D$46,"&gt;"&amp;D29)+COUNTIFS($D$5:$D$46,D29,$C$5:$C$46,"&gt;"&amp;C29)+1)</f>
        <v>25</v>
      </c>
      <c r="F29" s="42" t="s">
        <v>245</v>
      </c>
      <c r="G29" s="33" t="str">
        <f aca="false">IF(AND(N(B29)=0,C29&gt;0),"학생 수를 입력하세요",IF(AND(N(B29)&gt;0,C29&gt;N(B29)),"참여 학생 수가 학생 수보다 많아요",""))</f>
        <v/>
      </c>
      <c r="H29" s="37" t="n">
        <f aca="false">IF(E29="","",E29+COUNTIF($E$5:E29,E29)-1)</f>
        <v>34</v>
      </c>
    </row>
    <row r="30" customFormat="false" ht="15" hidden="false" customHeight="false" outlineLevel="0" collapsed="false">
      <c r="A30" s="35" t="s">
        <v>254</v>
      </c>
      <c r="B30" s="21" t="n">
        <v>26</v>
      </c>
      <c r="C30" s="34" t="n">
        <f aca="false">COUNTIF(작품목록!$C$4:$C$103,A30)+COUNTIF(작품목록!$D$4:$D$103,A30)</f>
        <v>0</v>
      </c>
      <c r="D30" s="36" t="n">
        <f aca="false">IF(N(B30)=0,"",ROUND(C30/B30,4))</f>
        <v>0</v>
      </c>
      <c r="E30" s="34" t="n">
        <f aca="false">IF(D30="","",COUNTIFS($D$5:$D$46,"&gt;"&amp;D30)+COUNTIFS($D$5:$D$46,D30,$C$5:$C$46,"&gt;"&amp;C30)+1)</f>
        <v>25</v>
      </c>
      <c r="F30" s="42" t="s">
        <v>245</v>
      </c>
      <c r="G30" s="33" t="str">
        <f aca="false">IF(AND(N(B30)=0,C30&gt;0),"학생 수를 입력하세요",IF(AND(N(B30)&gt;0,C30&gt;N(B30)),"참여 학생 수가 학생 수보다 많아요",""))</f>
        <v/>
      </c>
      <c r="H30" s="37" t="n">
        <f aca="false">IF(E30="","",E30+COUNTIF($E$5:E30,E30)-1)</f>
        <v>35</v>
      </c>
    </row>
    <row r="31" customFormat="false" ht="15" hidden="false" customHeight="false" outlineLevel="0" collapsed="false">
      <c r="A31" s="35" t="s">
        <v>97</v>
      </c>
      <c r="B31" s="21" t="n">
        <v>28</v>
      </c>
      <c r="C31" s="34" t="n">
        <f aca="false">COUNTIF(작품목록!$C$4:$C$103,A31)+COUNTIF(작품목록!$D$4:$D$103,A31)</f>
        <v>1</v>
      </c>
      <c r="D31" s="36" t="n">
        <f aca="false">IF(N(B31)=0,"",ROUND(C31/B31,4))</f>
        <v>0.0357</v>
      </c>
      <c r="E31" s="34" t="n">
        <f aca="false">IF(D31="","",COUNTIFS($D$5:$D$46,"&gt;"&amp;D31)+COUNTIFS($D$5:$D$46,D31,$C$5:$C$46,"&gt;"&amp;C31)+1)</f>
        <v>19</v>
      </c>
      <c r="F31" s="42" t="s">
        <v>245</v>
      </c>
      <c r="G31" s="33" t="str">
        <f aca="false">IF(AND(N(B31)=0,C31&gt;0),"학생 수를 입력하세요",IF(AND(N(B31)&gt;0,C31&gt;N(B31)),"참여 학생 수가 학생 수보다 많아요",""))</f>
        <v/>
      </c>
      <c r="H31" s="37" t="n">
        <f aca="false">IF(E31="","",E31+COUNTIF($E$5:E31,E31)-1)</f>
        <v>23</v>
      </c>
    </row>
    <row r="32" customFormat="false" ht="15" hidden="false" customHeight="false" outlineLevel="0" collapsed="false">
      <c r="A32" s="35" t="s">
        <v>255</v>
      </c>
      <c r="B32" s="21" t="n">
        <v>25</v>
      </c>
      <c r="C32" s="34" t="n">
        <f aca="false">COUNTIF(작품목록!$C$4:$C$103,A32)+COUNTIF(작품목록!$D$4:$D$103,A32)</f>
        <v>0</v>
      </c>
      <c r="D32" s="36" t="n">
        <f aca="false">IF(N(B32)=0,"",ROUND(C32/B32,4))</f>
        <v>0</v>
      </c>
      <c r="E32" s="34" t="n">
        <f aca="false">IF(D32="","",COUNTIFS($D$5:$D$46,"&gt;"&amp;D32)+COUNTIFS($D$5:$D$46,D32,$C$5:$C$46,"&gt;"&amp;C32)+1)</f>
        <v>25</v>
      </c>
      <c r="F32" s="42" t="s">
        <v>245</v>
      </c>
      <c r="G32" s="33" t="str">
        <f aca="false">IF(AND(N(B32)=0,C32&gt;0),"학생 수를 입력하세요",IF(AND(N(B32)&gt;0,C32&gt;N(B32)),"참여 학생 수가 학생 수보다 많아요",""))</f>
        <v/>
      </c>
      <c r="H32" s="37" t="n">
        <f aca="false">IF(E32="","",E32+COUNTIF($E$5:E32,E32)-1)</f>
        <v>36</v>
      </c>
    </row>
    <row r="33" customFormat="false" ht="15" hidden="false" customHeight="false" outlineLevel="0" collapsed="false">
      <c r="A33" s="35" t="s">
        <v>115</v>
      </c>
      <c r="B33" s="21" t="n">
        <v>26</v>
      </c>
      <c r="C33" s="34" t="n">
        <f aca="false">COUNTIF(작품목록!$C$4:$C$103,A33)+COUNTIF(작품목록!$D$4:$D$103,A33)</f>
        <v>2</v>
      </c>
      <c r="D33" s="36" t="n">
        <f aca="false">IF(N(B33)=0,"",ROUND(C33/B33,4))</f>
        <v>0.0769</v>
      </c>
      <c r="E33" s="34" t="n">
        <f aca="false">IF(D33="","",COUNTIFS($D$5:$D$46,"&gt;"&amp;D33)+COUNTIFS($D$5:$D$46,D33,$C$5:$C$46,"&gt;"&amp;C33)+1)</f>
        <v>2</v>
      </c>
      <c r="F33" s="42" t="s">
        <v>245</v>
      </c>
      <c r="G33" s="33" t="str">
        <f aca="false">IF(AND(N(B33)=0,C33&gt;0),"학생 수를 입력하세요",IF(AND(N(B33)&gt;0,C33&gt;N(B33)),"참여 학생 수가 학생 수보다 많아요",""))</f>
        <v/>
      </c>
      <c r="H33" s="37" t="n">
        <f aca="false">IF(E33="","",E33+COUNTIF($E$5:E33,E33)-1)</f>
        <v>2</v>
      </c>
    </row>
    <row r="34" customFormat="false" ht="15" hidden="false" customHeight="false" outlineLevel="0" collapsed="false">
      <c r="A34" s="35" t="s">
        <v>79</v>
      </c>
      <c r="B34" s="21" t="n">
        <v>28</v>
      </c>
      <c r="C34" s="34" t="n">
        <f aca="false">COUNTIF(작품목록!$C$4:$C$103,A34)+COUNTIF(작품목록!$D$4:$D$103,A34)</f>
        <v>2</v>
      </c>
      <c r="D34" s="36" t="n">
        <f aca="false">IF(N(B34)=0,"",ROUND(C34/B34,4))</f>
        <v>0.0714</v>
      </c>
      <c r="E34" s="34" t="n">
        <f aca="false">IF(D34="","",COUNTIFS($D$5:$D$46,"&gt;"&amp;D34)+COUNTIFS($D$5:$D$46,D34,$C$5:$C$46,"&gt;"&amp;C34)+1)</f>
        <v>3</v>
      </c>
      <c r="F34" s="42" t="s">
        <v>245</v>
      </c>
      <c r="G34" s="33" t="str">
        <f aca="false">IF(AND(N(B34)=0,C34&gt;0),"학생 수를 입력하세요",IF(AND(N(B34)&gt;0,C34&gt;N(B34)),"참여 학생 수가 학생 수보다 많아요",""))</f>
        <v/>
      </c>
      <c r="H34" s="37" t="n">
        <f aca="false">IF(E34="","",E34+COUNTIF($E$5:E34,E34)-1)</f>
        <v>3</v>
      </c>
    </row>
    <row r="35" customFormat="false" ht="15" hidden="false" customHeight="false" outlineLevel="0" collapsed="false">
      <c r="A35" s="35" t="s">
        <v>78</v>
      </c>
      <c r="B35" s="21" t="n">
        <v>25</v>
      </c>
      <c r="C35" s="34" t="n">
        <f aca="false">COUNTIF(작품목록!$C$4:$C$103,A35)+COUNTIF(작품목록!$D$4:$D$103,A35)</f>
        <v>1</v>
      </c>
      <c r="D35" s="36" t="n">
        <f aca="false">IF(N(B35)=0,"",ROUND(C35/B35,4))</f>
        <v>0.04</v>
      </c>
      <c r="E35" s="34" t="n">
        <f aca="false">IF(D35="","",COUNTIFS($D$5:$D$46,"&gt;"&amp;D35)+COUNTIFS($D$5:$D$46,D35,$C$5:$C$46,"&gt;"&amp;C35)+1)</f>
        <v>7</v>
      </c>
      <c r="F35" s="42" t="s">
        <v>245</v>
      </c>
      <c r="G35" s="33" t="str">
        <f aca="false">IF(AND(N(B35)=0,C35&gt;0),"학생 수를 입력하세요",IF(AND(N(B35)&gt;0,C35&gt;N(B35)),"참여 학생 수가 학생 수보다 많아요",""))</f>
        <v/>
      </c>
      <c r="H35" s="37" t="n">
        <f aca="false">IF(E35="","",E35+COUNTIF($E$5:E35,E35)-1)</f>
        <v>8</v>
      </c>
    </row>
    <row r="36" customFormat="false" ht="15" hidden="false" customHeight="false" outlineLevel="0" collapsed="false">
      <c r="A36" s="35" t="s">
        <v>133</v>
      </c>
      <c r="B36" s="21" t="n">
        <v>27</v>
      </c>
      <c r="C36" s="34" t="n">
        <f aca="false">COUNTIF(작품목록!$C$4:$C$103,A36)+COUNTIF(작품목록!$D$4:$D$103,A36)</f>
        <v>1</v>
      </c>
      <c r="D36" s="36" t="n">
        <f aca="false">IF(N(B36)=0,"",ROUND(C36/B36,4))</f>
        <v>0.037</v>
      </c>
      <c r="E36" s="34" t="n">
        <f aca="false">IF(D36="","",COUNTIFS($D$5:$D$46,"&gt;"&amp;D36)+COUNTIFS($D$5:$D$46,D36,$C$5:$C$46,"&gt;"&amp;C36)+1)</f>
        <v>14</v>
      </c>
      <c r="F36" s="42" t="s">
        <v>245</v>
      </c>
      <c r="G36" s="33" t="str">
        <f aca="false">IF(AND(N(B36)=0,C36&gt;0),"학생 수를 입력하세요",IF(AND(N(B36)&gt;0,C36&gt;N(B36)),"참여 학생 수가 학생 수보다 많아요",""))</f>
        <v/>
      </c>
      <c r="H36" s="37" t="n">
        <f aca="false">IF(E36="","",E36+COUNTIF($E$5:E36,E36)-1)</f>
        <v>18</v>
      </c>
    </row>
    <row r="37" customFormat="false" ht="15" hidden="false" customHeight="false" outlineLevel="0" collapsed="false">
      <c r="A37" s="35" t="s">
        <v>256</v>
      </c>
      <c r="B37" s="21" t="n">
        <v>24</v>
      </c>
      <c r="C37" s="34" t="n">
        <f aca="false">COUNTIF(작품목록!$C$4:$C$103,A37)+COUNTIF(작품목록!$D$4:$D$103,A37)</f>
        <v>0</v>
      </c>
      <c r="D37" s="36" t="n">
        <f aca="false">IF(N(B37)=0,"",ROUND(C37/B37,4))</f>
        <v>0</v>
      </c>
      <c r="E37" s="34" t="n">
        <f aca="false">IF(D37="","",COUNTIFS($D$5:$D$46,"&gt;"&amp;D37)+COUNTIFS($D$5:$D$46,D37,$C$5:$C$46,"&gt;"&amp;C37)+1)</f>
        <v>25</v>
      </c>
      <c r="F37" s="42" t="s">
        <v>245</v>
      </c>
      <c r="G37" s="33" t="str">
        <f aca="false">IF(AND(N(B37)=0,C37&gt;0),"학생 수를 입력하세요",IF(AND(N(B37)&gt;0,C37&gt;N(B37)),"참여 학생 수가 학생 수보다 많아요",""))</f>
        <v/>
      </c>
      <c r="H37" s="37" t="n">
        <f aca="false">IF(E37="","",E37+COUNTIF($E$5:E37,E37)-1)</f>
        <v>37</v>
      </c>
    </row>
    <row r="38" customFormat="false" ht="15" hidden="false" customHeight="false" outlineLevel="0" collapsed="false">
      <c r="A38" s="35" t="s">
        <v>257</v>
      </c>
      <c r="B38" s="21" t="n">
        <v>26</v>
      </c>
      <c r="C38" s="34" t="n">
        <f aca="false">COUNTIF(작품목록!$C$4:$C$103,A38)+COUNTIF(작품목록!$D$4:$D$103,A38)</f>
        <v>0</v>
      </c>
      <c r="D38" s="36" t="n">
        <f aca="false">IF(N(B38)=0,"",ROUND(C38/B38,4))</f>
        <v>0</v>
      </c>
      <c r="E38" s="34" t="n">
        <f aca="false">IF(D38="","",COUNTIFS($D$5:$D$46,"&gt;"&amp;D38)+COUNTIFS($D$5:$D$46,D38,$C$5:$C$46,"&gt;"&amp;C38)+1)</f>
        <v>25</v>
      </c>
      <c r="F38" s="42" t="s">
        <v>245</v>
      </c>
      <c r="G38" s="33" t="str">
        <f aca="false">IF(AND(N(B38)=0,C38&gt;0),"학생 수를 입력하세요",IF(AND(N(B38)&gt;0,C38&gt;N(B38)),"참여 학생 수가 학생 수보다 많아요",""))</f>
        <v/>
      </c>
      <c r="H38" s="37" t="n">
        <f aca="false">IF(E38="","",E38+COUNTIF($E$5:E38,E38)-1)</f>
        <v>38</v>
      </c>
    </row>
    <row r="39" customFormat="false" ht="15" hidden="false" customHeight="false" outlineLevel="0" collapsed="false">
      <c r="A39" s="35" t="s">
        <v>258</v>
      </c>
      <c r="B39" s="21" t="n">
        <v>28</v>
      </c>
      <c r="C39" s="34" t="n">
        <f aca="false">COUNTIF(작품목록!$C$4:$C$103,A39)+COUNTIF(작품목록!$D$4:$D$103,A39)</f>
        <v>0</v>
      </c>
      <c r="D39" s="36" t="n">
        <f aca="false">IF(N(B39)=0,"",ROUND(C39/B39,4))</f>
        <v>0</v>
      </c>
      <c r="E39" s="34" t="n">
        <f aca="false">IF(D39="","",COUNTIFS($D$5:$D$46,"&gt;"&amp;D39)+COUNTIFS($D$5:$D$46,D39,$C$5:$C$46,"&gt;"&amp;C39)+1)</f>
        <v>25</v>
      </c>
      <c r="F39" s="42" t="s">
        <v>245</v>
      </c>
      <c r="G39" s="33" t="str">
        <f aca="false">IF(AND(N(B39)=0,C39&gt;0),"학생 수를 입력하세요",IF(AND(N(B39)&gt;0,C39&gt;N(B39)),"참여 학생 수가 학생 수보다 많아요",""))</f>
        <v/>
      </c>
      <c r="H39" s="37" t="n">
        <f aca="false">IF(E39="","",E39+COUNTIF($E$5:E39,E39)-1)</f>
        <v>39</v>
      </c>
    </row>
    <row r="40" customFormat="false" ht="15" hidden="false" customHeight="false" outlineLevel="0" collapsed="false">
      <c r="A40" s="35" t="s">
        <v>121</v>
      </c>
      <c r="B40" s="21" t="n">
        <v>24</v>
      </c>
      <c r="C40" s="34" t="n">
        <f aca="false">COUNTIF(작품목록!$C$4:$C$103,A40)+COUNTIF(작품목록!$D$4:$D$103,A40)</f>
        <v>1</v>
      </c>
      <c r="D40" s="36" t="n">
        <f aca="false">IF(N(B40)=0,"",ROUND(C40/B40,4))</f>
        <v>0.0417</v>
      </c>
      <c r="E40" s="34" t="n">
        <f aca="false">IF(D40="","",COUNTIFS($D$5:$D$46,"&gt;"&amp;D40)+COUNTIFS($D$5:$D$46,D40,$C$5:$C$46,"&gt;"&amp;C40)+1)</f>
        <v>4</v>
      </c>
      <c r="F40" s="42" t="s">
        <v>245</v>
      </c>
      <c r="G40" s="33" t="str">
        <f aca="false">IF(AND(N(B40)=0,C40&gt;0),"학생 수를 입력하세요",IF(AND(N(B40)&gt;0,C40&gt;N(B40)),"참여 학생 수가 학생 수보다 많아요",""))</f>
        <v/>
      </c>
      <c r="H40" s="37" t="n">
        <f aca="false">IF(E40="","",E40+COUNTIF($E$5:E40,E40)-1)</f>
        <v>6</v>
      </c>
    </row>
    <row r="41" customFormat="false" ht="15" hidden="false" customHeight="false" outlineLevel="0" collapsed="false">
      <c r="A41" s="35" t="s">
        <v>91</v>
      </c>
      <c r="B41" s="21" t="n">
        <v>26</v>
      </c>
      <c r="C41" s="34" t="n">
        <f aca="false">COUNTIF(작품목록!$C$4:$C$103,A41)+COUNTIF(작품목록!$D$4:$D$103,A41)</f>
        <v>1</v>
      </c>
      <c r="D41" s="36" t="n">
        <f aca="false">IF(N(B41)=0,"",ROUND(C41/B41,4))</f>
        <v>0.0385</v>
      </c>
      <c r="E41" s="34" t="n">
        <f aca="false">IF(D41="","",COUNTIFS($D$5:$D$46,"&gt;"&amp;D41)+COUNTIFS($D$5:$D$46,D41,$C$5:$C$46,"&gt;"&amp;C41)+1)</f>
        <v>10</v>
      </c>
      <c r="F41" s="42" t="s">
        <v>245</v>
      </c>
      <c r="G41" s="33" t="str">
        <f aca="false">IF(AND(N(B41)=0,C41&gt;0),"학생 수를 입력하세요",IF(AND(N(B41)&gt;0,C41&gt;N(B41)),"참여 학생 수가 학생 수보다 많아요",""))</f>
        <v/>
      </c>
      <c r="H41" s="37" t="n">
        <f aca="false">IF(E41="","",E41+COUNTIF($E$5:E41,E41)-1)</f>
        <v>13</v>
      </c>
    </row>
    <row r="42" customFormat="false" ht="15" hidden="false" customHeight="false" outlineLevel="0" collapsed="false">
      <c r="A42" s="35" t="s">
        <v>145</v>
      </c>
      <c r="B42" s="21" t="n">
        <v>28</v>
      </c>
      <c r="C42" s="34" t="n">
        <f aca="false">COUNTIF(작품목록!$C$4:$C$103,A42)+COUNTIF(작품목록!$D$4:$D$103,A42)</f>
        <v>1</v>
      </c>
      <c r="D42" s="36" t="n">
        <f aca="false">IF(N(B42)=0,"",ROUND(C42/B42,4))</f>
        <v>0.0357</v>
      </c>
      <c r="E42" s="34" t="n">
        <f aca="false">IF(D42="","",COUNTIFS($D$5:$D$46,"&gt;"&amp;D42)+COUNTIFS($D$5:$D$46,D42,$C$5:$C$46,"&gt;"&amp;C42)+1)</f>
        <v>19</v>
      </c>
      <c r="F42" s="42" t="s">
        <v>245</v>
      </c>
      <c r="G42" s="33" t="str">
        <f aca="false">IF(AND(N(B42)=0,C42&gt;0),"학생 수를 입력하세요",IF(AND(N(B42)&gt;0,C42&gt;N(B42)),"참여 학생 수가 학생 수보다 많아요",""))</f>
        <v/>
      </c>
      <c r="H42" s="37" t="n">
        <f aca="false">IF(E42="","",E42+COUNTIF($E$5:E42,E42)-1)</f>
        <v>24</v>
      </c>
    </row>
    <row r="43" customFormat="false" ht="15" hidden="false" customHeight="false" outlineLevel="0" collapsed="false">
      <c r="A43" s="35" t="s">
        <v>66</v>
      </c>
      <c r="B43" s="21" t="n">
        <v>25</v>
      </c>
      <c r="C43" s="34" t="n">
        <f aca="false">COUNTIF(작품목록!$C$4:$C$103,A43)+COUNTIF(작품목록!$D$4:$D$103,A43)</f>
        <v>1</v>
      </c>
      <c r="D43" s="36" t="n">
        <f aca="false">IF(N(B43)=0,"",ROUND(C43/B43,4))</f>
        <v>0.04</v>
      </c>
      <c r="E43" s="34" t="n">
        <f aca="false">IF(D43="","",COUNTIFS($D$5:$D$46,"&gt;"&amp;D43)+COUNTIFS($D$5:$D$46,D43,$C$5:$C$46,"&gt;"&amp;C43)+1)</f>
        <v>7</v>
      </c>
      <c r="F43" s="42" t="s">
        <v>245</v>
      </c>
      <c r="G43" s="33" t="str">
        <f aca="false">IF(AND(N(B43)=0,C43&gt;0),"학생 수를 입력하세요",IF(AND(N(B43)&gt;0,C43&gt;N(B43)),"참여 학생 수가 학생 수보다 많아요",""))</f>
        <v/>
      </c>
      <c r="H43" s="37" t="n">
        <f aca="false">IF(E43="","",E43+COUNTIF($E$5:E43,E43)-1)</f>
        <v>9</v>
      </c>
    </row>
    <row r="44" customFormat="false" ht="15" hidden="false" customHeight="false" outlineLevel="0" collapsed="false">
      <c r="A44" s="35" t="s">
        <v>259</v>
      </c>
      <c r="B44" s="21" t="n">
        <v>27</v>
      </c>
      <c r="C44" s="34" t="n">
        <f aca="false">COUNTIF(작품목록!$C$4:$C$103,A44)+COUNTIF(작품목록!$D$4:$D$103,A44)</f>
        <v>0</v>
      </c>
      <c r="D44" s="36" t="n">
        <f aca="false">IF(N(B44)=0,"",ROUND(C44/B44,4))</f>
        <v>0</v>
      </c>
      <c r="E44" s="34" t="n">
        <f aca="false">IF(D44="","",COUNTIFS($D$5:$D$46,"&gt;"&amp;D44)+COUNTIFS($D$5:$D$46,D44,$C$5:$C$46,"&gt;"&amp;C44)+1)</f>
        <v>25</v>
      </c>
      <c r="F44" s="42" t="s">
        <v>245</v>
      </c>
      <c r="G44" s="33" t="str">
        <f aca="false">IF(AND(N(B44)=0,C44&gt;0),"학생 수를 입력하세요",IF(AND(N(B44)&gt;0,C44&gt;N(B44)),"참여 학생 수가 학생 수보다 많아요",""))</f>
        <v/>
      </c>
      <c r="H44" s="37" t="n">
        <f aca="false">IF(E44="","",E44+COUNTIF($E$5:E44,E44)-1)</f>
        <v>40</v>
      </c>
    </row>
    <row r="45" customFormat="false" ht="15" hidden="false" customHeight="false" outlineLevel="0" collapsed="false">
      <c r="A45" s="35" t="s">
        <v>260</v>
      </c>
      <c r="B45" s="21" t="n">
        <v>24</v>
      </c>
      <c r="C45" s="34" t="n">
        <f aca="false">COUNTIF(작품목록!$C$4:$C$103,A45)+COUNTIF(작품목록!$D$4:$D$103,A45)</f>
        <v>0</v>
      </c>
      <c r="D45" s="36" t="n">
        <f aca="false">IF(N(B45)=0,"",ROUND(C45/B45,4))</f>
        <v>0</v>
      </c>
      <c r="E45" s="34" t="n">
        <f aca="false">IF(D45="","",COUNTIFS($D$5:$D$46,"&gt;"&amp;D45)+COUNTIFS($D$5:$D$46,D45,$C$5:$C$46,"&gt;"&amp;C45)+1)</f>
        <v>25</v>
      </c>
      <c r="F45" s="42" t="s">
        <v>245</v>
      </c>
      <c r="G45" s="33" t="str">
        <f aca="false">IF(AND(N(B45)=0,C45&gt;0),"학생 수를 입력하세요",IF(AND(N(B45)&gt;0,C45&gt;N(B45)),"참여 학생 수가 학생 수보다 많아요",""))</f>
        <v/>
      </c>
      <c r="H45" s="37" t="n">
        <f aca="false">IF(E45="","",E45+COUNTIF($E$5:E45,E45)-1)</f>
        <v>41</v>
      </c>
    </row>
    <row r="46" customFormat="false" ht="15" hidden="false" customHeight="false" outlineLevel="0" collapsed="false">
      <c r="A46" s="35" t="s">
        <v>261</v>
      </c>
      <c r="B46" s="21" t="n">
        <v>26</v>
      </c>
      <c r="C46" s="34" t="n">
        <f aca="false">COUNTIF(작품목록!$C$4:$C$103,A46)+COUNTIF(작품목록!$D$4:$D$103,A46)</f>
        <v>0</v>
      </c>
      <c r="D46" s="36" t="n">
        <f aca="false">IF(N(B46)=0,"",ROUND(C46/B46,4))</f>
        <v>0</v>
      </c>
      <c r="E46" s="34" t="n">
        <f aca="false">IF(D46="","",COUNTIFS($D$5:$D$46,"&gt;"&amp;D46)+COUNTIFS($D$5:$D$46,D46,$C$5:$C$46,"&gt;"&amp;C46)+1)</f>
        <v>25</v>
      </c>
      <c r="F46" s="42" t="s">
        <v>245</v>
      </c>
      <c r="G46" s="33" t="str">
        <f aca="false">IF(AND(N(B46)=0,C46&gt;0),"학생 수를 입력하세요",IF(AND(N(B46)&gt;0,C46&gt;N(B46)),"참여 학생 수가 학생 수보다 많아요",""))</f>
        <v/>
      </c>
      <c r="H46" s="37" t="n">
        <f aca="false">IF(E46="","",E46+COUNTIF($E$5:E46,E46)-1)</f>
        <v>42</v>
      </c>
    </row>
  </sheetData>
  <mergeCells count="4">
    <mergeCell ref="J18:K18"/>
    <mergeCell ref="J19:K19"/>
    <mergeCell ref="J20:K20"/>
    <mergeCell ref="J21:K21"/>
  </mergeCells>
  <conditionalFormatting sqref="A5:E46">
    <cfRule type="expression" priority="2" aboveAverage="0" equalAverage="0" bottom="0" percent="0" rank="0" text="" dxfId="6">
      <formula>AND(ISNUMBER($E5),$E5=1)</formula>
    </cfRule>
    <cfRule type="expression" priority="3" aboveAverage="0" equalAverage="0" bottom="0" percent="0" rank="0" text="" dxfId="7">
      <formula>AND(ISNUMBER($E5),$E5=2)</formula>
    </cfRule>
    <cfRule type="expression" priority="4" aboveAverage="0" equalAverage="0" bottom="0" percent="0" rank="0" text="" dxfId="8">
      <formula>AND(ISNUMBER($E5),$E5=3)</formula>
    </cfRule>
  </conditionalFormatting>
  <conditionalFormatting sqref="G5:G46">
    <cfRule type="expression" priority="5" aboveAverage="0" equalAverage="0" bottom="0" percent="0" rank="0" text="" dxfId="9">
      <formula>AND($G5&lt;&gt;"",$G5&lt;&gt;"일치")</formula>
    </cfRule>
  </conditionalFormatting>
  <conditionalFormatting sqref="J5:N14">
    <cfRule type="expression" priority="6" aboveAverage="0" equalAverage="0" bottom="0" percent="0" rank="0" text="" dxfId="6">
      <formula>AND(ISNUMBER($J5),$J5=1)</formula>
    </cfRule>
    <cfRule type="expression" priority="7" aboveAverage="0" equalAverage="0" bottom="0" percent="0" rank="0" text="" dxfId="7">
      <formula>AND(ISNUMBER($J5),$J5=2)</formula>
    </cfRule>
    <cfRule type="expression" priority="8" aboveAverage="0" equalAverage="0" bottom="0" percent="0" rank="0" text="" dxfId="8">
      <formula>AND(ISNUMBER($J5),$J5=3)</formula>
    </cfRule>
  </conditionalFormatting>
  <conditionalFormatting sqref="L21">
    <cfRule type="expression" priority="9" aboveAverage="0" equalAverage="0" bottom="0" percent="0" rank="0" text="" dxfId="5">
      <formula>N(L21)&lt;&gt;0</formula>
    </cfRule>
  </conditionalFormatting>
  <dataValidations count="1">
    <dataValidation allowBlank="true" error="학생 수는 0~60 사이의 정수로 입력하세요." errorStyle="stop" operator="between" showDropDown="false" showErrorMessage="false" showInputMessage="false" sqref="B5:B19 F5:F18 B20:B46" type="whole">
      <formula1>0</formula1>
      <formula2>60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7"/>
    <col collapsed="false" customWidth="true" hidden="false" outlineLevel="0" max="15" min="15" style="0" width="10"/>
  </cols>
  <sheetData>
    <row r="1" customFormat="false" ht="27.75" hidden="false" customHeight="true" outlineLevel="0" collapsed="false">
      <c r="A1" s="19" t="s">
        <v>262</v>
      </c>
    </row>
    <row r="2" customFormat="false" ht="15" hidden="false" customHeight="false" outlineLevel="0" collapsed="false">
      <c r="A2" s="2" t="s">
        <v>263</v>
      </c>
    </row>
    <row r="4" customFormat="false" ht="48" hidden="false" customHeight="true" outlineLevel="0" collapsed="false">
      <c r="A4" s="4" t="s">
        <v>51</v>
      </c>
      <c r="B4" s="4" t="s">
        <v>264</v>
      </c>
      <c r="C4" s="4" t="s">
        <v>265</v>
      </c>
      <c r="D4" s="4" t="s">
        <v>266</v>
      </c>
      <c r="E4" s="4" t="s">
        <v>267</v>
      </c>
      <c r="G4" s="4" t="s">
        <v>268</v>
      </c>
    </row>
    <row r="5" customFormat="false" ht="15" hidden="false" customHeight="false" outlineLevel="0" collapsed="false">
      <c r="A5" s="45" t="s">
        <v>59</v>
      </c>
      <c r="B5" s="22"/>
      <c r="C5" s="27" t="n">
        <f aca="false">COUNTIF($B$11:$B$110,A5)</f>
        <v>8</v>
      </c>
      <c r="D5" s="27" t="n">
        <f aca="false">IF(N(B5)+C5=0,0,MAX(1,ROUND(IF(N(B5)&gt;0,B5,C5)*$G$5,0)))</f>
        <v>1</v>
      </c>
      <c r="E5" s="27" t="n">
        <f aca="false">_xlfn.MAXIFS($H$11:$H$110,$B$11:$B$110,A5)</f>
        <v>58</v>
      </c>
      <c r="G5" s="46" t="n">
        <v>0.1</v>
      </c>
    </row>
    <row r="6" customFormat="false" ht="15" hidden="false" customHeight="false" outlineLevel="0" collapsed="false">
      <c r="A6" s="45" t="s">
        <v>108</v>
      </c>
      <c r="B6" s="22"/>
      <c r="C6" s="27" t="n">
        <f aca="false">COUNTIF($B$11:$B$110,A6)</f>
        <v>8</v>
      </c>
      <c r="D6" s="27" t="n">
        <f aca="false">IF(N(B6)+C6=0,0,MAX(1,ROUND(IF(N(B6)&gt;0,B6,C6)*$G$5,0)))</f>
        <v>1</v>
      </c>
      <c r="E6" s="27" t="n">
        <f aca="false">_xlfn.MAXIFS($H$11:$H$110,$B$11:$B$110,A6)</f>
        <v>60</v>
      </c>
    </row>
    <row r="7" customFormat="false" ht="15" hidden="false" customHeight="false" outlineLevel="0" collapsed="false">
      <c r="A7" s="45" t="s">
        <v>157</v>
      </c>
      <c r="B7" s="22"/>
      <c r="C7" s="27" t="n">
        <f aca="false">COUNTIF($B$11:$B$110,A7)</f>
        <v>8</v>
      </c>
      <c r="D7" s="27" t="n">
        <f aca="false">IF(N(B7)+C7=0,0,MAX(1,ROUND(IF(N(B7)&gt;0,B7,C7)*$G$5,0)))</f>
        <v>1</v>
      </c>
      <c r="E7" s="27" t="n">
        <f aca="false">_xlfn.MAXIFS($H$11:$H$110,$B$11:$B$110,A7)</f>
        <v>38</v>
      </c>
    </row>
    <row r="8" customFormat="false" ht="15" hidden="false" customHeight="false" outlineLevel="0" collapsed="false">
      <c r="A8" s="44" t="s">
        <v>269</v>
      </c>
    </row>
    <row r="10" customFormat="false" ht="43.5" hidden="false" customHeight="true" outlineLevel="0" collapsed="false">
      <c r="A10" s="4" t="s">
        <v>50</v>
      </c>
      <c r="B10" s="4" t="s">
        <v>51</v>
      </c>
      <c r="C10" s="4" t="s">
        <v>270</v>
      </c>
      <c r="D10" s="4" t="s">
        <v>54</v>
      </c>
      <c r="E10" s="4" t="s">
        <v>56</v>
      </c>
      <c r="F10" s="4" t="s">
        <v>271</v>
      </c>
      <c r="G10" s="4" t="s">
        <v>272</v>
      </c>
      <c r="H10" s="4" t="s">
        <v>273</v>
      </c>
      <c r="I10" s="4" t="s">
        <v>274</v>
      </c>
      <c r="J10" s="4" t="s">
        <v>275</v>
      </c>
      <c r="K10" s="4" t="s">
        <v>276</v>
      </c>
      <c r="L10" s="4" t="s">
        <v>277</v>
      </c>
      <c r="M10" s="4" t="s">
        <v>223</v>
      </c>
      <c r="N10" s="4" t="s">
        <v>278</v>
      </c>
      <c r="O10" s="4" t="s">
        <v>42</v>
      </c>
    </row>
    <row r="11" customFormat="false" ht="15" hidden="false" customHeight="false" outlineLevel="0" collapsed="false">
      <c r="A11" s="34" t="str">
        <f aca="false">IF(작품목록!A4="","",작품목록!A4)</f>
        <v>B-01</v>
      </c>
      <c r="B11" s="27" t="str">
        <f aca="false">IF($A11="","",작품목록!B4&amp;"")</f>
        <v>블록</v>
      </c>
      <c r="C11" s="27" t="str">
        <f aca="false">IF($A11="","",작품목록!C4&amp;IF(작품목록!D4="","",IF(작품목록!D4=작품목록!C4," (2명)"," · "&amp;작품목록!D4)))</f>
        <v>3-2</v>
      </c>
      <c r="D11" s="27" t="str">
        <f aca="false">IF($A11="","",작품목록!E4&amp;"")</f>
        <v>최○○</v>
      </c>
      <c r="E11" s="28" t="str">
        <f aca="false">IF($A11="","",작품목록!G4&amp;"")</f>
        <v>구구단 우주선</v>
      </c>
      <c r="F11" s="30" t="n">
        <f aca="false">IF(A11="","",IFERROR(IF(B11="상상",INDEX(심사_상상!$P$5:$P$104,MATCH($A11,심사_상상!$A$5:$A$104,0)),INDEX(심사_블록바이브!$S$5:$S$104,MATCH($A11,심사_블록바이브!$A$5:$A$104,0)))+0,0))</f>
        <v>46</v>
      </c>
      <c r="G11" s="30" t="n">
        <f aca="false">IF(A11="","",IFERROR(IF(B11="상상",INDEX(심사_상상!$Q$5:$Q$104,MATCH($A11,심사_상상!$A$5:$A$104,0)),INDEX(심사_블록바이브!$T$5:$T$104,MATCH($A11,심사_블록바이브!$A$5:$A$104,0)))+0,0))</f>
        <v>14</v>
      </c>
      <c r="H11" s="27" t="n">
        <f aca="false">IF(A11="","",IFERROR(INDEX('좋아요 수'!$J$6:$J$105,MATCH(A11,'좋아요 수'!$E$6:$E$105,0))+0,0))</f>
        <v>58</v>
      </c>
      <c r="I11" s="27" t="n">
        <f aca="false">IF(A11="","",_xlfn.MAXIFS($H$11:$H$110,$B$11:$B$110,B11))</f>
        <v>58</v>
      </c>
      <c r="J11" s="47" t="n">
        <f aca="false">IF(A11="","",IF(N(I11)=0,0,ROUND(H11/I11*50,1)))</f>
        <v>50</v>
      </c>
      <c r="K11" s="29" t="n">
        <f aca="false">IF(A11="","",ROUND(F11+J11,2))</f>
        <v>96</v>
      </c>
      <c r="L11" s="48" t="n">
        <f aca="false">IF(A11="","",K11+G11/10000)</f>
        <v>96.0014</v>
      </c>
      <c r="M11" s="34" t="n">
        <f aca="false">IF(A11="","",COUNTIFS($B$11:$B$110,B11,$L$11:$L$110,"&gt;"&amp;L11)+1)</f>
        <v>1</v>
      </c>
      <c r="N11" s="27" t="n">
        <f aca="false">IF(A11="","",IFERROR(INDEX($D$5:$D$7,MATCH(B11,$A$5:$A$7,0)),0))</f>
        <v>1</v>
      </c>
      <c r="O11" s="34" t="str">
        <f aca="false">IF(A11="","",IF(M11&gt;N11,"",IF(M11=1,"최우수",IF(M11&lt;=3,"우수","장려"))))</f>
        <v>최우수</v>
      </c>
    </row>
    <row r="12" customFormat="false" ht="15" hidden="false" customHeight="false" outlineLevel="0" collapsed="false">
      <c r="A12" s="34" t="str">
        <f aca="false">IF(작품목록!A5="","",작품목록!A5)</f>
        <v>B-02</v>
      </c>
      <c r="B12" s="27" t="str">
        <f aca="false">IF($A12="","",작품목록!B5&amp;"")</f>
        <v>블록</v>
      </c>
      <c r="C12" s="27" t="str">
        <f aca="false">IF($A12="","",작품목록!C5&amp;IF(작품목록!D5="","",IF(작품목록!D5=작품목록!C5," (2명)"," · "&amp;작품목록!D5)))</f>
        <v>6-4</v>
      </c>
      <c r="D12" s="27" t="str">
        <f aca="false">IF($A12="","",작품목록!E5&amp;"")</f>
        <v>정○○</v>
      </c>
      <c r="E12" s="28" t="str">
        <f aca="false">IF($A12="","",작품목록!G5&amp;"")</f>
        <v>영어 단어 짝 맞추기</v>
      </c>
      <c r="F12" s="30" t="n">
        <f aca="false">IF(A12="","",IFERROR(IF(B12="상상",INDEX(심사_상상!$P$5:$P$104,MATCH($A12,심사_상상!$A$5:$A$104,0)),INDEX(심사_블록바이브!$S$5:$S$104,MATCH($A12,심사_블록바이브!$A$5:$A$104,0)))+0,0))</f>
        <v>39.67</v>
      </c>
      <c r="G12" s="30" t="n">
        <f aca="false">IF(A12="","",IFERROR(IF(B12="상상",INDEX(심사_상상!$Q$5:$Q$104,MATCH($A12,심사_상상!$A$5:$A$104,0)),INDEX(심사_블록바이브!$T$5:$T$104,MATCH($A12,심사_블록바이브!$A$5:$A$104,0)))+0,0))</f>
        <v>11.33</v>
      </c>
      <c r="H12" s="27" t="n">
        <f aca="false">IF(A12="","",IFERROR(INDEX('좋아요 수'!$J$6:$J$105,MATCH(A12,'좋아요 수'!$E$6:$E$105,0))+0,0))</f>
        <v>41</v>
      </c>
      <c r="I12" s="27" t="n">
        <f aca="false">IF(A12="","",_xlfn.MAXIFS($H$11:$H$110,$B$11:$B$110,B12))</f>
        <v>58</v>
      </c>
      <c r="J12" s="47" t="n">
        <f aca="false">IF(A12="","",IF(N(I12)=0,0,ROUND(H12/I12*50,1)))</f>
        <v>35.3</v>
      </c>
      <c r="K12" s="29" t="n">
        <f aca="false">IF(A12="","",ROUND(F12+J12,2))</f>
        <v>74.97</v>
      </c>
      <c r="L12" s="48" t="n">
        <f aca="false">IF(A12="","",K12+G12/10000)</f>
        <v>74.971133</v>
      </c>
      <c r="M12" s="34" t="n">
        <f aca="false">IF(A12="","",COUNTIFS($B$11:$B$110,B12,$L$11:$L$110,"&gt;"&amp;L12)+1)</f>
        <v>3</v>
      </c>
      <c r="N12" s="27" t="n">
        <f aca="false">IF(A12="","",IFERROR(INDEX($D$5:$D$7,MATCH(B12,$A$5:$A$7,0)),0))</f>
        <v>1</v>
      </c>
      <c r="O12" s="34" t="str">
        <f aca="false">IF(A12="","",IF(M12&gt;N12,"",IF(M12=1,"최우수",IF(M12&lt;=3,"우수","장려"))))</f>
        <v/>
      </c>
    </row>
    <row r="13" customFormat="false" ht="15" hidden="false" customHeight="false" outlineLevel="0" collapsed="false">
      <c r="A13" s="34" t="str">
        <f aca="false">IF(작품목록!A6="","",작품목록!A6)</f>
        <v>B-03</v>
      </c>
      <c r="B13" s="27" t="str">
        <f aca="false">IF($A13="","",작품목록!B6&amp;"")</f>
        <v>블록</v>
      </c>
      <c r="C13" s="27" t="str">
        <f aca="false">IF($A13="","",작품목록!C6&amp;IF(작품목록!D6="","",IF(작품목록!D6=작품목록!C6," (2명)"," · "&amp;작품목록!D6)))</f>
        <v>4-1</v>
      </c>
      <c r="D13" s="27" t="str">
        <f aca="false">IF($A13="","",작품목록!E6&amp;"")</f>
        <v>윤○○</v>
      </c>
      <c r="E13" s="28" t="str">
        <f aca="false">IF($A13="","",작품목록!G6&amp;"")</f>
        <v>씨앗 키우기 순서 게임</v>
      </c>
      <c r="F13" s="30" t="n">
        <f aca="false">IF(A13="","",IFERROR(IF(B13="상상",INDEX(심사_상상!$P$5:$P$104,MATCH($A13,심사_상상!$A$5:$A$104,0)),INDEX(심사_블록바이브!$S$5:$S$104,MATCH($A13,심사_블록바이브!$A$5:$A$104,0)))+0,0))</f>
        <v>36</v>
      </c>
      <c r="G13" s="30" t="n">
        <f aca="false">IF(A13="","",IFERROR(IF(B13="상상",INDEX(심사_상상!$Q$5:$Q$104,MATCH($A13,심사_상상!$A$5:$A$104,0)),INDEX(심사_블록바이브!$T$5:$T$104,MATCH($A13,심사_블록바이브!$A$5:$A$104,0)))+0,0))</f>
        <v>10.67</v>
      </c>
      <c r="H13" s="27" t="n">
        <f aca="false">IF(A13="","",IFERROR(INDEX('좋아요 수'!$J$6:$J$105,MATCH(A13,'좋아요 수'!$E$6:$E$105,0))+0,0))</f>
        <v>23</v>
      </c>
      <c r="I13" s="27" t="n">
        <f aca="false">IF(A13="","",_xlfn.MAXIFS($H$11:$H$110,$B$11:$B$110,B13))</f>
        <v>58</v>
      </c>
      <c r="J13" s="47" t="n">
        <f aca="false">IF(A13="","",IF(N(I13)=0,0,ROUND(H13/I13*50,1)))</f>
        <v>19.8</v>
      </c>
      <c r="K13" s="29" t="n">
        <f aca="false">IF(A13="","",ROUND(F13+J13,2))</f>
        <v>55.8</v>
      </c>
      <c r="L13" s="48" t="n">
        <f aca="false">IF(A13="","",K13+G13/10000)</f>
        <v>55.801067</v>
      </c>
      <c r="M13" s="34" t="n">
        <f aca="false">IF(A13="","",COUNTIFS($B$11:$B$110,B13,$L$11:$L$110,"&gt;"&amp;L13)+1)</f>
        <v>6</v>
      </c>
      <c r="N13" s="27" t="n">
        <f aca="false">IF(A13="","",IFERROR(INDEX($D$5:$D$7,MATCH(B13,$A$5:$A$7,0)),0))</f>
        <v>1</v>
      </c>
      <c r="O13" s="34" t="str">
        <f aca="false">IF(A13="","",IF(M13&gt;N13,"",IF(M13=1,"최우수",IF(M13&lt;=3,"우수","장려"))))</f>
        <v/>
      </c>
    </row>
    <row r="14" customFormat="false" ht="15" hidden="false" customHeight="false" outlineLevel="0" collapsed="false">
      <c r="A14" s="34" t="str">
        <f aca="false">IF(작품목록!A7="","",작품목록!A7)</f>
        <v>B-04</v>
      </c>
      <c r="B14" s="27" t="str">
        <f aca="false">IF($A14="","",작품목록!B7&amp;"")</f>
        <v>블록</v>
      </c>
      <c r="C14" s="27" t="str">
        <f aca="false">IF($A14="","",작품목록!C7&amp;IF(작품목록!D7="","",IF(작품목록!D7=작품목록!C7," (2명)"," · "&amp;작품목록!D7)))</f>
        <v>5-3 · 5-2</v>
      </c>
      <c r="D14" s="27" t="str">
        <f aca="false">IF($A14="","",작품목록!E7&amp;"")</f>
        <v>강○○·조○○</v>
      </c>
      <c r="E14" s="28" t="str">
        <f aca="false">IF($A14="","",작품목록!G7&amp;"")</f>
        <v>배수 사냥꾼</v>
      </c>
      <c r="F14" s="30" t="n">
        <f aca="false">IF(A14="","",IFERROR(IF(B14="상상",INDEX(심사_상상!$P$5:$P$104,MATCH($A14,심사_상상!$A$5:$A$104,0)),INDEX(심사_블록바이브!$S$5:$S$104,MATCH($A14,심사_블록바이브!$A$5:$A$104,0)))+0,0))</f>
        <v>42.67</v>
      </c>
      <c r="G14" s="30" t="n">
        <f aca="false">IF(A14="","",IFERROR(IF(B14="상상",INDEX(심사_상상!$Q$5:$Q$104,MATCH($A14,심사_상상!$A$5:$A$104,0)),INDEX(심사_블록바이브!$T$5:$T$104,MATCH($A14,심사_블록바이브!$A$5:$A$104,0)))+0,0))</f>
        <v>13.33</v>
      </c>
      <c r="H14" s="27" t="n">
        <f aca="false">IF(A14="","",IFERROR(INDEX('좋아요 수'!$J$6:$J$105,MATCH(A14,'좋아요 수'!$E$6:$E$105,0))+0,0))</f>
        <v>47</v>
      </c>
      <c r="I14" s="27" t="n">
        <f aca="false">IF(A14="","",_xlfn.MAXIFS($H$11:$H$110,$B$11:$B$110,B14))</f>
        <v>58</v>
      </c>
      <c r="J14" s="47" t="n">
        <f aca="false">IF(A14="","",IF(N(I14)=0,0,ROUND(H14/I14*50,1)))</f>
        <v>40.5</v>
      </c>
      <c r="K14" s="29" t="n">
        <f aca="false">IF(A14="","",ROUND(F14+J14,2))</f>
        <v>83.17</v>
      </c>
      <c r="L14" s="48" t="n">
        <f aca="false">IF(A14="","",K14+G14/10000)</f>
        <v>83.171333</v>
      </c>
      <c r="M14" s="34" t="n">
        <f aca="false">IF(A14="","",COUNTIFS($B$11:$B$110,B14,$L$11:$L$110,"&gt;"&amp;L14)+1)</f>
        <v>2</v>
      </c>
      <c r="N14" s="27" t="n">
        <f aca="false">IF(A14="","",IFERROR(INDEX($D$5:$D$7,MATCH(B14,$A$5:$A$7,0)),0))</f>
        <v>1</v>
      </c>
      <c r="O14" s="34" t="str">
        <f aca="false">IF(A14="","",IF(M14&gt;N14,"",IF(M14=1,"최우수",IF(M14&lt;=3,"우수","장려"))))</f>
        <v/>
      </c>
    </row>
    <row r="15" customFormat="false" ht="15" hidden="false" customHeight="false" outlineLevel="0" collapsed="false">
      <c r="A15" s="34" t="str">
        <f aca="false">IF(작품목록!A8="","",작품목록!A8)</f>
        <v>B-05</v>
      </c>
      <c r="B15" s="27" t="str">
        <f aca="false">IF($A15="","",작품목록!B8&amp;"")</f>
        <v>블록</v>
      </c>
      <c r="C15" s="27" t="str">
        <f aca="false">IF($A15="","",작품목록!C8&amp;IF(작품목록!D8="","",IF(작품목록!D8=작품목록!C8," (2명)"," · "&amp;작품목록!D8)))</f>
        <v>3-5</v>
      </c>
      <c r="D15" s="27" t="str">
        <f aca="false">IF($A15="","",작품목록!E8&amp;"")</f>
        <v>임○○</v>
      </c>
      <c r="E15" s="28" t="str">
        <f aca="false">IF($A15="","",작품목록!G8&amp;"")</f>
        <v>낱말 바구니 분류하기</v>
      </c>
      <c r="F15" s="30" t="n">
        <f aca="false">IF(A15="","",IFERROR(IF(B15="상상",INDEX(심사_상상!$P$5:$P$104,MATCH($A15,심사_상상!$A$5:$A$104,0)),INDEX(심사_블록바이브!$S$5:$S$104,MATCH($A15,심사_블록바이브!$A$5:$A$104,0)))+0,0))</f>
        <v>30</v>
      </c>
      <c r="G15" s="30" t="n">
        <f aca="false">IF(A15="","",IFERROR(IF(B15="상상",INDEX(심사_상상!$Q$5:$Q$104,MATCH($A15,심사_상상!$A$5:$A$104,0)),INDEX(심사_블록바이브!$T$5:$T$104,MATCH($A15,심사_블록바이브!$A$5:$A$104,0)))+0,0))</f>
        <v>8.67</v>
      </c>
      <c r="H15" s="27" t="n">
        <f aca="false">IF(A15="","",IFERROR(INDEX('좋아요 수'!$J$6:$J$105,MATCH(A15,'좋아요 수'!$E$6:$E$105,0))+0,0))</f>
        <v>15</v>
      </c>
      <c r="I15" s="27" t="n">
        <f aca="false">IF(A15="","",_xlfn.MAXIFS($H$11:$H$110,$B$11:$B$110,B15))</f>
        <v>58</v>
      </c>
      <c r="J15" s="47" t="n">
        <f aca="false">IF(A15="","",IF(N(I15)=0,0,ROUND(H15/I15*50,1)))</f>
        <v>12.9</v>
      </c>
      <c r="K15" s="29" t="n">
        <f aca="false">IF(A15="","",ROUND(F15+J15,2))</f>
        <v>42.9</v>
      </c>
      <c r="L15" s="48" t="n">
        <f aca="false">IF(A15="","",K15+G15/10000)</f>
        <v>42.900867</v>
      </c>
      <c r="M15" s="34" t="n">
        <f aca="false">IF(A15="","",COUNTIFS($B$11:$B$110,B15,$L$11:$L$110,"&gt;"&amp;L15)+1)</f>
        <v>8</v>
      </c>
      <c r="N15" s="27" t="n">
        <f aca="false">IF(A15="","",IFERROR(INDEX($D$5:$D$7,MATCH(B15,$A$5:$A$7,0)),0))</f>
        <v>1</v>
      </c>
      <c r="O15" s="34" t="str">
        <f aca="false">IF(A15="","",IF(M15&gt;N15,"",IF(M15=1,"최우수",IF(M15&lt;=3,"우수","장려"))))</f>
        <v/>
      </c>
    </row>
    <row r="16" customFormat="false" ht="15" hidden="false" customHeight="false" outlineLevel="0" collapsed="false">
      <c r="A16" s="34" t="str">
        <f aca="false">IF(작품목록!A9="","",작품목록!A9)</f>
        <v>B-06</v>
      </c>
      <c r="B16" s="27" t="str">
        <f aca="false">IF($A16="","",작품목록!B9&amp;"")</f>
        <v>블록</v>
      </c>
      <c r="C16" s="27" t="str">
        <f aca="false">IF($A16="","",작품목록!C9&amp;IF(작품목록!D9="","",IF(작품목록!D9=작품목록!C9," (2명)"," · "&amp;작품목록!D9)))</f>
        <v>6-2</v>
      </c>
      <c r="D16" s="27" t="str">
        <f aca="false">IF($A16="","",작품목록!E9&amp;"")</f>
        <v>오○○</v>
      </c>
      <c r="E16" s="28" t="str">
        <f aca="false">IF($A16="","",작품목록!G9&amp;"")</f>
        <v>행성 순서 맞히기</v>
      </c>
      <c r="F16" s="30" t="n">
        <f aca="false">IF(A16="","",IFERROR(IF(B16="상상",INDEX(심사_상상!$P$5:$P$104,MATCH($A16,심사_상상!$A$5:$A$104,0)),INDEX(심사_블록바이브!$S$5:$S$104,MATCH($A16,심사_블록바이브!$A$5:$A$104,0)))+0,0))</f>
        <v>40.33</v>
      </c>
      <c r="G16" s="30" t="n">
        <f aca="false">IF(A16="","",IFERROR(IF(B16="상상",INDEX(심사_상상!$Q$5:$Q$104,MATCH($A16,심사_상상!$A$5:$A$104,0)),INDEX(심사_블록바이브!$T$5:$T$104,MATCH($A16,심사_블록바이브!$A$5:$A$104,0)))+0,0))</f>
        <v>12.67</v>
      </c>
      <c r="H16" s="27" t="n">
        <f aca="false">IF(A16="","",IFERROR(INDEX('좋아요 수'!$J$6:$J$105,MATCH(A16,'좋아요 수'!$E$6:$E$105,0))+0,0))</f>
        <v>33</v>
      </c>
      <c r="I16" s="27" t="n">
        <f aca="false">IF(A16="","",_xlfn.MAXIFS($H$11:$H$110,$B$11:$B$110,B16))</f>
        <v>58</v>
      </c>
      <c r="J16" s="47" t="n">
        <f aca="false">IF(A16="","",IF(N(I16)=0,0,ROUND(H16/I16*50,1)))</f>
        <v>28.4</v>
      </c>
      <c r="K16" s="29" t="n">
        <f aca="false">IF(A16="","",ROUND(F16+J16,2))</f>
        <v>68.73</v>
      </c>
      <c r="L16" s="48" t="n">
        <f aca="false">IF(A16="","",K16+G16/10000)</f>
        <v>68.731267</v>
      </c>
      <c r="M16" s="34" t="n">
        <f aca="false">IF(A16="","",COUNTIFS($B$11:$B$110,B16,$L$11:$L$110,"&gt;"&amp;L16)+1)</f>
        <v>5</v>
      </c>
      <c r="N16" s="27" t="n">
        <f aca="false">IF(A16="","",IFERROR(INDEX($D$5:$D$7,MATCH(B16,$A$5:$A$7,0)),0))</f>
        <v>1</v>
      </c>
      <c r="O16" s="34" t="str">
        <f aca="false">IF(A16="","",IF(M16&gt;N16,"",IF(M16=1,"최우수",IF(M16&lt;=3,"우수","장려"))))</f>
        <v/>
      </c>
    </row>
    <row r="17" customFormat="false" ht="15" hidden="false" customHeight="false" outlineLevel="0" collapsed="false">
      <c r="A17" s="34" t="str">
        <f aca="false">IF(작품목록!A10="","",작품목록!A10)</f>
        <v>B-07</v>
      </c>
      <c r="B17" s="27" t="str">
        <f aca="false">IF($A17="","",작품목록!B10&amp;"")</f>
        <v>블록</v>
      </c>
      <c r="C17" s="27" t="str">
        <f aca="false">IF($A17="","",작품목록!C10&amp;IF(작품목록!D10="","",IF(작품목록!D10=작품목록!C10," (2명)"," · "&amp;작품목록!D10)))</f>
        <v>4-6</v>
      </c>
      <c r="D17" s="27" t="str">
        <f aca="false">IF($A17="","",작품목록!E10&amp;"")</f>
        <v>서○○</v>
      </c>
      <c r="E17" s="28" t="str">
        <f aca="false">IF($A17="","",작품목록!G10&amp;"")</f>
        <v>우리 지역 지도 탐험</v>
      </c>
      <c r="F17" s="30" t="n">
        <f aca="false">IF(A17="","",IFERROR(IF(B17="상상",INDEX(심사_상상!$P$5:$P$104,MATCH($A17,심사_상상!$A$5:$A$104,0)),INDEX(심사_블록바이브!$S$5:$S$104,MATCH($A17,심사_블록바이브!$A$5:$A$104,0)))+0,0))</f>
        <v>33</v>
      </c>
      <c r="G17" s="30" t="n">
        <f aca="false">IF(A17="","",IFERROR(IF(B17="상상",INDEX(심사_상상!$Q$5:$Q$104,MATCH($A17,심사_상상!$A$5:$A$104,0)),INDEX(심사_블록바이브!$T$5:$T$104,MATCH($A17,심사_블록바이브!$A$5:$A$104,0)))+0,0))</f>
        <v>9.67</v>
      </c>
      <c r="H17" s="27" t="n">
        <f aca="false">IF(A17="","",IFERROR(INDEX('좋아요 수'!$J$6:$J$105,MATCH(A17,'좋아요 수'!$E$6:$E$105,0))+0,0))</f>
        <v>19</v>
      </c>
      <c r="I17" s="27" t="n">
        <f aca="false">IF(A17="","",_xlfn.MAXIFS($H$11:$H$110,$B$11:$B$110,B17))</f>
        <v>58</v>
      </c>
      <c r="J17" s="47" t="n">
        <f aca="false">IF(A17="","",IF(N(I17)=0,0,ROUND(H17/I17*50,1)))</f>
        <v>16.4</v>
      </c>
      <c r="K17" s="29" t="n">
        <f aca="false">IF(A17="","",ROUND(F17+J17,2))</f>
        <v>49.4</v>
      </c>
      <c r="L17" s="48" t="n">
        <f aca="false">IF(A17="","",K17+G17/10000)</f>
        <v>49.400967</v>
      </c>
      <c r="M17" s="34" t="n">
        <f aca="false">IF(A17="","",COUNTIFS($B$11:$B$110,B17,$L$11:$L$110,"&gt;"&amp;L17)+1)</f>
        <v>7</v>
      </c>
      <c r="N17" s="27" t="n">
        <f aca="false">IF(A17="","",IFERROR(INDEX($D$5:$D$7,MATCH(B17,$A$5:$A$7,0)),0))</f>
        <v>1</v>
      </c>
      <c r="O17" s="34" t="str">
        <f aca="false">IF(A17="","",IF(M17&gt;N17,"",IF(M17=1,"최우수",IF(M17&lt;=3,"우수","장려"))))</f>
        <v/>
      </c>
    </row>
    <row r="18" customFormat="false" ht="15" hidden="false" customHeight="false" outlineLevel="0" collapsed="false">
      <c r="A18" s="34" t="str">
        <f aca="false">IF(작품목록!A11="","",작품목록!A11)</f>
        <v>B-08</v>
      </c>
      <c r="B18" s="27" t="str">
        <f aca="false">IF($A18="","",작품목록!B11&amp;"")</f>
        <v>블록</v>
      </c>
      <c r="C18" s="27" t="str">
        <f aca="false">IF($A18="","",작품목록!C11&amp;IF(작품목록!D11="","",IF(작품목록!D11=작품목록!C11," (2명)"," · "&amp;작품목록!D11)))</f>
        <v>5-2</v>
      </c>
      <c r="D18" s="27" t="str">
        <f aca="false">IF($A18="","",작품목록!E11&amp;"")</f>
        <v>신○○</v>
      </c>
      <c r="E18" s="28" t="str">
        <f aca="false">IF($A18="","",작품목록!G11&amp;"")</f>
        <v>분수 피자 가게</v>
      </c>
      <c r="F18" s="30" t="n">
        <f aca="false">IF(A18="","",IFERROR(IF(B18="상상",INDEX(심사_상상!$P$5:$P$104,MATCH($A18,심사_상상!$A$5:$A$104,0)),INDEX(심사_블록바이브!$S$5:$S$104,MATCH($A18,심사_블록바이브!$A$5:$A$104,0)))+0,0))</f>
        <v>42.67</v>
      </c>
      <c r="G18" s="30" t="n">
        <f aca="false">IF(A18="","",IFERROR(IF(B18="상상",INDEX(심사_상상!$Q$5:$Q$104,MATCH($A18,심사_상상!$A$5:$A$104,0)),INDEX(심사_블록바이브!$T$5:$T$104,MATCH($A18,심사_블록바이브!$A$5:$A$104,0)))+0,0))</f>
        <v>12.33</v>
      </c>
      <c r="H18" s="27" t="n">
        <f aca="false">IF(A18="","",IFERROR(INDEX('좋아요 수'!$J$6:$J$105,MATCH(A18,'좋아요 수'!$E$6:$E$105,0))+0,0))</f>
        <v>36</v>
      </c>
      <c r="I18" s="27" t="n">
        <f aca="false">IF(A18="","",_xlfn.MAXIFS($H$11:$H$110,$B$11:$B$110,B18))</f>
        <v>58</v>
      </c>
      <c r="J18" s="47" t="n">
        <f aca="false">IF(A18="","",IF(N(I18)=0,0,ROUND(H18/I18*50,1)))</f>
        <v>31</v>
      </c>
      <c r="K18" s="29" t="n">
        <f aca="false">IF(A18="","",ROUND(F18+J18,2))</f>
        <v>73.67</v>
      </c>
      <c r="L18" s="48" t="n">
        <f aca="false">IF(A18="","",K18+G18/10000)</f>
        <v>73.671233</v>
      </c>
      <c r="M18" s="34" t="n">
        <f aca="false">IF(A18="","",COUNTIFS($B$11:$B$110,B18,$L$11:$L$110,"&gt;"&amp;L18)+1)</f>
        <v>4</v>
      </c>
      <c r="N18" s="27" t="n">
        <f aca="false">IF(A18="","",IFERROR(INDEX($D$5:$D$7,MATCH(B18,$A$5:$A$7,0)),0))</f>
        <v>1</v>
      </c>
      <c r="O18" s="34" t="str">
        <f aca="false">IF(A18="","",IF(M18&gt;N18,"",IF(M18=1,"최우수",IF(M18&lt;=3,"우수","장려"))))</f>
        <v/>
      </c>
    </row>
    <row r="19" customFormat="false" ht="15" hidden="false" customHeight="false" outlineLevel="0" collapsed="false">
      <c r="A19" s="34" t="str">
        <f aca="false">IF(작품목록!A12="","",작품목록!A12)</f>
        <v>V-01</v>
      </c>
      <c r="B19" s="27" t="str">
        <f aca="false">IF($A19="","",작품목록!B12&amp;"")</f>
        <v>바이브</v>
      </c>
      <c r="C19" s="27" t="str">
        <f aca="false">IF($A19="","",작품목록!C12&amp;IF(작품목록!D12="","",IF(작품목록!D12=작품목록!C12," (2명)"," · "&amp;작품목록!D12)))</f>
        <v>4-3</v>
      </c>
      <c r="D19" s="27" t="str">
        <f aca="false">IF($A19="","",작품목록!E12&amp;"")</f>
        <v>김○○</v>
      </c>
      <c r="E19" s="28" t="str">
        <f aca="false">IF($A19="","",작품목록!G12&amp;"")</f>
        <v>각도 탐정 게임</v>
      </c>
      <c r="F19" s="30" t="n">
        <f aca="false">IF(A19="","",IFERROR(IF(B19="상상",INDEX(심사_상상!$P$5:$P$104,MATCH($A19,심사_상상!$A$5:$A$104,0)),INDEX(심사_블록바이브!$S$5:$S$104,MATCH($A19,심사_블록바이브!$A$5:$A$104,0)))+0,0))</f>
        <v>46.67</v>
      </c>
      <c r="G19" s="30" t="n">
        <f aca="false">IF(A19="","",IFERROR(IF(B19="상상",INDEX(심사_상상!$Q$5:$Q$104,MATCH($A19,심사_상상!$A$5:$A$104,0)),INDEX(심사_블록바이브!$T$5:$T$104,MATCH($A19,심사_블록바이브!$A$5:$A$104,0)))+0,0))</f>
        <v>14</v>
      </c>
      <c r="H19" s="27" t="n">
        <f aca="false">IF(A19="","",IFERROR(INDEX('좋아요 수'!$J$6:$J$105,MATCH(A19,'좋아요 수'!$E$6:$E$105,0))+0,0))</f>
        <v>60</v>
      </c>
      <c r="I19" s="27" t="n">
        <f aca="false">IF(A19="","",_xlfn.MAXIFS($H$11:$H$110,$B$11:$B$110,B19))</f>
        <v>60</v>
      </c>
      <c r="J19" s="47" t="n">
        <f aca="false">IF(A19="","",IF(N(I19)=0,0,ROUND(H19/I19*50,1)))</f>
        <v>50</v>
      </c>
      <c r="K19" s="29" t="n">
        <f aca="false">IF(A19="","",ROUND(F19+J19,2))</f>
        <v>96.67</v>
      </c>
      <c r="L19" s="48" t="n">
        <f aca="false">IF(A19="","",K19+G19/10000)</f>
        <v>96.6714</v>
      </c>
      <c r="M19" s="34" t="n">
        <f aca="false">IF(A19="","",COUNTIFS($B$11:$B$110,B19,$L$11:$L$110,"&gt;"&amp;L19)+1)</f>
        <v>1</v>
      </c>
      <c r="N19" s="27" t="n">
        <f aca="false">IF(A19="","",IFERROR(INDEX($D$5:$D$7,MATCH(B19,$A$5:$A$7,0)),0))</f>
        <v>1</v>
      </c>
      <c r="O19" s="34" t="str">
        <f aca="false">IF(A19="","",IF(M19&gt;N19,"",IF(M19=1,"최우수",IF(M19&lt;=3,"우수","장려"))))</f>
        <v>최우수</v>
      </c>
    </row>
    <row r="20" customFormat="false" ht="15" hidden="false" customHeight="false" outlineLevel="0" collapsed="false">
      <c r="A20" s="34" t="str">
        <f aca="false">IF(작품목록!A13="","",작품목록!A13)</f>
        <v>V-02</v>
      </c>
      <c r="B20" s="27" t="str">
        <f aca="false">IF($A20="","",작품목록!B13&amp;"")</f>
        <v>바이브</v>
      </c>
      <c r="C20" s="27" t="str">
        <f aca="false">IF($A20="","",작품목록!C13&amp;IF(작품목록!D13="","",IF(작품목록!D13=작품목록!C13," (2명)"," · "&amp;작품목록!D13)))</f>
        <v>5-1 (2명)</v>
      </c>
      <c r="D20" s="27" t="str">
        <f aca="false">IF($A20="","",작품목록!E13&amp;"")</f>
        <v>이○○·박○○</v>
      </c>
      <c r="E20" s="28" t="str">
        <f aca="false">IF($A20="","",작품목록!G13&amp;"")</f>
        <v>우리나라 시·도 퀴즈</v>
      </c>
      <c r="F20" s="30" t="n">
        <f aca="false">IF(A20="","",IFERROR(IF(B20="상상",INDEX(심사_상상!$P$5:$P$104,MATCH($A20,심사_상상!$A$5:$A$104,0)),INDEX(심사_블록바이브!$S$5:$S$104,MATCH($A20,심사_블록바이브!$A$5:$A$104,0)))+0,0))</f>
        <v>40.67</v>
      </c>
      <c r="G20" s="30" t="n">
        <f aca="false">IF(A20="","",IFERROR(IF(B20="상상",INDEX(심사_상상!$Q$5:$Q$104,MATCH($A20,심사_상상!$A$5:$A$104,0)),INDEX(심사_블록바이브!$T$5:$T$104,MATCH($A20,심사_블록바이브!$A$5:$A$104,0)))+0,0))</f>
        <v>12.33</v>
      </c>
      <c r="H20" s="27" t="n">
        <f aca="false">IF(A20="","",IFERROR(INDEX('좋아요 수'!$J$6:$J$105,MATCH(A20,'좋아요 수'!$E$6:$E$105,0))+0,0))</f>
        <v>42</v>
      </c>
      <c r="I20" s="27" t="n">
        <f aca="false">IF(A20="","",_xlfn.MAXIFS($H$11:$H$110,$B$11:$B$110,B20))</f>
        <v>60</v>
      </c>
      <c r="J20" s="47" t="n">
        <f aca="false">IF(A20="","",IF(N(I20)=0,0,ROUND(H20/I20*50,1)))</f>
        <v>35</v>
      </c>
      <c r="K20" s="29" t="n">
        <f aca="false">IF(A20="","",ROUND(F20+J20,2))</f>
        <v>75.67</v>
      </c>
      <c r="L20" s="48" t="n">
        <f aca="false">IF(A20="","",K20+G20/10000)</f>
        <v>75.671233</v>
      </c>
      <c r="M20" s="34" t="n">
        <f aca="false">IF(A20="","",COUNTIFS($B$11:$B$110,B20,$L$11:$L$110,"&gt;"&amp;L20)+1)</f>
        <v>3</v>
      </c>
      <c r="N20" s="27" t="n">
        <f aca="false">IF(A20="","",IFERROR(INDEX($D$5:$D$7,MATCH(B20,$A$5:$A$7,0)),0))</f>
        <v>1</v>
      </c>
      <c r="O20" s="34" t="str">
        <f aca="false">IF(A20="","",IF(M20&gt;N20,"",IF(M20=1,"최우수",IF(M20&lt;=3,"우수","장려"))))</f>
        <v/>
      </c>
    </row>
    <row r="21" customFormat="false" ht="15" hidden="false" customHeight="false" outlineLevel="0" collapsed="false">
      <c r="A21" s="34" t="str">
        <f aca="false">IF(작품목록!A14="","",작품목록!A14)</f>
        <v>V-03</v>
      </c>
      <c r="B21" s="27" t="str">
        <f aca="false">IF($A21="","",작품목록!B14&amp;"")</f>
        <v>바이브</v>
      </c>
      <c r="C21" s="27" t="str">
        <f aca="false">IF($A21="","",작품목록!C14&amp;IF(작품목록!D14="","",IF(작품목록!D14=작품목록!C14," (2명)"," · "&amp;작품목록!D14)))</f>
        <v>6-1</v>
      </c>
      <c r="D21" s="27" t="str">
        <f aca="false">IF($A21="","",작품목록!E14&amp;"")</f>
        <v>홍○○</v>
      </c>
      <c r="E21" s="28" t="str">
        <f aca="false">IF($A21="","",작품목록!G14&amp;"")</f>
        <v>지시약 색깔 실험실</v>
      </c>
      <c r="F21" s="30" t="n">
        <f aca="false">IF(A21="","",IFERROR(IF(B21="상상",INDEX(심사_상상!$P$5:$P$104,MATCH($A21,심사_상상!$A$5:$A$104,0)),INDEX(심사_블록바이브!$S$5:$S$104,MATCH($A21,심사_블록바이브!$A$5:$A$104,0)))+0,0))</f>
        <v>38.33</v>
      </c>
      <c r="G21" s="30" t="n">
        <f aca="false">IF(A21="","",IFERROR(IF(B21="상상",INDEX(심사_상상!$Q$5:$Q$104,MATCH($A21,심사_상상!$A$5:$A$104,0)),INDEX(심사_블록바이브!$T$5:$T$104,MATCH($A21,심사_블록바이브!$A$5:$A$104,0)))+0,0))</f>
        <v>11.67</v>
      </c>
      <c r="H21" s="27" t="n">
        <f aca="false">IF(A21="","",IFERROR(INDEX('좋아요 수'!$J$6:$J$105,MATCH(A21,'좋아요 수'!$E$6:$E$105,0))+0,0))</f>
        <v>31</v>
      </c>
      <c r="I21" s="27" t="n">
        <f aca="false">IF(A21="","",_xlfn.MAXIFS($H$11:$H$110,$B$11:$B$110,B21))</f>
        <v>60</v>
      </c>
      <c r="J21" s="47" t="n">
        <f aca="false">IF(A21="","",IF(N(I21)=0,0,ROUND(H21/I21*50,1)))</f>
        <v>25.8</v>
      </c>
      <c r="K21" s="29" t="n">
        <f aca="false">IF(A21="","",ROUND(F21+J21,2))</f>
        <v>64.13</v>
      </c>
      <c r="L21" s="48" t="n">
        <f aca="false">IF(A21="","",K21+G21/10000)</f>
        <v>64.131167</v>
      </c>
      <c r="M21" s="34" t="n">
        <f aca="false">IF(A21="","",COUNTIFS($B$11:$B$110,B21,$L$11:$L$110,"&gt;"&amp;L21)+1)</f>
        <v>5</v>
      </c>
      <c r="N21" s="27" t="n">
        <f aca="false">IF(A21="","",IFERROR(INDEX($D$5:$D$7,MATCH(B21,$A$5:$A$7,0)),0))</f>
        <v>1</v>
      </c>
      <c r="O21" s="34" t="str">
        <f aca="false">IF(A21="","",IF(M21&gt;N21,"",IF(M21=1,"최우수",IF(M21&lt;=3,"우수","장려"))))</f>
        <v/>
      </c>
    </row>
    <row r="22" customFormat="false" ht="15" hidden="false" customHeight="false" outlineLevel="0" collapsed="false">
      <c r="A22" s="34" t="str">
        <f aca="false">IF(작품목록!A15="","",작품목록!A15)</f>
        <v>V-04</v>
      </c>
      <c r="B22" s="27" t="str">
        <f aca="false">IF($A22="","",작품목록!B15&amp;"")</f>
        <v>바이브</v>
      </c>
      <c r="C22" s="27" t="str">
        <f aca="false">IF($A22="","",작품목록!C15&amp;IF(작품목록!D15="","",IF(작품목록!D15=작품목록!C15," (2명)"," · "&amp;작품목록!D15)))</f>
        <v>3-4</v>
      </c>
      <c r="D22" s="27" t="str">
        <f aca="false">IF($A22="","",작품목록!E15&amp;"")</f>
        <v>문○○</v>
      </c>
      <c r="E22" s="28" t="str">
        <f aca="false">IF($A22="","",작품목록!G15&amp;"")</f>
        <v>중심 문장 찾기 놀이</v>
      </c>
      <c r="F22" s="30" t="n">
        <f aca="false">IF(A22="","",IFERROR(IF(B22="상상",INDEX(심사_상상!$P$5:$P$104,MATCH($A22,심사_상상!$A$5:$A$104,0)),INDEX(심사_블록바이브!$S$5:$S$104,MATCH($A22,심사_블록바이브!$A$5:$A$104,0)))+0,0))</f>
        <v>33.67</v>
      </c>
      <c r="G22" s="30" t="n">
        <f aca="false">IF(A22="","",IFERROR(IF(B22="상상",INDEX(심사_상상!$Q$5:$Q$104,MATCH($A22,심사_상상!$A$5:$A$104,0)),INDEX(심사_블록바이브!$T$5:$T$104,MATCH($A22,심사_블록바이브!$A$5:$A$104,0)))+0,0))</f>
        <v>10.33</v>
      </c>
      <c r="H22" s="27" t="n">
        <f aca="false">IF(A22="","",IFERROR(INDEX('좋아요 수'!$J$6:$J$105,MATCH(A22,'좋아요 수'!$E$6:$E$105,0))+0,0))</f>
        <v>18</v>
      </c>
      <c r="I22" s="27" t="n">
        <f aca="false">IF(A22="","",_xlfn.MAXIFS($H$11:$H$110,$B$11:$B$110,B22))</f>
        <v>60</v>
      </c>
      <c r="J22" s="47" t="n">
        <f aca="false">IF(A22="","",IF(N(I22)=0,0,ROUND(H22/I22*50,1)))</f>
        <v>15</v>
      </c>
      <c r="K22" s="29" t="n">
        <f aca="false">IF(A22="","",ROUND(F22+J22,2))</f>
        <v>48.67</v>
      </c>
      <c r="L22" s="48" t="n">
        <f aca="false">IF(A22="","",K22+G22/10000)</f>
        <v>48.671033</v>
      </c>
      <c r="M22" s="34" t="n">
        <f aca="false">IF(A22="","",COUNTIFS($B$11:$B$110,B22,$L$11:$L$110,"&gt;"&amp;L22)+1)</f>
        <v>7</v>
      </c>
      <c r="N22" s="27" t="n">
        <f aca="false">IF(A22="","",IFERROR(INDEX($D$5:$D$7,MATCH(B22,$A$5:$A$7,0)),0))</f>
        <v>1</v>
      </c>
      <c r="O22" s="34" t="str">
        <f aca="false">IF(A22="","",IF(M22&gt;N22,"",IF(M22=1,"최우수",IF(M22&lt;=3,"우수","장려"))))</f>
        <v/>
      </c>
    </row>
    <row r="23" customFormat="false" ht="15" hidden="false" customHeight="false" outlineLevel="0" collapsed="false">
      <c r="A23" s="34" t="str">
        <f aca="false">IF(작품목록!A16="","",작품목록!A16)</f>
        <v>V-05</v>
      </c>
      <c r="B23" s="27" t="str">
        <f aca="false">IF($A23="","",작품목록!B16&amp;"")</f>
        <v>바이브</v>
      </c>
      <c r="C23" s="27" t="str">
        <f aca="false">IF($A23="","",작품목록!C16&amp;IF(작품목록!D16="","",IF(작품목록!D16=작품목록!C16," (2명)"," · "&amp;작품목록!D16)))</f>
        <v>5-4</v>
      </c>
      <c r="D23" s="27" t="str">
        <f aca="false">IF($A23="","",작품목록!E16&amp;"")</f>
        <v>양○○</v>
      </c>
      <c r="E23" s="28" t="str">
        <f aca="false">IF($A23="","",작품목록!G16&amp;"")</f>
        <v>영어 시장 놀이</v>
      </c>
      <c r="F23" s="30" t="n">
        <f aca="false">IF(A23="","",IFERROR(IF(B23="상상",INDEX(심사_상상!$P$5:$P$104,MATCH($A23,심사_상상!$A$5:$A$104,0)),INDEX(심사_블록바이브!$S$5:$S$104,MATCH($A23,심사_블록바이브!$A$5:$A$104,0)))+0,0))</f>
        <v>40.33</v>
      </c>
      <c r="G23" s="30" t="n">
        <f aca="false">IF(A23="","",IFERROR(IF(B23="상상",INDEX(심사_상상!$Q$5:$Q$104,MATCH($A23,심사_상상!$A$5:$A$104,0)),INDEX(심사_블록바이브!$T$5:$T$104,MATCH($A23,심사_블록바이브!$A$5:$A$104,0)))+0,0))</f>
        <v>11.33</v>
      </c>
      <c r="H23" s="27" t="n">
        <f aca="false">IF(A23="","",IFERROR(INDEX('좋아요 수'!$J$6:$J$105,MATCH(A23,'좋아요 수'!$E$6:$E$105,0))+0,0))</f>
        <v>37</v>
      </c>
      <c r="I23" s="27" t="n">
        <f aca="false">IF(A23="","",_xlfn.MAXIFS($H$11:$H$110,$B$11:$B$110,B23))</f>
        <v>60</v>
      </c>
      <c r="J23" s="47" t="n">
        <f aca="false">IF(A23="","",IF(N(I23)=0,0,ROUND(H23/I23*50,1)))</f>
        <v>30.8</v>
      </c>
      <c r="K23" s="29" t="n">
        <f aca="false">IF(A23="","",ROUND(F23+J23,2))</f>
        <v>71.13</v>
      </c>
      <c r="L23" s="48" t="n">
        <f aca="false">IF(A23="","",K23+G23/10000)</f>
        <v>71.131133</v>
      </c>
      <c r="M23" s="34" t="n">
        <f aca="false">IF(A23="","",COUNTIFS($B$11:$B$110,B23,$L$11:$L$110,"&gt;"&amp;L23)+1)</f>
        <v>4</v>
      </c>
      <c r="N23" s="27" t="n">
        <f aca="false">IF(A23="","",IFERROR(INDEX($D$5:$D$7,MATCH(B23,$A$5:$A$7,0)),0))</f>
        <v>1</v>
      </c>
      <c r="O23" s="34" t="str">
        <f aca="false">IF(A23="","",IF(M23&gt;N23,"",IF(M23=1,"최우수",IF(M23&lt;=3,"우수","장려"))))</f>
        <v/>
      </c>
    </row>
    <row r="24" customFormat="false" ht="15" hidden="false" customHeight="false" outlineLevel="0" collapsed="false">
      <c r="A24" s="34" t="str">
        <f aca="false">IF(작품목록!A17="","",작품목록!A17)</f>
        <v>V-06</v>
      </c>
      <c r="B24" s="27" t="str">
        <f aca="false">IF($A24="","",작품목록!B17&amp;"")</f>
        <v>바이브</v>
      </c>
      <c r="C24" s="27" t="str">
        <f aca="false">IF($A24="","",작품목록!C17&amp;IF(작품목록!D17="","",IF(작품목록!D17=작품목록!C17," (2명)"," · "&amp;작품목록!D17)))</f>
        <v>4-2 (2명)</v>
      </c>
      <c r="D24" s="27" t="str">
        <f aca="false">IF($A24="","",작품목록!E17&amp;"")</f>
        <v>배○○·백○○</v>
      </c>
      <c r="E24" s="28" t="str">
        <f aca="false">IF($A24="","",작품목록!G17&amp;"")</f>
        <v>얼음·물·수증기 변신 퀴즈</v>
      </c>
      <c r="F24" s="30" t="n">
        <f aca="false">IF(A24="","",IFERROR(IF(B24="상상",INDEX(심사_상상!$P$5:$P$104,MATCH($A24,심사_상상!$A$5:$A$104,0)),INDEX(심사_블록바이브!$S$5:$S$104,MATCH($A24,심사_블록바이브!$A$5:$A$104,0)))+0,0))</f>
        <v>35.33</v>
      </c>
      <c r="G24" s="30" t="n">
        <f aca="false">IF(A24="","",IFERROR(IF(B24="상상",INDEX(심사_상상!$Q$5:$Q$104,MATCH($A24,심사_상상!$A$5:$A$104,0)),INDEX(심사_블록바이브!$T$5:$T$104,MATCH($A24,심사_블록바이브!$A$5:$A$104,0)))+0,0))</f>
        <v>10.67</v>
      </c>
      <c r="H24" s="27" t="n">
        <f aca="false">IF(A24="","",IFERROR(INDEX('좋아요 수'!$J$6:$J$105,MATCH(A24,'좋아요 수'!$E$6:$E$105,0))+0,0))</f>
        <v>27</v>
      </c>
      <c r="I24" s="27" t="n">
        <f aca="false">IF(A24="","",_xlfn.MAXIFS($H$11:$H$110,$B$11:$B$110,B24))</f>
        <v>60</v>
      </c>
      <c r="J24" s="47" t="n">
        <f aca="false">IF(A24="","",IF(N(I24)=0,0,ROUND(H24/I24*50,1)))</f>
        <v>22.5</v>
      </c>
      <c r="K24" s="29" t="n">
        <f aca="false">IF(A24="","",ROUND(F24+J24,2))</f>
        <v>57.83</v>
      </c>
      <c r="L24" s="48" t="n">
        <f aca="false">IF(A24="","",K24+G24/10000)</f>
        <v>57.831067</v>
      </c>
      <c r="M24" s="34" t="n">
        <f aca="false">IF(A24="","",COUNTIFS($B$11:$B$110,B24,$L$11:$L$110,"&gt;"&amp;L24)+1)</f>
        <v>6</v>
      </c>
      <c r="N24" s="27" t="n">
        <f aca="false">IF(A24="","",IFERROR(INDEX($D$5:$D$7,MATCH(B24,$A$5:$A$7,0)),0))</f>
        <v>1</v>
      </c>
      <c r="O24" s="34" t="str">
        <f aca="false">IF(A24="","",IF(M24&gt;N24,"",IF(M24=1,"최우수",IF(M24&lt;=3,"우수","장려"))))</f>
        <v/>
      </c>
    </row>
    <row r="25" customFormat="false" ht="15" hidden="false" customHeight="false" outlineLevel="0" collapsed="false">
      <c r="A25" s="34" t="str">
        <f aca="false">IF(작품목록!A18="","",작품목록!A18)</f>
        <v>V-07</v>
      </c>
      <c r="B25" s="27" t="str">
        <f aca="false">IF($A25="","",작품목록!B18&amp;"")</f>
        <v>바이브</v>
      </c>
      <c r="C25" s="27" t="str">
        <f aca="false">IF($A25="","",작품목록!C18&amp;IF(작품목록!D18="","",IF(작품목록!D18=작품목록!C18," (2명)"," · "&amp;작품목록!D18)))</f>
        <v>6-3</v>
      </c>
      <c r="D25" s="27" t="str">
        <f aca="false">IF($A25="","",작품목록!E18&amp;"")</f>
        <v>송○○</v>
      </c>
      <c r="E25" s="28" t="str">
        <f aca="false">IF($A25="","",작품목록!G18&amp;"")</f>
        <v>비율 요리사</v>
      </c>
      <c r="F25" s="30" t="n">
        <f aca="false">IF(A25="","",IFERROR(IF(B25="상상",INDEX(심사_상상!$P$5:$P$104,MATCH($A25,심사_상상!$A$5:$A$104,0)),INDEX(심사_블록바이브!$S$5:$S$104,MATCH($A25,심사_블록바이브!$A$5:$A$104,0)))+0,0))</f>
        <v>41.67</v>
      </c>
      <c r="G25" s="30" t="n">
        <f aca="false">IF(A25="","",IFERROR(IF(B25="상상",INDEX(심사_상상!$Q$5:$Q$104,MATCH($A25,심사_상상!$A$5:$A$104,0)),INDEX(심사_블록바이브!$T$5:$T$104,MATCH($A25,심사_블록바이브!$A$5:$A$104,0)))+0,0))</f>
        <v>12.33</v>
      </c>
      <c r="H25" s="27" t="n">
        <f aca="false">IF(A25="","",IFERROR(INDEX('좋아요 수'!$J$6:$J$105,MATCH(A25,'좋아요 수'!$E$6:$E$105,0))+0,0))</f>
        <v>45</v>
      </c>
      <c r="I25" s="27" t="n">
        <f aca="false">IF(A25="","",_xlfn.MAXIFS($H$11:$H$110,$B$11:$B$110,B25))</f>
        <v>60</v>
      </c>
      <c r="J25" s="47" t="n">
        <f aca="false">IF(A25="","",IF(N(I25)=0,0,ROUND(H25/I25*50,1)))</f>
        <v>37.5</v>
      </c>
      <c r="K25" s="29" t="n">
        <f aca="false">IF(A25="","",ROUND(F25+J25,2))</f>
        <v>79.17</v>
      </c>
      <c r="L25" s="48" t="n">
        <f aca="false">IF(A25="","",K25+G25/10000)</f>
        <v>79.171233</v>
      </c>
      <c r="M25" s="34" t="n">
        <f aca="false">IF(A25="","",COUNTIFS($B$11:$B$110,B25,$L$11:$L$110,"&gt;"&amp;L25)+1)</f>
        <v>2</v>
      </c>
      <c r="N25" s="27" t="n">
        <f aca="false">IF(A25="","",IFERROR(INDEX($D$5:$D$7,MATCH(B25,$A$5:$A$7,0)),0))</f>
        <v>1</v>
      </c>
      <c r="O25" s="34" t="str">
        <f aca="false">IF(A25="","",IF(M25&gt;N25,"",IF(M25=1,"최우수",IF(M25&lt;=3,"우수","장려"))))</f>
        <v/>
      </c>
    </row>
    <row r="26" customFormat="false" ht="15" hidden="false" customHeight="false" outlineLevel="0" collapsed="false">
      <c r="A26" s="34" t="str">
        <f aca="false">IF(작품목록!A19="","",작품목록!A19)</f>
        <v>V-08</v>
      </c>
      <c r="B26" s="27" t="str">
        <f aca="false">IF($A26="","",작품목록!B19&amp;"")</f>
        <v>바이브</v>
      </c>
      <c r="C26" s="27" t="str">
        <f aca="false">IF($A26="","",작품목록!C19&amp;IF(작품목록!D19="","",IF(작품목록!D19=작품목록!C19," (2명)"," · "&amp;작품목록!D19)))</f>
        <v>3-1</v>
      </c>
      <c r="D26" s="27" t="str">
        <f aca="false">IF($A26="","",작품목록!E19&amp;"")</f>
        <v>유○○</v>
      </c>
      <c r="E26" s="28" t="str">
        <f aca="false">IF($A26="","",작품목록!G19&amp;"")</f>
        <v>고장 지도 기호 카드</v>
      </c>
      <c r="F26" s="30" t="n">
        <f aca="false">IF(A26="","",IFERROR(IF(B26="상상",INDEX(심사_상상!$P$5:$P$104,MATCH($A26,심사_상상!$A$5:$A$104,0)),INDEX(심사_블록바이브!$S$5:$S$104,MATCH($A26,심사_블록바이브!$A$5:$A$104,0)))+0,0))</f>
        <v>30</v>
      </c>
      <c r="G26" s="30" t="n">
        <f aca="false">IF(A26="","",IFERROR(IF(B26="상상",INDEX(심사_상상!$Q$5:$Q$104,MATCH($A26,심사_상상!$A$5:$A$104,0)),INDEX(심사_블록바이브!$T$5:$T$104,MATCH($A26,심사_블록바이브!$A$5:$A$104,0)))+0,0))</f>
        <v>8.33</v>
      </c>
      <c r="H26" s="27" t="n">
        <f aca="false">IF(A26="","",IFERROR(INDEX('좋아요 수'!$J$6:$J$105,MATCH(A26,'좋아요 수'!$E$6:$E$105,0))+0,0))</f>
        <v>12</v>
      </c>
      <c r="I26" s="27" t="n">
        <f aca="false">IF(A26="","",_xlfn.MAXIFS($H$11:$H$110,$B$11:$B$110,B26))</f>
        <v>60</v>
      </c>
      <c r="J26" s="47" t="n">
        <f aca="false">IF(A26="","",IF(N(I26)=0,0,ROUND(H26/I26*50,1)))</f>
        <v>10</v>
      </c>
      <c r="K26" s="29" t="n">
        <f aca="false">IF(A26="","",ROUND(F26+J26,2))</f>
        <v>40</v>
      </c>
      <c r="L26" s="48" t="n">
        <f aca="false">IF(A26="","",K26+G26/10000)</f>
        <v>40.000833</v>
      </c>
      <c r="M26" s="34" t="n">
        <f aca="false">IF(A26="","",COUNTIFS($B$11:$B$110,B26,$L$11:$L$110,"&gt;"&amp;L26)+1)</f>
        <v>8</v>
      </c>
      <c r="N26" s="27" t="n">
        <f aca="false">IF(A26="","",IFERROR(INDEX($D$5:$D$7,MATCH(B26,$A$5:$A$7,0)),0))</f>
        <v>1</v>
      </c>
      <c r="O26" s="34" t="str">
        <f aca="false">IF(A26="","",IF(M26&gt;N26,"",IF(M26=1,"최우수",IF(M26&lt;=3,"우수","장려"))))</f>
        <v/>
      </c>
    </row>
    <row r="27" customFormat="false" ht="15" hidden="false" customHeight="false" outlineLevel="0" collapsed="false">
      <c r="A27" s="34" t="str">
        <f aca="false">IF(작품목록!A20="","",작품목록!A20)</f>
        <v>S-01</v>
      </c>
      <c r="B27" s="27" t="str">
        <f aca="false">IF($A27="","",작품목록!B20&amp;"")</f>
        <v>상상</v>
      </c>
      <c r="C27" s="27" t="str">
        <f aca="false">IF($A27="","",작품목록!C20&amp;IF(작품목록!D20="","",IF(작품목록!D20=작품목록!C20," (2명)"," · "&amp;작품목록!D20)))</f>
        <v>2-1</v>
      </c>
      <c r="D27" s="27" t="str">
        <f aca="false">IF($A27="","",작품목록!E20&amp;"")</f>
        <v>한○○</v>
      </c>
      <c r="E27" s="28" t="str">
        <f aca="false">IF($A27="","",작품목록!G20&amp;"")</f>
        <v>받침 친구 로봇 '받침이'</v>
      </c>
      <c r="F27" s="30" t="n">
        <f aca="false">IF(A27="","",IFERROR(IF(B27="상상",INDEX(심사_상상!$P$5:$P$104,MATCH($A27,심사_상상!$A$5:$A$104,0)),INDEX(심사_블록바이브!$S$5:$S$104,MATCH($A27,심사_블록바이브!$A$5:$A$104,0)))+0,0))</f>
        <v>45</v>
      </c>
      <c r="G27" s="30" t="n">
        <f aca="false">IF(A27="","",IFERROR(IF(B27="상상",INDEX(심사_상상!$Q$5:$Q$104,MATCH($A27,심사_상상!$A$5:$A$104,0)),INDEX(심사_블록바이브!$T$5:$T$104,MATCH($A27,심사_블록바이브!$A$5:$A$104,0)))+0,0))</f>
        <v>18</v>
      </c>
      <c r="H27" s="27" t="n">
        <f aca="false">IF(A27="","",IFERROR(INDEX('좋아요 수'!$J$6:$J$105,MATCH(A27,'좋아요 수'!$E$6:$E$105,0))+0,0))</f>
        <v>38</v>
      </c>
      <c r="I27" s="27" t="n">
        <f aca="false">IF(A27="","",_xlfn.MAXIFS($H$11:$H$110,$B$11:$B$110,B27))</f>
        <v>38</v>
      </c>
      <c r="J27" s="47" t="n">
        <f aca="false">IF(A27="","",IF(N(I27)=0,0,ROUND(H27/I27*50,1)))</f>
        <v>50</v>
      </c>
      <c r="K27" s="29" t="n">
        <f aca="false">IF(A27="","",ROUND(F27+J27,2))</f>
        <v>95</v>
      </c>
      <c r="L27" s="48" t="n">
        <f aca="false">IF(A27="","",K27+G27/10000)</f>
        <v>95.0018</v>
      </c>
      <c r="M27" s="34" t="n">
        <f aca="false">IF(A27="","",COUNTIFS($B$11:$B$110,B27,$L$11:$L$110,"&gt;"&amp;L27)+1)</f>
        <v>1</v>
      </c>
      <c r="N27" s="27" t="n">
        <f aca="false">IF(A27="","",IFERROR(INDEX($D$5:$D$7,MATCH(B27,$A$5:$A$7,0)),0))</f>
        <v>1</v>
      </c>
      <c r="O27" s="34" t="str">
        <f aca="false">IF(A27="","",IF(M27&gt;N27,"",IF(M27=1,"최우수",IF(M27&lt;=3,"우수","장려"))))</f>
        <v>최우수</v>
      </c>
    </row>
    <row r="28" customFormat="false" ht="15" hidden="false" customHeight="false" outlineLevel="0" collapsed="false">
      <c r="A28" s="34" t="str">
        <f aca="false">IF(작품목록!A21="","",작품목록!A21)</f>
        <v>S-02</v>
      </c>
      <c r="B28" s="27" t="str">
        <f aca="false">IF($A28="","",작품목록!B21&amp;"")</f>
        <v>상상</v>
      </c>
      <c r="C28" s="27" t="str">
        <f aca="false">IF($A28="","",작품목록!C21&amp;IF(작품목록!D21="","",IF(작품목록!D21=작품목록!C21," (2명)"," · "&amp;작품목록!D21)))</f>
        <v>1-3</v>
      </c>
      <c r="D28" s="27" t="str">
        <f aca="false">IF($A28="","",작품목록!E21&amp;"")</f>
        <v>장○○</v>
      </c>
      <c r="E28" s="28" t="str">
        <f aca="false">IF($A28="","",작품목록!G21&amp;"")</f>
        <v>덧셈 요정 '더하리'</v>
      </c>
      <c r="F28" s="30" t="n">
        <f aca="false">IF(A28="","",IFERROR(IF(B28="상상",INDEX(심사_상상!$P$5:$P$104,MATCH($A28,심사_상상!$A$5:$A$104,0)),INDEX(심사_블록바이브!$S$5:$S$104,MATCH($A28,심사_블록바이브!$A$5:$A$104,0)))+0,0))</f>
        <v>41</v>
      </c>
      <c r="G28" s="30" t="n">
        <f aca="false">IF(A28="","",IFERROR(IF(B28="상상",INDEX(심사_상상!$Q$5:$Q$104,MATCH($A28,심사_상상!$A$5:$A$104,0)),INDEX(심사_블록바이브!$T$5:$T$104,MATCH($A28,심사_블록바이브!$A$5:$A$104,0)))+0,0))</f>
        <v>16</v>
      </c>
      <c r="H28" s="27" t="n">
        <f aca="false">IF(A28="","",IFERROR(INDEX('좋아요 수'!$J$6:$J$105,MATCH(A28,'좋아요 수'!$E$6:$E$105,0))+0,0))</f>
        <v>27</v>
      </c>
      <c r="I28" s="27" t="n">
        <f aca="false">IF(A28="","",_xlfn.MAXIFS($H$11:$H$110,$B$11:$B$110,B28))</f>
        <v>38</v>
      </c>
      <c r="J28" s="47" t="n">
        <f aca="false">IF(A28="","",IF(N(I28)=0,0,ROUND(H28/I28*50,1)))</f>
        <v>35.5</v>
      </c>
      <c r="K28" s="29" t="n">
        <f aca="false">IF(A28="","",ROUND(F28+J28,2))</f>
        <v>76.5</v>
      </c>
      <c r="L28" s="48" t="n">
        <f aca="false">IF(A28="","",K28+G28/10000)</f>
        <v>76.5016</v>
      </c>
      <c r="M28" s="34" t="n">
        <f aca="false">IF(A28="","",COUNTIFS($B$11:$B$110,B28,$L$11:$L$110,"&gt;"&amp;L28)+1)</f>
        <v>3</v>
      </c>
      <c r="N28" s="27" t="n">
        <f aca="false">IF(A28="","",IFERROR(INDEX($D$5:$D$7,MATCH(B28,$A$5:$A$7,0)),0))</f>
        <v>1</v>
      </c>
      <c r="O28" s="34" t="str">
        <f aca="false">IF(A28="","",IF(M28&gt;N28,"",IF(M28=1,"최우수",IF(M28&lt;=3,"우수","장려"))))</f>
        <v/>
      </c>
    </row>
    <row r="29" customFormat="false" ht="15" hidden="false" customHeight="false" outlineLevel="0" collapsed="false">
      <c r="A29" s="34" t="str">
        <f aca="false">IF(작품목록!A22="","",작품목록!A22)</f>
        <v>S-03</v>
      </c>
      <c r="B29" s="27" t="str">
        <f aca="false">IF($A29="","",작품목록!B22&amp;"")</f>
        <v>상상</v>
      </c>
      <c r="C29" s="27" t="str">
        <f aca="false">IF($A29="","",작품목록!C22&amp;IF(작품목록!D22="","",IF(작품목록!D22=작품목록!C22," (2명)"," · "&amp;작품목록!D22)))</f>
        <v>2-4</v>
      </c>
      <c r="D29" s="27" t="str">
        <f aca="false">IF($A29="","",작품목록!E22&amp;"")</f>
        <v>권○○</v>
      </c>
      <c r="E29" s="28" t="str">
        <f aca="false">IF($A29="","",작품목록!G22&amp;"")</f>
        <v>낙엽 이름 알려 주는 다람쥐 AI</v>
      </c>
      <c r="F29" s="30" t="n">
        <f aca="false">IF(A29="","",IFERROR(IF(B29="상상",INDEX(심사_상상!$P$5:$P$104,MATCH($A29,심사_상상!$A$5:$A$104,0)),INDEX(심사_블록바이브!$S$5:$S$104,MATCH($A29,심사_블록바이브!$A$5:$A$104,0)))+0,0))</f>
        <v>36.67</v>
      </c>
      <c r="G29" s="30" t="n">
        <f aca="false">IF(A29="","",IFERROR(IF(B29="상상",INDEX(심사_상상!$Q$5:$Q$104,MATCH($A29,심사_상상!$A$5:$A$104,0)),INDEX(심사_블록바이브!$T$5:$T$104,MATCH($A29,심사_블록바이브!$A$5:$A$104,0)))+0,0))</f>
        <v>14.67</v>
      </c>
      <c r="H29" s="27" t="n">
        <f aca="false">IF(A29="","",IFERROR(INDEX('좋아요 수'!$J$6:$J$105,MATCH(A29,'좋아요 수'!$E$6:$E$105,0))+0,0))</f>
        <v>19</v>
      </c>
      <c r="I29" s="27" t="n">
        <f aca="false">IF(A29="","",_xlfn.MAXIFS($H$11:$H$110,$B$11:$B$110,B29))</f>
        <v>38</v>
      </c>
      <c r="J29" s="47" t="n">
        <f aca="false">IF(A29="","",IF(N(I29)=0,0,ROUND(H29/I29*50,1)))</f>
        <v>25</v>
      </c>
      <c r="K29" s="29" t="n">
        <f aca="false">IF(A29="","",ROUND(F29+J29,2))</f>
        <v>61.67</v>
      </c>
      <c r="L29" s="48" t="n">
        <f aca="false">IF(A29="","",K29+G29/10000)</f>
        <v>61.671467</v>
      </c>
      <c r="M29" s="34" t="n">
        <f aca="false">IF(A29="","",COUNTIFS($B$11:$B$110,B29,$L$11:$L$110,"&gt;"&amp;L29)+1)</f>
        <v>5</v>
      </c>
      <c r="N29" s="27" t="n">
        <f aca="false">IF(A29="","",IFERROR(INDEX($D$5:$D$7,MATCH(B29,$A$5:$A$7,0)),0))</f>
        <v>1</v>
      </c>
      <c r="O29" s="34" t="str">
        <f aca="false">IF(A29="","",IF(M29&gt;N29,"",IF(M29=1,"최우수",IF(M29&lt;=3,"우수","장려"))))</f>
        <v/>
      </c>
    </row>
    <row r="30" customFormat="false" ht="15" hidden="false" customHeight="false" outlineLevel="0" collapsed="false">
      <c r="A30" s="34" t="str">
        <f aca="false">IF(작품목록!A23="","",작품목록!A23)</f>
        <v>S-04</v>
      </c>
      <c r="B30" s="27" t="str">
        <f aca="false">IF($A30="","",작품목록!B23&amp;"")</f>
        <v>상상</v>
      </c>
      <c r="C30" s="27" t="str">
        <f aca="false">IF($A30="","",작품목록!C23&amp;IF(작품목록!D23="","",IF(작품목록!D23=작품목록!C23," (2명)"," · "&amp;작품목록!D23)))</f>
        <v>1-1</v>
      </c>
      <c r="D30" s="27" t="str">
        <f aca="false">IF($A30="","",작품목록!E23&amp;"")</f>
        <v>황○○</v>
      </c>
      <c r="E30" s="28" t="str">
        <f aca="false">IF($A30="","",작품목록!G23&amp;"")</f>
        <v>자음 모음 블록 친구</v>
      </c>
      <c r="F30" s="30" t="n">
        <f aca="false">IF(A30="","",IFERROR(IF(B30="상상",INDEX(심사_상상!$P$5:$P$104,MATCH($A30,심사_상상!$A$5:$A$104,0)),INDEX(심사_블록바이브!$S$5:$S$104,MATCH($A30,심사_블록바이브!$A$5:$A$104,0)))+0,0))</f>
        <v>32.33</v>
      </c>
      <c r="G30" s="30" t="n">
        <f aca="false">IF(A30="","",IFERROR(IF(B30="상상",INDEX(심사_상상!$Q$5:$Q$104,MATCH($A30,심사_상상!$A$5:$A$104,0)),INDEX(심사_블록바이브!$T$5:$T$104,MATCH($A30,심사_블록바이브!$A$5:$A$104,0)))+0,0))</f>
        <v>12.67</v>
      </c>
      <c r="H30" s="27" t="n">
        <f aca="false">IF(A30="","",IFERROR(INDEX('좋아요 수'!$J$6:$J$105,MATCH(A30,'좋아요 수'!$E$6:$E$105,0))+0,0))</f>
        <v>22</v>
      </c>
      <c r="I30" s="27" t="n">
        <f aca="false">IF(A30="","",_xlfn.MAXIFS($H$11:$H$110,$B$11:$B$110,B30))</f>
        <v>38</v>
      </c>
      <c r="J30" s="47" t="n">
        <f aca="false">IF(A30="","",IF(N(I30)=0,0,ROUND(H30/I30*50,1)))</f>
        <v>28.9</v>
      </c>
      <c r="K30" s="29" t="n">
        <f aca="false">IF(A30="","",ROUND(F30+J30,2))</f>
        <v>61.23</v>
      </c>
      <c r="L30" s="48" t="n">
        <f aca="false">IF(A30="","",K30+G30/10000)</f>
        <v>61.231267</v>
      </c>
      <c r="M30" s="34" t="n">
        <f aca="false">IF(A30="","",COUNTIFS($B$11:$B$110,B30,$L$11:$L$110,"&gt;"&amp;L30)+1)</f>
        <v>6</v>
      </c>
      <c r="N30" s="27" t="n">
        <f aca="false">IF(A30="","",IFERROR(INDEX($D$5:$D$7,MATCH(B30,$A$5:$A$7,0)),0))</f>
        <v>1</v>
      </c>
      <c r="O30" s="34" t="str">
        <f aca="false">IF(A30="","",IF(M30&gt;N30,"",IF(M30=1,"최우수",IF(M30&lt;=3,"우수","장려"))))</f>
        <v/>
      </c>
    </row>
    <row r="31" customFormat="false" ht="15" hidden="false" customHeight="false" outlineLevel="0" collapsed="false">
      <c r="A31" s="34" t="str">
        <f aca="false">IF(작품목록!A24="","",작품목록!A24)</f>
        <v>S-05</v>
      </c>
      <c r="B31" s="27" t="str">
        <f aca="false">IF($A31="","",작품목록!B24&amp;"")</f>
        <v>상상</v>
      </c>
      <c r="C31" s="27" t="str">
        <f aca="false">IF($A31="","",작품목록!C24&amp;IF(작품목록!D24="","",IF(작품목록!D24=작품목록!C24," (2명)"," · "&amp;작품목록!D24)))</f>
        <v>2-2</v>
      </c>
      <c r="D31" s="27" t="str">
        <f aca="false">IF($A31="","",작품목록!E24&amp;"")</f>
        <v>안○○</v>
      </c>
      <c r="E31" s="28" t="str">
        <f aca="false">IF($A31="","",작품목록!G24&amp;"")</f>
        <v>시계 읽어 주는 부엉이</v>
      </c>
      <c r="F31" s="30" t="n">
        <f aca="false">IF(A31="","",IFERROR(IF(B31="상상",INDEX(심사_상상!$P$5:$P$104,MATCH($A31,심사_상상!$A$5:$A$104,0)),INDEX(심사_블록바이브!$S$5:$S$104,MATCH($A31,심사_블록바이브!$A$5:$A$104,0)))+0,0))</f>
        <v>41.67</v>
      </c>
      <c r="G31" s="30" t="n">
        <f aca="false">IF(A31="","",IFERROR(IF(B31="상상",INDEX(심사_상상!$Q$5:$Q$104,MATCH($A31,심사_상상!$A$5:$A$104,0)),INDEX(심사_블록바이브!$T$5:$T$104,MATCH($A31,심사_블록바이브!$A$5:$A$104,0)))+0,0))</f>
        <v>16.33</v>
      </c>
      <c r="H31" s="27" t="n">
        <f aca="false">IF(A31="","",IFERROR(INDEX('좋아요 수'!$J$6:$J$105,MATCH(A31,'좋아요 수'!$E$6:$E$105,0))+0,0))</f>
        <v>31</v>
      </c>
      <c r="I31" s="27" t="n">
        <f aca="false">IF(A31="","",_xlfn.MAXIFS($H$11:$H$110,$B$11:$B$110,B31))</f>
        <v>38</v>
      </c>
      <c r="J31" s="47" t="n">
        <f aca="false">IF(A31="","",IF(N(I31)=0,0,ROUND(H31/I31*50,1)))</f>
        <v>40.8</v>
      </c>
      <c r="K31" s="29" t="n">
        <f aca="false">IF(A31="","",ROUND(F31+J31,2))</f>
        <v>82.47</v>
      </c>
      <c r="L31" s="48" t="n">
        <f aca="false">IF(A31="","",K31+G31/10000)</f>
        <v>82.471633</v>
      </c>
      <c r="M31" s="34" t="n">
        <f aca="false">IF(A31="","",COUNTIFS($B$11:$B$110,B31,$L$11:$L$110,"&gt;"&amp;L31)+1)</f>
        <v>2</v>
      </c>
      <c r="N31" s="27" t="n">
        <f aca="false">IF(A31="","",IFERROR(INDEX($D$5:$D$7,MATCH(B31,$A$5:$A$7,0)),0))</f>
        <v>1</v>
      </c>
      <c r="O31" s="34" t="str">
        <f aca="false">IF(A31="","",IF(M31&gt;N31,"",IF(M31=1,"최우수",IF(M31&lt;=3,"우수","장려"))))</f>
        <v/>
      </c>
    </row>
    <row r="32" customFormat="false" ht="15" hidden="false" customHeight="false" outlineLevel="0" collapsed="false">
      <c r="A32" s="34" t="str">
        <f aca="false">IF(작품목록!A25="","",작품목록!A25)</f>
        <v>S-06</v>
      </c>
      <c r="B32" s="27" t="str">
        <f aca="false">IF($A32="","",작품목록!B25&amp;"")</f>
        <v>상상</v>
      </c>
      <c r="C32" s="27" t="str">
        <f aca="false">IF($A32="","",작품목록!C25&amp;IF(작품목록!D25="","",IF(작품목록!D25=작품목록!C25," (2명)"," · "&amp;작품목록!D25)))</f>
        <v>1-5</v>
      </c>
      <c r="D32" s="27" t="str">
        <f aca="false">IF($A32="","",작품목록!E25&amp;"")</f>
        <v>전○○</v>
      </c>
      <c r="E32" s="28" t="str">
        <f aca="false">IF($A32="","",작품목록!G25&amp;"")</f>
        <v>학교 길 안내 로봇 '길동이'</v>
      </c>
      <c r="F32" s="30" t="n">
        <f aca="false">IF(A32="","",IFERROR(IF(B32="상상",INDEX(심사_상상!$P$5:$P$104,MATCH($A32,심사_상상!$A$5:$A$104,0)),INDEX(심사_블록바이브!$S$5:$S$104,MATCH($A32,심사_블록바이브!$A$5:$A$104,0)))+0,0))</f>
        <v>31.33</v>
      </c>
      <c r="G32" s="30" t="n">
        <f aca="false">IF(A32="","",IFERROR(IF(B32="상상",INDEX(심사_상상!$Q$5:$Q$104,MATCH($A32,심사_상상!$A$5:$A$104,0)),INDEX(심사_블록바이브!$T$5:$T$104,MATCH($A32,심사_블록바이브!$A$5:$A$104,0)))+0,0))</f>
        <v>12.33</v>
      </c>
      <c r="H32" s="27" t="n">
        <f aca="false">IF(A32="","",IFERROR(INDEX('좋아요 수'!$J$6:$J$105,MATCH(A32,'좋아요 수'!$E$6:$E$105,0))+0,0))</f>
        <v>15</v>
      </c>
      <c r="I32" s="27" t="n">
        <f aca="false">IF(A32="","",_xlfn.MAXIFS($H$11:$H$110,$B$11:$B$110,B32))</f>
        <v>38</v>
      </c>
      <c r="J32" s="47" t="n">
        <f aca="false">IF(A32="","",IF(N(I32)=0,0,ROUND(H32/I32*50,1)))</f>
        <v>19.7</v>
      </c>
      <c r="K32" s="29" t="n">
        <f aca="false">IF(A32="","",ROUND(F32+J32,2))</f>
        <v>51.03</v>
      </c>
      <c r="L32" s="48" t="n">
        <f aca="false">IF(A32="","",K32+G32/10000)</f>
        <v>51.031233</v>
      </c>
      <c r="M32" s="34" t="n">
        <f aca="false">IF(A32="","",COUNTIFS($B$11:$B$110,B32,$L$11:$L$110,"&gt;"&amp;L32)+1)</f>
        <v>8</v>
      </c>
      <c r="N32" s="27" t="n">
        <f aca="false">IF(A32="","",IFERROR(INDEX($D$5:$D$7,MATCH(B32,$A$5:$A$7,0)),0))</f>
        <v>1</v>
      </c>
      <c r="O32" s="34" t="str">
        <f aca="false">IF(A32="","",IF(M32&gt;N32,"",IF(M32=1,"최우수",IF(M32&lt;=3,"우수","장려"))))</f>
        <v/>
      </c>
    </row>
    <row r="33" customFormat="false" ht="15" hidden="false" customHeight="false" outlineLevel="0" collapsed="false">
      <c r="A33" s="34" t="str">
        <f aca="false">IF(작품목록!A26="","",작품목록!A26)</f>
        <v>S-07</v>
      </c>
      <c r="B33" s="27" t="str">
        <f aca="false">IF($A33="","",작품목록!B26&amp;"")</f>
        <v>상상</v>
      </c>
      <c r="C33" s="27" t="str">
        <f aca="false">IF($A33="","",작품목록!C26&amp;IF(작품목록!D26="","",IF(작품목록!D26=작품목록!C26," (2명)"," · "&amp;작품목록!D26)))</f>
        <v>2-3</v>
      </c>
      <c r="D33" s="27" t="str">
        <f aca="false">IF($A33="","",작품목록!E26&amp;"")</f>
        <v>고○○</v>
      </c>
      <c r="E33" s="28" t="str">
        <f aca="false">IF($A33="","",작품목록!G26&amp;"")</f>
        <v>구구단 노래 상자</v>
      </c>
      <c r="F33" s="30" t="n">
        <f aca="false">IF(A33="","",IFERROR(IF(B33="상상",INDEX(심사_상상!$P$5:$P$104,MATCH($A33,심사_상상!$A$5:$A$104,0)),INDEX(심사_블록바이브!$S$5:$S$104,MATCH($A33,심사_블록바이브!$A$5:$A$104,0)))+0,0))</f>
        <v>36.33</v>
      </c>
      <c r="G33" s="30" t="n">
        <f aca="false">IF(A33="","",IFERROR(IF(B33="상상",INDEX(심사_상상!$Q$5:$Q$104,MATCH($A33,심사_상상!$A$5:$A$104,0)),INDEX(심사_블록바이브!$T$5:$T$104,MATCH($A33,심사_블록바이브!$A$5:$A$104,0)))+0,0))</f>
        <v>14.67</v>
      </c>
      <c r="H33" s="27" t="n">
        <f aca="false">IF(A33="","",IFERROR(INDEX('좋아요 수'!$J$6:$J$105,MATCH(A33,'좋아요 수'!$E$6:$E$105,0))+0,0))</f>
        <v>24</v>
      </c>
      <c r="I33" s="27" t="n">
        <f aca="false">IF(A33="","",_xlfn.MAXIFS($H$11:$H$110,$B$11:$B$110,B33))</f>
        <v>38</v>
      </c>
      <c r="J33" s="47" t="n">
        <f aca="false">IF(A33="","",IF(N(I33)=0,0,ROUND(H33/I33*50,1)))</f>
        <v>31.6</v>
      </c>
      <c r="K33" s="29" t="n">
        <f aca="false">IF(A33="","",ROUND(F33+J33,2))</f>
        <v>67.93</v>
      </c>
      <c r="L33" s="48" t="n">
        <f aca="false">IF(A33="","",K33+G33/10000)</f>
        <v>67.931467</v>
      </c>
      <c r="M33" s="34" t="n">
        <f aca="false">IF(A33="","",COUNTIFS($B$11:$B$110,B33,$L$11:$L$110,"&gt;"&amp;L33)+1)</f>
        <v>4</v>
      </c>
      <c r="N33" s="27" t="n">
        <f aca="false">IF(A33="","",IFERROR(INDEX($D$5:$D$7,MATCH(B33,$A$5:$A$7,0)),0))</f>
        <v>1</v>
      </c>
      <c r="O33" s="34" t="str">
        <f aca="false">IF(A33="","",IF(M33&gt;N33,"",IF(M33=1,"최우수",IF(M33&lt;=3,"우수","장려"))))</f>
        <v/>
      </c>
    </row>
    <row r="34" customFormat="false" ht="15" hidden="false" customHeight="false" outlineLevel="0" collapsed="false">
      <c r="A34" s="34" t="str">
        <f aca="false">IF(작품목록!A27="","",작품목록!A27)</f>
        <v>S-08</v>
      </c>
      <c r="B34" s="27" t="str">
        <f aca="false">IF($A34="","",작품목록!B27&amp;"")</f>
        <v>상상</v>
      </c>
      <c r="C34" s="27" t="str">
        <f aca="false">IF($A34="","",작품목록!C27&amp;IF(작품목록!D27="","",IF(작품목록!D27=작품목록!C27," (2명)"," · "&amp;작품목록!D27)))</f>
        <v>1-2</v>
      </c>
      <c r="D34" s="27" t="str">
        <f aca="false">IF($A34="","",작품목록!E27&amp;"")</f>
        <v>류○○</v>
      </c>
      <c r="E34" s="28" t="str">
        <f aca="false">IF($A34="","",작품목록!G27&amp;"")</f>
        <v>또박또박 읽기 마이크</v>
      </c>
      <c r="F34" s="30" t="n">
        <f aca="false">IF(A34="","",IFERROR(IF(B34="상상",INDEX(심사_상상!$P$5:$P$104,MATCH($A34,심사_상상!$A$5:$A$104,0)),INDEX(심사_블록바이브!$S$5:$S$104,MATCH($A34,심사_블록바이브!$A$5:$A$104,0)))+0,0))</f>
        <v>36.67</v>
      </c>
      <c r="G34" s="30" t="n">
        <f aca="false">IF(A34="","",IFERROR(IF(B34="상상",INDEX(심사_상상!$Q$5:$Q$104,MATCH($A34,심사_상상!$A$5:$A$104,0)),INDEX(심사_블록바이브!$T$5:$T$104,MATCH($A34,심사_블록바이브!$A$5:$A$104,0)))+0,0))</f>
        <v>14.67</v>
      </c>
      <c r="H34" s="27" t="n">
        <f aca="false">IF(A34="","",IFERROR(INDEX('좋아요 수'!$J$6:$J$105,MATCH(A34,'좋아요 수'!$E$6:$E$105,0))+0,0))</f>
        <v>12</v>
      </c>
      <c r="I34" s="27" t="n">
        <f aca="false">IF(A34="","",_xlfn.MAXIFS($H$11:$H$110,$B$11:$B$110,B34))</f>
        <v>38</v>
      </c>
      <c r="J34" s="47" t="n">
        <f aca="false">IF(A34="","",IF(N(I34)=0,0,ROUND(H34/I34*50,1)))</f>
        <v>15.8</v>
      </c>
      <c r="K34" s="29" t="n">
        <f aca="false">IF(A34="","",ROUND(F34+J34,2))</f>
        <v>52.47</v>
      </c>
      <c r="L34" s="48" t="n">
        <f aca="false">IF(A34="","",K34+G34/10000)</f>
        <v>52.471467</v>
      </c>
      <c r="M34" s="34" t="n">
        <f aca="false">IF(A34="","",COUNTIFS($B$11:$B$110,B34,$L$11:$L$110,"&gt;"&amp;L34)+1)</f>
        <v>7</v>
      </c>
      <c r="N34" s="27" t="n">
        <f aca="false">IF(A34="","",IFERROR(INDEX($D$5:$D$7,MATCH(B34,$A$5:$A$7,0)),0))</f>
        <v>1</v>
      </c>
      <c r="O34" s="34" t="str">
        <f aca="false">IF(A34="","",IF(M34&gt;N34,"",IF(M34=1,"최우수",IF(M34&lt;=3,"우수","장려"))))</f>
        <v/>
      </c>
    </row>
    <row r="35" customFormat="false" ht="15" hidden="false" customHeight="false" outlineLevel="0" collapsed="false">
      <c r="A35" s="34" t="str">
        <f aca="false">IF(작품목록!A28="","",작품목록!A28)</f>
        <v/>
      </c>
      <c r="B35" s="27" t="str">
        <f aca="false">IF($A35="","",작품목록!B28&amp;"")</f>
        <v/>
      </c>
      <c r="C35" s="27" t="str">
        <f aca="false">IF($A35="","",작품목록!C28&amp;IF(작품목록!D28="","",IF(작품목록!D28=작품목록!C28," (2명)"," · "&amp;작품목록!D28)))</f>
        <v/>
      </c>
      <c r="D35" s="27" t="str">
        <f aca="false">IF($A35="","",작품목록!E28&amp;"")</f>
        <v/>
      </c>
      <c r="E35" s="28" t="str">
        <f aca="false">IF($A35="","",작품목록!G28&amp;"")</f>
        <v/>
      </c>
      <c r="F35" s="30" t="str">
        <f aca="false">IF(A35="","",IFERROR(IF(B35="상상",INDEX(심사_상상!$P$5:$P$104,MATCH($A35,심사_상상!$A$5:$A$104,0)),INDEX(심사_블록바이브!$S$5:$S$104,MATCH($A35,심사_블록바이브!$A$5:$A$104,0)))+0,0))</f>
        <v/>
      </c>
      <c r="G35" s="30" t="str">
        <f aca="false">IF(A35="","",IFERROR(IF(B35="상상",INDEX(심사_상상!$Q$5:$Q$104,MATCH($A35,심사_상상!$A$5:$A$104,0)),INDEX(심사_블록바이브!$T$5:$T$104,MATCH($A35,심사_블록바이브!$A$5:$A$104,0)))+0,0))</f>
        <v/>
      </c>
      <c r="H35" s="27" t="str">
        <f aca="false">IF(A35="","",IFERROR(INDEX('좋아요 수'!$J$6:$J$105,MATCH(A35,'좋아요 수'!$E$6:$E$105,0))+0,0))</f>
        <v/>
      </c>
      <c r="I35" s="27" t="str">
        <f aca="false">IF(A35="","",_xlfn.MAXIFS($H$11:$H$110,$B$11:$B$110,B35))</f>
        <v/>
      </c>
      <c r="J35" s="47" t="str">
        <f aca="false">IF(A35="","",IF(N(I35)=0,0,ROUND(H35/I35*50,1)))</f>
        <v/>
      </c>
      <c r="K35" s="29" t="str">
        <f aca="false">IF(A35="","",ROUND(F35+J35,2))</f>
        <v/>
      </c>
      <c r="L35" s="48" t="str">
        <f aca="false">IF(A35="","",K35+G35/10000)</f>
        <v/>
      </c>
      <c r="M35" s="34" t="str">
        <f aca="false">IF(A35="","",COUNTIFS($B$11:$B$110,B35,$L$11:$L$110,"&gt;"&amp;L35)+1)</f>
        <v/>
      </c>
      <c r="N35" s="27" t="str">
        <f aca="false">IF(A35="","",IFERROR(INDEX($D$5:$D$7,MATCH(B35,$A$5:$A$7,0)),0))</f>
        <v/>
      </c>
      <c r="O35" s="34" t="str">
        <f aca="false">IF(A35="","",IF(M35&gt;N35,"",IF(M35=1,"최우수",IF(M35&lt;=3,"우수","장려"))))</f>
        <v/>
      </c>
    </row>
    <row r="36" customFormat="false" ht="15" hidden="false" customHeight="false" outlineLevel="0" collapsed="false">
      <c r="A36" s="34" t="str">
        <f aca="false">IF(작품목록!A29="","",작품목록!A29)</f>
        <v/>
      </c>
      <c r="B36" s="27" t="str">
        <f aca="false">IF($A36="","",작품목록!B29&amp;"")</f>
        <v/>
      </c>
      <c r="C36" s="27" t="str">
        <f aca="false">IF($A36="","",작품목록!C29&amp;IF(작품목록!D29="","",IF(작품목록!D29=작품목록!C29," (2명)"," · "&amp;작품목록!D29)))</f>
        <v/>
      </c>
      <c r="D36" s="27" t="str">
        <f aca="false">IF($A36="","",작품목록!E29&amp;"")</f>
        <v/>
      </c>
      <c r="E36" s="28" t="str">
        <f aca="false">IF($A36="","",작품목록!G29&amp;"")</f>
        <v/>
      </c>
      <c r="F36" s="30" t="str">
        <f aca="false">IF(A36="","",IFERROR(IF(B36="상상",INDEX(심사_상상!$P$5:$P$104,MATCH($A36,심사_상상!$A$5:$A$104,0)),INDEX(심사_블록바이브!$S$5:$S$104,MATCH($A36,심사_블록바이브!$A$5:$A$104,0)))+0,0))</f>
        <v/>
      </c>
      <c r="G36" s="30" t="str">
        <f aca="false">IF(A36="","",IFERROR(IF(B36="상상",INDEX(심사_상상!$Q$5:$Q$104,MATCH($A36,심사_상상!$A$5:$A$104,0)),INDEX(심사_블록바이브!$T$5:$T$104,MATCH($A36,심사_블록바이브!$A$5:$A$104,0)))+0,0))</f>
        <v/>
      </c>
      <c r="H36" s="27" t="str">
        <f aca="false">IF(A36="","",IFERROR(INDEX('좋아요 수'!$J$6:$J$105,MATCH(A36,'좋아요 수'!$E$6:$E$105,0))+0,0))</f>
        <v/>
      </c>
      <c r="I36" s="27" t="str">
        <f aca="false">IF(A36="","",_xlfn.MAXIFS($H$11:$H$110,$B$11:$B$110,B36))</f>
        <v/>
      </c>
      <c r="J36" s="47" t="str">
        <f aca="false">IF(A36="","",IF(N(I36)=0,0,ROUND(H36/I36*50,1)))</f>
        <v/>
      </c>
      <c r="K36" s="29" t="str">
        <f aca="false">IF(A36="","",ROUND(F36+J36,2))</f>
        <v/>
      </c>
      <c r="L36" s="48" t="str">
        <f aca="false">IF(A36="","",K36+G36/10000)</f>
        <v/>
      </c>
      <c r="M36" s="34" t="str">
        <f aca="false">IF(A36="","",COUNTIFS($B$11:$B$110,B36,$L$11:$L$110,"&gt;"&amp;L36)+1)</f>
        <v/>
      </c>
      <c r="N36" s="27" t="str">
        <f aca="false">IF(A36="","",IFERROR(INDEX($D$5:$D$7,MATCH(B36,$A$5:$A$7,0)),0))</f>
        <v/>
      </c>
      <c r="O36" s="34" t="str">
        <f aca="false">IF(A36="","",IF(M36&gt;N36,"",IF(M36=1,"최우수",IF(M36&lt;=3,"우수","장려"))))</f>
        <v/>
      </c>
    </row>
    <row r="37" customFormat="false" ht="15" hidden="false" customHeight="false" outlineLevel="0" collapsed="false">
      <c r="A37" s="34" t="str">
        <f aca="false">IF(작품목록!A30="","",작품목록!A30)</f>
        <v/>
      </c>
      <c r="B37" s="27" t="str">
        <f aca="false">IF($A37="","",작품목록!B30&amp;"")</f>
        <v/>
      </c>
      <c r="C37" s="27" t="str">
        <f aca="false">IF($A37="","",작품목록!C30&amp;IF(작품목록!D30="","",IF(작품목록!D30=작품목록!C30," (2명)"," · "&amp;작품목록!D30)))</f>
        <v/>
      </c>
      <c r="D37" s="27" t="str">
        <f aca="false">IF($A37="","",작품목록!E30&amp;"")</f>
        <v/>
      </c>
      <c r="E37" s="28" t="str">
        <f aca="false">IF($A37="","",작품목록!G30&amp;"")</f>
        <v/>
      </c>
      <c r="F37" s="30" t="str">
        <f aca="false">IF(A37="","",IFERROR(IF(B37="상상",INDEX(심사_상상!$P$5:$P$104,MATCH($A37,심사_상상!$A$5:$A$104,0)),INDEX(심사_블록바이브!$S$5:$S$104,MATCH($A37,심사_블록바이브!$A$5:$A$104,0)))+0,0))</f>
        <v/>
      </c>
      <c r="G37" s="30" t="str">
        <f aca="false">IF(A37="","",IFERROR(IF(B37="상상",INDEX(심사_상상!$Q$5:$Q$104,MATCH($A37,심사_상상!$A$5:$A$104,0)),INDEX(심사_블록바이브!$T$5:$T$104,MATCH($A37,심사_블록바이브!$A$5:$A$104,0)))+0,0))</f>
        <v/>
      </c>
      <c r="H37" s="27" t="str">
        <f aca="false">IF(A37="","",IFERROR(INDEX('좋아요 수'!$J$6:$J$105,MATCH(A37,'좋아요 수'!$E$6:$E$105,0))+0,0))</f>
        <v/>
      </c>
      <c r="I37" s="27" t="str">
        <f aca="false">IF(A37="","",_xlfn.MAXIFS($H$11:$H$110,$B$11:$B$110,B37))</f>
        <v/>
      </c>
      <c r="J37" s="47" t="str">
        <f aca="false">IF(A37="","",IF(N(I37)=0,0,ROUND(H37/I37*50,1)))</f>
        <v/>
      </c>
      <c r="K37" s="29" t="str">
        <f aca="false">IF(A37="","",ROUND(F37+J37,2))</f>
        <v/>
      </c>
      <c r="L37" s="48" t="str">
        <f aca="false">IF(A37="","",K37+G37/10000)</f>
        <v/>
      </c>
      <c r="M37" s="34" t="str">
        <f aca="false">IF(A37="","",COUNTIFS($B$11:$B$110,B37,$L$11:$L$110,"&gt;"&amp;L37)+1)</f>
        <v/>
      </c>
      <c r="N37" s="27" t="str">
        <f aca="false">IF(A37="","",IFERROR(INDEX($D$5:$D$7,MATCH(B37,$A$5:$A$7,0)),0))</f>
        <v/>
      </c>
      <c r="O37" s="34" t="str">
        <f aca="false">IF(A37="","",IF(M37&gt;N37,"",IF(M37=1,"최우수",IF(M37&lt;=3,"우수","장려"))))</f>
        <v/>
      </c>
    </row>
    <row r="38" customFormat="false" ht="15" hidden="false" customHeight="false" outlineLevel="0" collapsed="false">
      <c r="A38" s="34" t="str">
        <f aca="false">IF(작품목록!A31="","",작품목록!A31)</f>
        <v/>
      </c>
      <c r="B38" s="27" t="str">
        <f aca="false">IF($A38="","",작품목록!B31&amp;"")</f>
        <v/>
      </c>
      <c r="C38" s="27" t="str">
        <f aca="false">IF($A38="","",작품목록!C31&amp;IF(작품목록!D31="","",IF(작품목록!D31=작품목록!C31," (2명)"," · "&amp;작품목록!D31)))</f>
        <v/>
      </c>
      <c r="D38" s="27" t="str">
        <f aca="false">IF($A38="","",작품목록!E31&amp;"")</f>
        <v/>
      </c>
      <c r="E38" s="28" t="str">
        <f aca="false">IF($A38="","",작품목록!G31&amp;"")</f>
        <v/>
      </c>
      <c r="F38" s="30" t="str">
        <f aca="false">IF(A38="","",IFERROR(IF(B38="상상",INDEX(심사_상상!$P$5:$P$104,MATCH($A38,심사_상상!$A$5:$A$104,0)),INDEX(심사_블록바이브!$S$5:$S$104,MATCH($A38,심사_블록바이브!$A$5:$A$104,0)))+0,0))</f>
        <v/>
      </c>
      <c r="G38" s="30" t="str">
        <f aca="false">IF(A38="","",IFERROR(IF(B38="상상",INDEX(심사_상상!$Q$5:$Q$104,MATCH($A38,심사_상상!$A$5:$A$104,0)),INDEX(심사_블록바이브!$T$5:$T$104,MATCH($A38,심사_블록바이브!$A$5:$A$104,0)))+0,0))</f>
        <v/>
      </c>
      <c r="H38" s="27" t="str">
        <f aca="false">IF(A38="","",IFERROR(INDEX('좋아요 수'!$J$6:$J$105,MATCH(A38,'좋아요 수'!$E$6:$E$105,0))+0,0))</f>
        <v/>
      </c>
      <c r="I38" s="27" t="str">
        <f aca="false">IF(A38="","",_xlfn.MAXIFS($H$11:$H$110,$B$11:$B$110,B38))</f>
        <v/>
      </c>
      <c r="J38" s="47" t="str">
        <f aca="false">IF(A38="","",IF(N(I38)=0,0,ROUND(H38/I38*50,1)))</f>
        <v/>
      </c>
      <c r="K38" s="29" t="str">
        <f aca="false">IF(A38="","",ROUND(F38+J38,2))</f>
        <v/>
      </c>
      <c r="L38" s="48" t="str">
        <f aca="false">IF(A38="","",K38+G38/10000)</f>
        <v/>
      </c>
      <c r="M38" s="34" t="str">
        <f aca="false">IF(A38="","",COUNTIFS($B$11:$B$110,B38,$L$11:$L$110,"&gt;"&amp;L38)+1)</f>
        <v/>
      </c>
      <c r="N38" s="27" t="str">
        <f aca="false">IF(A38="","",IFERROR(INDEX($D$5:$D$7,MATCH(B38,$A$5:$A$7,0)),0))</f>
        <v/>
      </c>
      <c r="O38" s="34" t="str">
        <f aca="false">IF(A38="","",IF(M38&gt;N38,"",IF(M38=1,"최우수",IF(M38&lt;=3,"우수","장려"))))</f>
        <v/>
      </c>
    </row>
    <row r="39" customFormat="false" ht="15" hidden="false" customHeight="false" outlineLevel="0" collapsed="false">
      <c r="A39" s="34" t="str">
        <f aca="false">IF(작품목록!A32="","",작품목록!A32)</f>
        <v/>
      </c>
      <c r="B39" s="27" t="str">
        <f aca="false">IF($A39="","",작품목록!B32&amp;"")</f>
        <v/>
      </c>
      <c r="C39" s="27" t="str">
        <f aca="false">IF($A39="","",작품목록!C32&amp;IF(작품목록!D32="","",IF(작품목록!D32=작품목록!C32," (2명)"," · "&amp;작품목록!D32)))</f>
        <v/>
      </c>
      <c r="D39" s="27" t="str">
        <f aca="false">IF($A39="","",작품목록!E32&amp;"")</f>
        <v/>
      </c>
      <c r="E39" s="28" t="str">
        <f aca="false">IF($A39="","",작품목록!G32&amp;"")</f>
        <v/>
      </c>
      <c r="F39" s="30" t="str">
        <f aca="false">IF(A39="","",IFERROR(IF(B39="상상",INDEX(심사_상상!$P$5:$P$104,MATCH($A39,심사_상상!$A$5:$A$104,0)),INDEX(심사_블록바이브!$S$5:$S$104,MATCH($A39,심사_블록바이브!$A$5:$A$104,0)))+0,0))</f>
        <v/>
      </c>
      <c r="G39" s="30" t="str">
        <f aca="false">IF(A39="","",IFERROR(IF(B39="상상",INDEX(심사_상상!$Q$5:$Q$104,MATCH($A39,심사_상상!$A$5:$A$104,0)),INDEX(심사_블록바이브!$T$5:$T$104,MATCH($A39,심사_블록바이브!$A$5:$A$104,0)))+0,0))</f>
        <v/>
      </c>
      <c r="H39" s="27" t="str">
        <f aca="false">IF(A39="","",IFERROR(INDEX('좋아요 수'!$J$6:$J$105,MATCH(A39,'좋아요 수'!$E$6:$E$105,0))+0,0))</f>
        <v/>
      </c>
      <c r="I39" s="27" t="str">
        <f aca="false">IF(A39="","",_xlfn.MAXIFS($H$11:$H$110,$B$11:$B$110,B39))</f>
        <v/>
      </c>
      <c r="J39" s="47" t="str">
        <f aca="false">IF(A39="","",IF(N(I39)=0,0,ROUND(H39/I39*50,1)))</f>
        <v/>
      </c>
      <c r="K39" s="29" t="str">
        <f aca="false">IF(A39="","",ROUND(F39+J39,2))</f>
        <v/>
      </c>
      <c r="L39" s="48" t="str">
        <f aca="false">IF(A39="","",K39+G39/10000)</f>
        <v/>
      </c>
      <c r="M39" s="34" t="str">
        <f aca="false">IF(A39="","",COUNTIFS($B$11:$B$110,B39,$L$11:$L$110,"&gt;"&amp;L39)+1)</f>
        <v/>
      </c>
      <c r="N39" s="27" t="str">
        <f aca="false">IF(A39="","",IFERROR(INDEX($D$5:$D$7,MATCH(B39,$A$5:$A$7,0)),0))</f>
        <v/>
      </c>
      <c r="O39" s="34" t="str">
        <f aca="false">IF(A39="","",IF(M39&gt;N39,"",IF(M39=1,"최우수",IF(M39&lt;=3,"우수","장려"))))</f>
        <v/>
      </c>
    </row>
    <row r="40" customFormat="false" ht="15" hidden="false" customHeight="false" outlineLevel="0" collapsed="false">
      <c r="A40" s="34" t="str">
        <f aca="false">IF(작품목록!A33="","",작품목록!A33)</f>
        <v/>
      </c>
      <c r="B40" s="27" t="str">
        <f aca="false">IF($A40="","",작품목록!B33&amp;"")</f>
        <v/>
      </c>
      <c r="C40" s="27" t="str">
        <f aca="false">IF($A40="","",작품목록!C33&amp;IF(작품목록!D33="","",IF(작품목록!D33=작품목록!C33," (2명)"," · "&amp;작품목록!D33)))</f>
        <v/>
      </c>
      <c r="D40" s="27" t="str">
        <f aca="false">IF($A40="","",작품목록!E33&amp;"")</f>
        <v/>
      </c>
      <c r="E40" s="28" t="str">
        <f aca="false">IF($A40="","",작품목록!G33&amp;"")</f>
        <v/>
      </c>
      <c r="F40" s="30" t="str">
        <f aca="false">IF(A40="","",IFERROR(IF(B40="상상",INDEX(심사_상상!$P$5:$P$104,MATCH($A40,심사_상상!$A$5:$A$104,0)),INDEX(심사_블록바이브!$S$5:$S$104,MATCH($A40,심사_블록바이브!$A$5:$A$104,0)))+0,0))</f>
        <v/>
      </c>
      <c r="G40" s="30" t="str">
        <f aca="false">IF(A40="","",IFERROR(IF(B40="상상",INDEX(심사_상상!$Q$5:$Q$104,MATCH($A40,심사_상상!$A$5:$A$104,0)),INDEX(심사_블록바이브!$T$5:$T$104,MATCH($A40,심사_블록바이브!$A$5:$A$104,0)))+0,0))</f>
        <v/>
      </c>
      <c r="H40" s="27" t="str">
        <f aca="false">IF(A40="","",IFERROR(INDEX('좋아요 수'!$J$6:$J$105,MATCH(A40,'좋아요 수'!$E$6:$E$105,0))+0,0))</f>
        <v/>
      </c>
      <c r="I40" s="27" t="str">
        <f aca="false">IF(A40="","",_xlfn.MAXIFS($H$11:$H$110,$B$11:$B$110,B40))</f>
        <v/>
      </c>
      <c r="J40" s="47" t="str">
        <f aca="false">IF(A40="","",IF(N(I40)=0,0,ROUND(H40/I40*50,1)))</f>
        <v/>
      </c>
      <c r="K40" s="29" t="str">
        <f aca="false">IF(A40="","",ROUND(F40+J40,2))</f>
        <v/>
      </c>
      <c r="L40" s="48" t="str">
        <f aca="false">IF(A40="","",K40+G40/10000)</f>
        <v/>
      </c>
      <c r="M40" s="34" t="str">
        <f aca="false">IF(A40="","",COUNTIFS($B$11:$B$110,B40,$L$11:$L$110,"&gt;"&amp;L40)+1)</f>
        <v/>
      </c>
      <c r="N40" s="27" t="str">
        <f aca="false">IF(A40="","",IFERROR(INDEX($D$5:$D$7,MATCH(B40,$A$5:$A$7,0)),0))</f>
        <v/>
      </c>
      <c r="O40" s="34" t="str">
        <f aca="false">IF(A40="","",IF(M40&gt;N40,"",IF(M40=1,"최우수",IF(M40&lt;=3,"우수","장려"))))</f>
        <v/>
      </c>
    </row>
    <row r="41" customFormat="false" ht="15" hidden="false" customHeight="false" outlineLevel="0" collapsed="false">
      <c r="A41" s="34" t="str">
        <f aca="false">IF(작품목록!A34="","",작품목록!A34)</f>
        <v/>
      </c>
      <c r="B41" s="27" t="str">
        <f aca="false">IF($A41="","",작품목록!B34&amp;"")</f>
        <v/>
      </c>
      <c r="C41" s="27" t="str">
        <f aca="false">IF($A41="","",작품목록!C34&amp;IF(작품목록!D34="","",IF(작품목록!D34=작품목록!C34," (2명)"," · "&amp;작품목록!D34)))</f>
        <v/>
      </c>
      <c r="D41" s="27" t="str">
        <f aca="false">IF($A41="","",작품목록!E34&amp;"")</f>
        <v/>
      </c>
      <c r="E41" s="28" t="str">
        <f aca="false">IF($A41="","",작품목록!G34&amp;"")</f>
        <v/>
      </c>
      <c r="F41" s="30" t="str">
        <f aca="false">IF(A41="","",IFERROR(IF(B41="상상",INDEX(심사_상상!$P$5:$P$104,MATCH($A41,심사_상상!$A$5:$A$104,0)),INDEX(심사_블록바이브!$S$5:$S$104,MATCH($A41,심사_블록바이브!$A$5:$A$104,0)))+0,0))</f>
        <v/>
      </c>
      <c r="G41" s="30" t="str">
        <f aca="false">IF(A41="","",IFERROR(IF(B41="상상",INDEX(심사_상상!$Q$5:$Q$104,MATCH($A41,심사_상상!$A$5:$A$104,0)),INDEX(심사_블록바이브!$T$5:$T$104,MATCH($A41,심사_블록바이브!$A$5:$A$104,0)))+0,0))</f>
        <v/>
      </c>
      <c r="H41" s="27" t="str">
        <f aca="false">IF(A41="","",IFERROR(INDEX('좋아요 수'!$J$6:$J$105,MATCH(A41,'좋아요 수'!$E$6:$E$105,0))+0,0))</f>
        <v/>
      </c>
      <c r="I41" s="27" t="str">
        <f aca="false">IF(A41="","",_xlfn.MAXIFS($H$11:$H$110,$B$11:$B$110,B41))</f>
        <v/>
      </c>
      <c r="J41" s="47" t="str">
        <f aca="false">IF(A41="","",IF(N(I41)=0,0,ROUND(H41/I41*50,1)))</f>
        <v/>
      </c>
      <c r="K41" s="29" t="str">
        <f aca="false">IF(A41="","",ROUND(F41+J41,2))</f>
        <v/>
      </c>
      <c r="L41" s="48" t="str">
        <f aca="false">IF(A41="","",K41+G41/10000)</f>
        <v/>
      </c>
      <c r="M41" s="34" t="str">
        <f aca="false">IF(A41="","",COUNTIFS($B$11:$B$110,B41,$L$11:$L$110,"&gt;"&amp;L41)+1)</f>
        <v/>
      </c>
      <c r="N41" s="27" t="str">
        <f aca="false">IF(A41="","",IFERROR(INDEX($D$5:$D$7,MATCH(B41,$A$5:$A$7,0)),0))</f>
        <v/>
      </c>
      <c r="O41" s="34" t="str">
        <f aca="false">IF(A41="","",IF(M41&gt;N41,"",IF(M41=1,"최우수",IF(M41&lt;=3,"우수","장려"))))</f>
        <v/>
      </c>
    </row>
    <row r="42" customFormat="false" ht="15" hidden="false" customHeight="false" outlineLevel="0" collapsed="false">
      <c r="A42" s="34" t="str">
        <f aca="false">IF(작품목록!A35="","",작품목록!A35)</f>
        <v/>
      </c>
      <c r="B42" s="27" t="str">
        <f aca="false">IF($A42="","",작품목록!B35&amp;"")</f>
        <v/>
      </c>
      <c r="C42" s="27" t="str">
        <f aca="false">IF($A42="","",작품목록!C35&amp;IF(작품목록!D35="","",IF(작품목록!D35=작품목록!C35," (2명)"," · "&amp;작품목록!D35)))</f>
        <v/>
      </c>
      <c r="D42" s="27" t="str">
        <f aca="false">IF($A42="","",작품목록!E35&amp;"")</f>
        <v/>
      </c>
      <c r="E42" s="28" t="str">
        <f aca="false">IF($A42="","",작품목록!G35&amp;"")</f>
        <v/>
      </c>
      <c r="F42" s="30" t="str">
        <f aca="false">IF(A42="","",IFERROR(IF(B42="상상",INDEX(심사_상상!$P$5:$P$104,MATCH($A42,심사_상상!$A$5:$A$104,0)),INDEX(심사_블록바이브!$S$5:$S$104,MATCH($A42,심사_블록바이브!$A$5:$A$104,0)))+0,0))</f>
        <v/>
      </c>
      <c r="G42" s="30" t="str">
        <f aca="false">IF(A42="","",IFERROR(IF(B42="상상",INDEX(심사_상상!$Q$5:$Q$104,MATCH($A42,심사_상상!$A$5:$A$104,0)),INDEX(심사_블록바이브!$T$5:$T$104,MATCH($A42,심사_블록바이브!$A$5:$A$104,0)))+0,0))</f>
        <v/>
      </c>
      <c r="H42" s="27" t="str">
        <f aca="false">IF(A42="","",IFERROR(INDEX('좋아요 수'!$J$6:$J$105,MATCH(A42,'좋아요 수'!$E$6:$E$105,0))+0,0))</f>
        <v/>
      </c>
      <c r="I42" s="27" t="str">
        <f aca="false">IF(A42="","",_xlfn.MAXIFS($H$11:$H$110,$B$11:$B$110,B42))</f>
        <v/>
      </c>
      <c r="J42" s="47" t="str">
        <f aca="false">IF(A42="","",IF(N(I42)=0,0,ROUND(H42/I42*50,1)))</f>
        <v/>
      </c>
      <c r="K42" s="29" t="str">
        <f aca="false">IF(A42="","",ROUND(F42+J42,2))</f>
        <v/>
      </c>
      <c r="L42" s="48" t="str">
        <f aca="false">IF(A42="","",K42+G42/10000)</f>
        <v/>
      </c>
      <c r="M42" s="34" t="str">
        <f aca="false">IF(A42="","",COUNTIFS($B$11:$B$110,B42,$L$11:$L$110,"&gt;"&amp;L42)+1)</f>
        <v/>
      </c>
      <c r="N42" s="27" t="str">
        <f aca="false">IF(A42="","",IFERROR(INDEX($D$5:$D$7,MATCH(B42,$A$5:$A$7,0)),0))</f>
        <v/>
      </c>
      <c r="O42" s="34" t="str">
        <f aca="false">IF(A42="","",IF(M42&gt;N42,"",IF(M42=1,"최우수",IF(M42&lt;=3,"우수","장려"))))</f>
        <v/>
      </c>
    </row>
    <row r="43" customFormat="false" ht="15" hidden="false" customHeight="false" outlineLevel="0" collapsed="false">
      <c r="A43" s="34" t="str">
        <f aca="false">IF(작품목록!A36="","",작품목록!A36)</f>
        <v/>
      </c>
      <c r="B43" s="27" t="str">
        <f aca="false">IF($A43="","",작품목록!B36&amp;"")</f>
        <v/>
      </c>
      <c r="C43" s="27" t="str">
        <f aca="false">IF($A43="","",작품목록!C36&amp;IF(작품목록!D36="","",IF(작품목록!D36=작품목록!C36," (2명)"," · "&amp;작품목록!D36)))</f>
        <v/>
      </c>
      <c r="D43" s="27" t="str">
        <f aca="false">IF($A43="","",작품목록!E36&amp;"")</f>
        <v/>
      </c>
      <c r="E43" s="28" t="str">
        <f aca="false">IF($A43="","",작품목록!G36&amp;"")</f>
        <v/>
      </c>
      <c r="F43" s="30" t="str">
        <f aca="false">IF(A43="","",IFERROR(IF(B43="상상",INDEX(심사_상상!$P$5:$P$104,MATCH($A43,심사_상상!$A$5:$A$104,0)),INDEX(심사_블록바이브!$S$5:$S$104,MATCH($A43,심사_블록바이브!$A$5:$A$104,0)))+0,0))</f>
        <v/>
      </c>
      <c r="G43" s="30" t="str">
        <f aca="false">IF(A43="","",IFERROR(IF(B43="상상",INDEX(심사_상상!$Q$5:$Q$104,MATCH($A43,심사_상상!$A$5:$A$104,0)),INDEX(심사_블록바이브!$T$5:$T$104,MATCH($A43,심사_블록바이브!$A$5:$A$104,0)))+0,0))</f>
        <v/>
      </c>
      <c r="H43" s="27" t="str">
        <f aca="false">IF(A43="","",IFERROR(INDEX('좋아요 수'!$J$6:$J$105,MATCH(A43,'좋아요 수'!$E$6:$E$105,0))+0,0))</f>
        <v/>
      </c>
      <c r="I43" s="27" t="str">
        <f aca="false">IF(A43="","",_xlfn.MAXIFS($H$11:$H$110,$B$11:$B$110,B43))</f>
        <v/>
      </c>
      <c r="J43" s="47" t="str">
        <f aca="false">IF(A43="","",IF(N(I43)=0,0,ROUND(H43/I43*50,1)))</f>
        <v/>
      </c>
      <c r="K43" s="29" t="str">
        <f aca="false">IF(A43="","",ROUND(F43+J43,2))</f>
        <v/>
      </c>
      <c r="L43" s="48" t="str">
        <f aca="false">IF(A43="","",K43+G43/10000)</f>
        <v/>
      </c>
      <c r="M43" s="34" t="str">
        <f aca="false">IF(A43="","",COUNTIFS($B$11:$B$110,B43,$L$11:$L$110,"&gt;"&amp;L43)+1)</f>
        <v/>
      </c>
      <c r="N43" s="27" t="str">
        <f aca="false">IF(A43="","",IFERROR(INDEX($D$5:$D$7,MATCH(B43,$A$5:$A$7,0)),0))</f>
        <v/>
      </c>
      <c r="O43" s="34" t="str">
        <f aca="false">IF(A43="","",IF(M43&gt;N43,"",IF(M43=1,"최우수",IF(M43&lt;=3,"우수","장려"))))</f>
        <v/>
      </c>
    </row>
    <row r="44" customFormat="false" ht="15" hidden="false" customHeight="false" outlineLevel="0" collapsed="false">
      <c r="A44" s="34" t="str">
        <f aca="false">IF(작품목록!A37="","",작품목록!A37)</f>
        <v/>
      </c>
      <c r="B44" s="27" t="str">
        <f aca="false">IF($A44="","",작품목록!B37&amp;"")</f>
        <v/>
      </c>
      <c r="C44" s="27" t="str">
        <f aca="false">IF($A44="","",작품목록!C37&amp;IF(작품목록!D37="","",IF(작품목록!D37=작품목록!C37," (2명)"," · "&amp;작품목록!D37)))</f>
        <v/>
      </c>
      <c r="D44" s="27" t="str">
        <f aca="false">IF($A44="","",작품목록!E37&amp;"")</f>
        <v/>
      </c>
      <c r="E44" s="28" t="str">
        <f aca="false">IF($A44="","",작품목록!G37&amp;"")</f>
        <v/>
      </c>
      <c r="F44" s="30" t="str">
        <f aca="false">IF(A44="","",IFERROR(IF(B44="상상",INDEX(심사_상상!$P$5:$P$104,MATCH($A44,심사_상상!$A$5:$A$104,0)),INDEX(심사_블록바이브!$S$5:$S$104,MATCH($A44,심사_블록바이브!$A$5:$A$104,0)))+0,0))</f>
        <v/>
      </c>
      <c r="G44" s="30" t="str">
        <f aca="false">IF(A44="","",IFERROR(IF(B44="상상",INDEX(심사_상상!$Q$5:$Q$104,MATCH($A44,심사_상상!$A$5:$A$104,0)),INDEX(심사_블록바이브!$T$5:$T$104,MATCH($A44,심사_블록바이브!$A$5:$A$104,0)))+0,0))</f>
        <v/>
      </c>
      <c r="H44" s="27" t="str">
        <f aca="false">IF(A44="","",IFERROR(INDEX('좋아요 수'!$J$6:$J$105,MATCH(A44,'좋아요 수'!$E$6:$E$105,0))+0,0))</f>
        <v/>
      </c>
      <c r="I44" s="27" t="str">
        <f aca="false">IF(A44="","",_xlfn.MAXIFS($H$11:$H$110,$B$11:$B$110,B44))</f>
        <v/>
      </c>
      <c r="J44" s="47" t="str">
        <f aca="false">IF(A44="","",IF(N(I44)=0,0,ROUND(H44/I44*50,1)))</f>
        <v/>
      </c>
      <c r="K44" s="29" t="str">
        <f aca="false">IF(A44="","",ROUND(F44+J44,2))</f>
        <v/>
      </c>
      <c r="L44" s="48" t="str">
        <f aca="false">IF(A44="","",K44+G44/10000)</f>
        <v/>
      </c>
      <c r="M44" s="34" t="str">
        <f aca="false">IF(A44="","",COUNTIFS($B$11:$B$110,B44,$L$11:$L$110,"&gt;"&amp;L44)+1)</f>
        <v/>
      </c>
      <c r="N44" s="27" t="str">
        <f aca="false">IF(A44="","",IFERROR(INDEX($D$5:$D$7,MATCH(B44,$A$5:$A$7,0)),0))</f>
        <v/>
      </c>
      <c r="O44" s="34" t="str">
        <f aca="false">IF(A44="","",IF(M44&gt;N44,"",IF(M44=1,"최우수",IF(M44&lt;=3,"우수","장려"))))</f>
        <v/>
      </c>
    </row>
    <row r="45" customFormat="false" ht="15" hidden="false" customHeight="false" outlineLevel="0" collapsed="false">
      <c r="A45" s="34" t="str">
        <f aca="false">IF(작품목록!A38="","",작품목록!A38)</f>
        <v/>
      </c>
      <c r="B45" s="27" t="str">
        <f aca="false">IF($A45="","",작품목록!B38&amp;"")</f>
        <v/>
      </c>
      <c r="C45" s="27" t="str">
        <f aca="false">IF($A45="","",작품목록!C38&amp;IF(작품목록!D38="","",IF(작품목록!D38=작품목록!C38," (2명)"," · "&amp;작품목록!D38)))</f>
        <v/>
      </c>
      <c r="D45" s="27" t="str">
        <f aca="false">IF($A45="","",작품목록!E38&amp;"")</f>
        <v/>
      </c>
      <c r="E45" s="28" t="str">
        <f aca="false">IF($A45="","",작품목록!G38&amp;"")</f>
        <v/>
      </c>
      <c r="F45" s="30" t="str">
        <f aca="false">IF(A45="","",IFERROR(IF(B45="상상",INDEX(심사_상상!$P$5:$P$104,MATCH($A45,심사_상상!$A$5:$A$104,0)),INDEX(심사_블록바이브!$S$5:$S$104,MATCH($A45,심사_블록바이브!$A$5:$A$104,0)))+0,0))</f>
        <v/>
      </c>
      <c r="G45" s="30" t="str">
        <f aca="false">IF(A45="","",IFERROR(IF(B45="상상",INDEX(심사_상상!$Q$5:$Q$104,MATCH($A45,심사_상상!$A$5:$A$104,0)),INDEX(심사_블록바이브!$T$5:$T$104,MATCH($A45,심사_블록바이브!$A$5:$A$104,0)))+0,0))</f>
        <v/>
      </c>
      <c r="H45" s="27" t="str">
        <f aca="false">IF(A45="","",IFERROR(INDEX('좋아요 수'!$J$6:$J$105,MATCH(A45,'좋아요 수'!$E$6:$E$105,0))+0,0))</f>
        <v/>
      </c>
      <c r="I45" s="27" t="str">
        <f aca="false">IF(A45="","",_xlfn.MAXIFS($H$11:$H$110,$B$11:$B$110,B45))</f>
        <v/>
      </c>
      <c r="J45" s="47" t="str">
        <f aca="false">IF(A45="","",IF(N(I45)=0,0,ROUND(H45/I45*50,1)))</f>
        <v/>
      </c>
      <c r="K45" s="29" t="str">
        <f aca="false">IF(A45="","",ROUND(F45+J45,2))</f>
        <v/>
      </c>
      <c r="L45" s="48" t="str">
        <f aca="false">IF(A45="","",K45+G45/10000)</f>
        <v/>
      </c>
      <c r="M45" s="34" t="str">
        <f aca="false">IF(A45="","",COUNTIFS($B$11:$B$110,B45,$L$11:$L$110,"&gt;"&amp;L45)+1)</f>
        <v/>
      </c>
      <c r="N45" s="27" t="str">
        <f aca="false">IF(A45="","",IFERROR(INDEX($D$5:$D$7,MATCH(B45,$A$5:$A$7,0)),0))</f>
        <v/>
      </c>
      <c r="O45" s="34" t="str">
        <f aca="false">IF(A45="","",IF(M45&gt;N45,"",IF(M45=1,"최우수",IF(M45&lt;=3,"우수","장려"))))</f>
        <v/>
      </c>
    </row>
    <row r="46" customFormat="false" ht="15" hidden="false" customHeight="false" outlineLevel="0" collapsed="false">
      <c r="A46" s="34" t="str">
        <f aca="false">IF(작품목록!A39="","",작품목록!A39)</f>
        <v/>
      </c>
      <c r="B46" s="27" t="str">
        <f aca="false">IF($A46="","",작품목록!B39&amp;"")</f>
        <v/>
      </c>
      <c r="C46" s="27" t="str">
        <f aca="false">IF($A46="","",작품목록!C39&amp;IF(작품목록!D39="","",IF(작품목록!D39=작품목록!C39," (2명)"," · "&amp;작품목록!D39)))</f>
        <v/>
      </c>
      <c r="D46" s="27" t="str">
        <f aca="false">IF($A46="","",작품목록!E39&amp;"")</f>
        <v/>
      </c>
      <c r="E46" s="28" t="str">
        <f aca="false">IF($A46="","",작품목록!G39&amp;"")</f>
        <v/>
      </c>
      <c r="F46" s="30" t="str">
        <f aca="false">IF(A46="","",IFERROR(IF(B46="상상",INDEX(심사_상상!$P$5:$P$104,MATCH($A46,심사_상상!$A$5:$A$104,0)),INDEX(심사_블록바이브!$S$5:$S$104,MATCH($A46,심사_블록바이브!$A$5:$A$104,0)))+0,0))</f>
        <v/>
      </c>
      <c r="G46" s="30" t="str">
        <f aca="false">IF(A46="","",IFERROR(IF(B46="상상",INDEX(심사_상상!$Q$5:$Q$104,MATCH($A46,심사_상상!$A$5:$A$104,0)),INDEX(심사_블록바이브!$T$5:$T$104,MATCH($A46,심사_블록바이브!$A$5:$A$104,0)))+0,0))</f>
        <v/>
      </c>
      <c r="H46" s="27" t="str">
        <f aca="false">IF(A46="","",IFERROR(INDEX('좋아요 수'!$J$6:$J$105,MATCH(A46,'좋아요 수'!$E$6:$E$105,0))+0,0))</f>
        <v/>
      </c>
      <c r="I46" s="27" t="str">
        <f aca="false">IF(A46="","",_xlfn.MAXIFS($H$11:$H$110,$B$11:$B$110,B46))</f>
        <v/>
      </c>
      <c r="J46" s="47" t="str">
        <f aca="false">IF(A46="","",IF(N(I46)=0,0,ROUND(H46/I46*50,1)))</f>
        <v/>
      </c>
      <c r="K46" s="29" t="str">
        <f aca="false">IF(A46="","",ROUND(F46+J46,2))</f>
        <v/>
      </c>
      <c r="L46" s="48" t="str">
        <f aca="false">IF(A46="","",K46+G46/10000)</f>
        <v/>
      </c>
      <c r="M46" s="34" t="str">
        <f aca="false">IF(A46="","",COUNTIFS($B$11:$B$110,B46,$L$11:$L$110,"&gt;"&amp;L46)+1)</f>
        <v/>
      </c>
      <c r="N46" s="27" t="str">
        <f aca="false">IF(A46="","",IFERROR(INDEX($D$5:$D$7,MATCH(B46,$A$5:$A$7,0)),0))</f>
        <v/>
      </c>
      <c r="O46" s="34" t="str">
        <f aca="false">IF(A46="","",IF(M46&gt;N46,"",IF(M46=1,"최우수",IF(M46&lt;=3,"우수","장려"))))</f>
        <v/>
      </c>
    </row>
    <row r="47" customFormat="false" ht="15" hidden="false" customHeight="false" outlineLevel="0" collapsed="false">
      <c r="A47" s="34" t="str">
        <f aca="false">IF(작품목록!A40="","",작품목록!A40)</f>
        <v/>
      </c>
      <c r="B47" s="27" t="str">
        <f aca="false">IF($A47="","",작품목록!B40&amp;"")</f>
        <v/>
      </c>
      <c r="C47" s="27" t="str">
        <f aca="false">IF($A47="","",작품목록!C40&amp;IF(작품목록!D40="","",IF(작품목록!D40=작품목록!C40," (2명)"," · "&amp;작품목록!D40)))</f>
        <v/>
      </c>
      <c r="D47" s="27" t="str">
        <f aca="false">IF($A47="","",작품목록!E40&amp;"")</f>
        <v/>
      </c>
      <c r="E47" s="28" t="str">
        <f aca="false">IF($A47="","",작품목록!G40&amp;"")</f>
        <v/>
      </c>
      <c r="F47" s="30" t="str">
        <f aca="false">IF(A47="","",IFERROR(IF(B47="상상",INDEX(심사_상상!$P$5:$P$104,MATCH($A47,심사_상상!$A$5:$A$104,0)),INDEX(심사_블록바이브!$S$5:$S$104,MATCH($A47,심사_블록바이브!$A$5:$A$104,0)))+0,0))</f>
        <v/>
      </c>
      <c r="G47" s="30" t="str">
        <f aca="false">IF(A47="","",IFERROR(IF(B47="상상",INDEX(심사_상상!$Q$5:$Q$104,MATCH($A47,심사_상상!$A$5:$A$104,0)),INDEX(심사_블록바이브!$T$5:$T$104,MATCH($A47,심사_블록바이브!$A$5:$A$104,0)))+0,0))</f>
        <v/>
      </c>
      <c r="H47" s="27" t="str">
        <f aca="false">IF(A47="","",IFERROR(INDEX('좋아요 수'!$J$6:$J$105,MATCH(A47,'좋아요 수'!$E$6:$E$105,0))+0,0))</f>
        <v/>
      </c>
      <c r="I47" s="27" t="str">
        <f aca="false">IF(A47="","",_xlfn.MAXIFS($H$11:$H$110,$B$11:$B$110,B47))</f>
        <v/>
      </c>
      <c r="J47" s="47" t="str">
        <f aca="false">IF(A47="","",IF(N(I47)=0,0,ROUND(H47/I47*50,1)))</f>
        <v/>
      </c>
      <c r="K47" s="29" t="str">
        <f aca="false">IF(A47="","",ROUND(F47+J47,2))</f>
        <v/>
      </c>
      <c r="L47" s="48" t="str">
        <f aca="false">IF(A47="","",K47+G47/10000)</f>
        <v/>
      </c>
      <c r="M47" s="34" t="str">
        <f aca="false">IF(A47="","",COUNTIFS($B$11:$B$110,B47,$L$11:$L$110,"&gt;"&amp;L47)+1)</f>
        <v/>
      </c>
      <c r="N47" s="27" t="str">
        <f aca="false">IF(A47="","",IFERROR(INDEX($D$5:$D$7,MATCH(B47,$A$5:$A$7,0)),0))</f>
        <v/>
      </c>
      <c r="O47" s="34" t="str">
        <f aca="false">IF(A47="","",IF(M47&gt;N47,"",IF(M47=1,"최우수",IF(M47&lt;=3,"우수","장려"))))</f>
        <v/>
      </c>
    </row>
    <row r="48" customFormat="false" ht="15" hidden="false" customHeight="false" outlineLevel="0" collapsed="false">
      <c r="A48" s="34" t="str">
        <f aca="false">IF(작품목록!A41="","",작품목록!A41)</f>
        <v/>
      </c>
      <c r="B48" s="27" t="str">
        <f aca="false">IF($A48="","",작품목록!B41&amp;"")</f>
        <v/>
      </c>
      <c r="C48" s="27" t="str">
        <f aca="false">IF($A48="","",작품목록!C41&amp;IF(작품목록!D41="","",IF(작품목록!D41=작품목록!C41," (2명)"," · "&amp;작품목록!D41)))</f>
        <v/>
      </c>
      <c r="D48" s="27" t="str">
        <f aca="false">IF($A48="","",작품목록!E41&amp;"")</f>
        <v/>
      </c>
      <c r="E48" s="28" t="str">
        <f aca="false">IF($A48="","",작품목록!G41&amp;"")</f>
        <v/>
      </c>
      <c r="F48" s="30" t="str">
        <f aca="false">IF(A48="","",IFERROR(IF(B48="상상",INDEX(심사_상상!$P$5:$P$104,MATCH($A48,심사_상상!$A$5:$A$104,0)),INDEX(심사_블록바이브!$S$5:$S$104,MATCH($A48,심사_블록바이브!$A$5:$A$104,0)))+0,0))</f>
        <v/>
      </c>
      <c r="G48" s="30" t="str">
        <f aca="false">IF(A48="","",IFERROR(IF(B48="상상",INDEX(심사_상상!$Q$5:$Q$104,MATCH($A48,심사_상상!$A$5:$A$104,0)),INDEX(심사_블록바이브!$T$5:$T$104,MATCH($A48,심사_블록바이브!$A$5:$A$104,0)))+0,0))</f>
        <v/>
      </c>
      <c r="H48" s="27" t="str">
        <f aca="false">IF(A48="","",IFERROR(INDEX('좋아요 수'!$J$6:$J$105,MATCH(A48,'좋아요 수'!$E$6:$E$105,0))+0,0))</f>
        <v/>
      </c>
      <c r="I48" s="27" t="str">
        <f aca="false">IF(A48="","",_xlfn.MAXIFS($H$11:$H$110,$B$11:$B$110,B48))</f>
        <v/>
      </c>
      <c r="J48" s="47" t="str">
        <f aca="false">IF(A48="","",IF(N(I48)=0,0,ROUND(H48/I48*50,1)))</f>
        <v/>
      </c>
      <c r="K48" s="29" t="str">
        <f aca="false">IF(A48="","",ROUND(F48+J48,2))</f>
        <v/>
      </c>
      <c r="L48" s="48" t="str">
        <f aca="false">IF(A48="","",K48+G48/10000)</f>
        <v/>
      </c>
      <c r="M48" s="34" t="str">
        <f aca="false">IF(A48="","",COUNTIFS($B$11:$B$110,B48,$L$11:$L$110,"&gt;"&amp;L48)+1)</f>
        <v/>
      </c>
      <c r="N48" s="27" t="str">
        <f aca="false">IF(A48="","",IFERROR(INDEX($D$5:$D$7,MATCH(B48,$A$5:$A$7,0)),0))</f>
        <v/>
      </c>
      <c r="O48" s="34" t="str">
        <f aca="false">IF(A48="","",IF(M48&gt;N48,"",IF(M48=1,"최우수",IF(M48&lt;=3,"우수","장려"))))</f>
        <v/>
      </c>
    </row>
    <row r="49" customFormat="false" ht="15" hidden="false" customHeight="false" outlineLevel="0" collapsed="false">
      <c r="A49" s="34" t="str">
        <f aca="false">IF(작품목록!A42="","",작품목록!A42)</f>
        <v/>
      </c>
      <c r="B49" s="27" t="str">
        <f aca="false">IF($A49="","",작품목록!B42&amp;"")</f>
        <v/>
      </c>
      <c r="C49" s="27" t="str">
        <f aca="false">IF($A49="","",작품목록!C42&amp;IF(작품목록!D42="","",IF(작품목록!D42=작품목록!C42," (2명)"," · "&amp;작품목록!D42)))</f>
        <v/>
      </c>
      <c r="D49" s="27" t="str">
        <f aca="false">IF($A49="","",작품목록!E42&amp;"")</f>
        <v/>
      </c>
      <c r="E49" s="28" t="str">
        <f aca="false">IF($A49="","",작품목록!G42&amp;"")</f>
        <v/>
      </c>
      <c r="F49" s="30" t="str">
        <f aca="false">IF(A49="","",IFERROR(IF(B49="상상",INDEX(심사_상상!$P$5:$P$104,MATCH($A49,심사_상상!$A$5:$A$104,0)),INDEX(심사_블록바이브!$S$5:$S$104,MATCH($A49,심사_블록바이브!$A$5:$A$104,0)))+0,0))</f>
        <v/>
      </c>
      <c r="G49" s="30" t="str">
        <f aca="false">IF(A49="","",IFERROR(IF(B49="상상",INDEX(심사_상상!$Q$5:$Q$104,MATCH($A49,심사_상상!$A$5:$A$104,0)),INDEX(심사_블록바이브!$T$5:$T$104,MATCH($A49,심사_블록바이브!$A$5:$A$104,0)))+0,0))</f>
        <v/>
      </c>
      <c r="H49" s="27" t="str">
        <f aca="false">IF(A49="","",IFERROR(INDEX('좋아요 수'!$J$6:$J$105,MATCH(A49,'좋아요 수'!$E$6:$E$105,0))+0,0))</f>
        <v/>
      </c>
      <c r="I49" s="27" t="str">
        <f aca="false">IF(A49="","",_xlfn.MAXIFS($H$11:$H$110,$B$11:$B$110,B49))</f>
        <v/>
      </c>
      <c r="J49" s="47" t="str">
        <f aca="false">IF(A49="","",IF(N(I49)=0,0,ROUND(H49/I49*50,1)))</f>
        <v/>
      </c>
      <c r="K49" s="29" t="str">
        <f aca="false">IF(A49="","",ROUND(F49+J49,2))</f>
        <v/>
      </c>
      <c r="L49" s="48" t="str">
        <f aca="false">IF(A49="","",K49+G49/10000)</f>
        <v/>
      </c>
      <c r="M49" s="34" t="str">
        <f aca="false">IF(A49="","",COUNTIFS($B$11:$B$110,B49,$L$11:$L$110,"&gt;"&amp;L49)+1)</f>
        <v/>
      </c>
      <c r="N49" s="27" t="str">
        <f aca="false">IF(A49="","",IFERROR(INDEX($D$5:$D$7,MATCH(B49,$A$5:$A$7,0)),0))</f>
        <v/>
      </c>
      <c r="O49" s="34" t="str">
        <f aca="false">IF(A49="","",IF(M49&gt;N49,"",IF(M49=1,"최우수",IF(M49&lt;=3,"우수","장려"))))</f>
        <v/>
      </c>
    </row>
    <row r="50" customFormat="false" ht="15" hidden="false" customHeight="false" outlineLevel="0" collapsed="false">
      <c r="A50" s="34" t="str">
        <f aca="false">IF(작품목록!A43="","",작품목록!A43)</f>
        <v/>
      </c>
      <c r="B50" s="27" t="str">
        <f aca="false">IF($A50="","",작품목록!B43&amp;"")</f>
        <v/>
      </c>
      <c r="C50" s="27" t="str">
        <f aca="false">IF($A50="","",작품목록!C43&amp;IF(작품목록!D43="","",IF(작품목록!D43=작품목록!C43," (2명)"," · "&amp;작품목록!D43)))</f>
        <v/>
      </c>
      <c r="D50" s="27" t="str">
        <f aca="false">IF($A50="","",작품목록!E43&amp;"")</f>
        <v/>
      </c>
      <c r="E50" s="28" t="str">
        <f aca="false">IF($A50="","",작품목록!G43&amp;"")</f>
        <v/>
      </c>
      <c r="F50" s="30" t="str">
        <f aca="false">IF(A50="","",IFERROR(IF(B50="상상",INDEX(심사_상상!$P$5:$P$104,MATCH($A50,심사_상상!$A$5:$A$104,0)),INDEX(심사_블록바이브!$S$5:$S$104,MATCH($A50,심사_블록바이브!$A$5:$A$104,0)))+0,0))</f>
        <v/>
      </c>
      <c r="G50" s="30" t="str">
        <f aca="false">IF(A50="","",IFERROR(IF(B50="상상",INDEX(심사_상상!$Q$5:$Q$104,MATCH($A50,심사_상상!$A$5:$A$104,0)),INDEX(심사_블록바이브!$T$5:$T$104,MATCH($A50,심사_블록바이브!$A$5:$A$104,0)))+0,0))</f>
        <v/>
      </c>
      <c r="H50" s="27" t="str">
        <f aca="false">IF(A50="","",IFERROR(INDEX('좋아요 수'!$J$6:$J$105,MATCH(A50,'좋아요 수'!$E$6:$E$105,0))+0,0))</f>
        <v/>
      </c>
      <c r="I50" s="27" t="str">
        <f aca="false">IF(A50="","",_xlfn.MAXIFS($H$11:$H$110,$B$11:$B$110,B50))</f>
        <v/>
      </c>
      <c r="J50" s="47" t="str">
        <f aca="false">IF(A50="","",IF(N(I50)=0,0,ROUND(H50/I50*50,1)))</f>
        <v/>
      </c>
      <c r="K50" s="29" t="str">
        <f aca="false">IF(A50="","",ROUND(F50+J50,2))</f>
        <v/>
      </c>
      <c r="L50" s="48" t="str">
        <f aca="false">IF(A50="","",K50+G50/10000)</f>
        <v/>
      </c>
      <c r="M50" s="34" t="str">
        <f aca="false">IF(A50="","",COUNTIFS($B$11:$B$110,B50,$L$11:$L$110,"&gt;"&amp;L50)+1)</f>
        <v/>
      </c>
      <c r="N50" s="27" t="str">
        <f aca="false">IF(A50="","",IFERROR(INDEX($D$5:$D$7,MATCH(B50,$A$5:$A$7,0)),0))</f>
        <v/>
      </c>
      <c r="O50" s="34" t="str">
        <f aca="false">IF(A50="","",IF(M50&gt;N50,"",IF(M50=1,"최우수",IF(M50&lt;=3,"우수","장려"))))</f>
        <v/>
      </c>
    </row>
    <row r="51" customFormat="false" ht="15" hidden="false" customHeight="false" outlineLevel="0" collapsed="false">
      <c r="A51" s="34" t="str">
        <f aca="false">IF(작품목록!A44="","",작품목록!A44)</f>
        <v/>
      </c>
      <c r="B51" s="27" t="str">
        <f aca="false">IF($A51="","",작품목록!B44&amp;"")</f>
        <v/>
      </c>
      <c r="C51" s="27" t="str">
        <f aca="false">IF($A51="","",작품목록!C44&amp;IF(작품목록!D44="","",IF(작품목록!D44=작품목록!C44," (2명)"," · "&amp;작품목록!D44)))</f>
        <v/>
      </c>
      <c r="D51" s="27" t="str">
        <f aca="false">IF($A51="","",작품목록!E44&amp;"")</f>
        <v/>
      </c>
      <c r="E51" s="28" t="str">
        <f aca="false">IF($A51="","",작품목록!G44&amp;"")</f>
        <v/>
      </c>
      <c r="F51" s="30" t="str">
        <f aca="false">IF(A51="","",IFERROR(IF(B51="상상",INDEX(심사_상상!$P$5:$P$104,MATCH($A51,심사_상상!$A$5:$A$104,0)),INDEX(심사_블록바이브!$S$5:$S$104,MATCH($A51,심사_블록바이브!$A$5:$A$104,0)))+0,0))</f>
        <v/>
      </c>
      <c r="G51" s="30" t="str">
        <f aca="false">IF(A51="","",IFERROR(IF(B51="상상",INDEX(심사_상상!$Q$5:$Q$104,MATCH($A51,심사_상상!$A$5:$A$104,0)),INDEX(심사_블록바이브!$T$5:$T$104,MATCH($A51,심사_블록바이브!$A$5:$A$104,0)))+0,0))</f>
        <v/>
      </c>
      <c r="H51" s="27" t="str">
        <f aca="false">IF(A51="","",IFERROR(INDEX('좋아요 수'!$J$6:$J$105,MATCH(A51,'좋아요 수'!$E$6:$E$105,0))+0,0))</f>
        <v/>
      </c>
      <c r="I51" s="27" t="str">
        <f aca="false">IF(A51="","",_xlfn.MAXIFS($H$11:$H$110,$B$11:$B$110,B51))</f>
        <v/>
      </c>
      <c r="J51" s="47" t="str">
        <f aca="false">IF(A51="","",IF(N(I51)=0,0,ROUND(H51/I51*50,1)))</f>
        <v/>
      </c>
      <c r="K51" s="29" t="str">
        <f aca="false">IF(A51="","",ROUND(F51+J51,2))</f>
        <v/>
      </c>
      <c r="L51" s="48" t="str">
        <f aca="false">IF(A51="","",K51+G51/10000)</f>
        <v/>
      </c>
      <c r="M51" s="34" t="str">
        <f aca="false">IF(A51="","",COUNTIFS($B$11:$B$110,B51,$L$11:$L$110,"&gt;"&amp;L51)+1)</f>
        <v/>
      </c>
      <c r="N51" s="27" t="str">
        <f aca="false">IF(A51="","",IFERROR(INDEX($D$5:$D$7,MATCH(B51,$A$5:$A$7,0)),0))</f>
        <v/>
      </c>
      <c r="O51" s="34" t="str">
        <f aca="false">IF(A51="","",IF(M51&gt;N51,"",IF(M51=1,"최우수",IF(M51&lt;=3,"우수","장려"))))</f>
        <v/>
      </c>
    </row>
    <row r="52" customFormat="false" ht="15" hidden="false" customHeight="false" outlineLevel="0" collapsed="false">
      <c r="A52" s="34" t="str">
        <f aca="false">IF(작품목록!A45="","",작품목록!A45)</f>
        <v/>
      </c>
      <c r="B52" s="27" t="str">
        <f aca="false">IF($A52="","",작품목록!B45&amp;"")</f>
        <v/>
      </c>
      <c r="C52" s="27" t="str">
        <f aca="false">IF($A52="","",작품목록!C45&amp;IF(작품목록!D45="","",IF(작품목록!D45=작품목록!C45," (2명)"," · "&amp;작품목록!D45)))</f>
        <v/>
      </c>
      <c r="D52" s="27" t="str">
        <f aca="false">IF($A52="","",작품목록!E45&amp;"")</f>
        <v/>
      </c>
      <c r="E52" s="28" t="str">
        <f aca="false">IF($A52="","",작품목록!G45&amp;"")</f>
        <v/>
      </c>
      <c r="F52" s="30" t="str">
        <f aca="false">IF(A52="","",IFERROR(IF(B52="상상",INDEX(심사_상상!$P$5:$P$104,MATCH($A52,심사_상상!$A$5:$A$104,0)),INDEX(심사_블록바이브!$S$5:$S$104,MATCH($A52,심사_블록바이브!$A$5:$A$104,0)))+0,0))</f>
        <v/>
      </c>
      <c r="G52" s="30" t="str">
        <f aca="false">IF(A52="","",IFERROR(IF(B52="상상",INDEX(심사_상상!$Q$5:$Q$104,MATCH($A52,심사_상상!$A$5:$A$104,0)),INDEX(심사_블록바이브!$T$5:$T$104,MATCH($A52,심사_블록바이브!$A$5:$A$104,0)))+0,0))</f>
        <v/>
      </c>
      <c r="H52" s="27" t="str">
        <f aca="false">IF(A52="","",IFERROR(INDEX('좋아요 수'!$J$6:$J$105,MATCH(A52,'좋아요 수'!$E$6:$E$105,0))+0,0))</f>
        <v/>
      </c>
      <c r="I52" s="27" t="str">
        <f aca="false">IF(A52="","",_xlfn.MAXIFS($H$11:$H$110,$B$11:$B$110,B52))</f>
        <v/>
      </c>
      <c r="J52" s="47" t="str">
        <f aca="false">IF(A52="","",IF(N(I52)=0,0,ROUND(H52/I52*50,1)))</f>
        <v/>
      </c>
      <c r="K52" s="29" t="str">
        <f aca="false">IF(A52="","",ROUND(F52+J52,2))</f>
        <v/>
      </c>
      <c r="L52" s="48" t="str">
        <f aca="false">IF(A52="","",K52+G52/10000)</f>
        <v/>
      </c>
      <c r="M52" s="34" t="str">
        <f aca="false">IF(A52="","",COUNTIFS($B$11:$B$110,B52,$L$11:$L$110,"&gt;"&amp;L52)+1)</f>
        <v/>
      </c>
      <c r="N52" s="27" t="str">
        <f aca="false">IF(A52="","",IFERROR(INDEX($D$5:$D$7,MATCH(B52,$A$5:$A$7,0)),0))</f>
        <v/>
      </c>
      <c r="O52" s="34" t="str">
        <f aca="false">IF(A52="","",IF(M52&gt;N52,"",IF(M52=1,"최우수",IF(M52&lt;=3,"우수","장려"))))</f>
        <v/>
      </c>
    </row>
    <row r="53" customFormat="false" ht="15" hidden="false" customHeight="false" outlineLevel="0" collapsed="false">
      <c r="A53" s="34" t="str">
        <f aca="false">IF(작품목록!A46="","",작품목록!A46)</f>
        <v/>
      </c>
      <c r="B53" s="27" t="str">
        <f aca="false">IF($A53="","",작품목록!B46&amp;"")</f>
        <v/>
      </c>
      <c r="C53" s="27" t="str">
        <f aca="false">IF($A53="","",작품목록!C46&amp;IF(작품목록!D46="","",IF(작품목록!D46=작품목록!C46," (2명)"," · "&amp;작품목록!D46)))</f>
        <v/>
      </c>
      <c r="D53" s="27" t="str">
        <f aca="false">IF($A53="","",작품목록!E46&amp;"")</f>
        <v/>
      </c>
      <c r="E53" s="28" t="str">
        <f aca="false">IF($A53="","",작품목록!G46&amp;"")</f>
        <v/>
      </c>
      <c r="F53" s="30" t="str">
        <f aca="false">IF(A53="","",IFERROR(IF(B53="상상",INDEX(심사_상상!$P$5:$P$104,MATCH($A53,심사_상상!$A$5:$A$104,0)),INDEX(심사_블록바이브!$S$5:$S$104,MATCH($A53,심사_블록바이브!$A$5:$A$104,0)))+0,0))</f>
        <v/>
      </c>
      <c r="G53" s="30" t="str">
        <f aca="false">IF(A53="","",IFERROR(IF(B53="상상",INDEX(심사_상상!$Q$5:$Q$104,MATCH($A53,심사_상상!$A$5:$A$104,0)),INDEX(심사_블록바이브!$T$5:$T$104,MATCH($A53,심사_블록바이브!$A$5:$A$104,0)))+0,0))</f>
        <v/>
      </c>
      <c r="H53" s="27" t="str">
        <f aca="false">IF(A53="","",IFERROR(INDEX('좋아요 수'!$J$6:$J$105,MATCH(A53,'좋아요 수'!$E$6:$E$105,0))+0,0))</f>
        <v/>
      </c>
      <c r="I53" s="27" t="str">
        <f aca="false">IF(A53="","",_xlfn.MAXIFS($H$11:$H$110,$B$11:$B$110,B53))</f>
        <v/>
      </c>
      <c r="J53" s="47" t="str">
        <f aca="false">IF(A53="","",IF(N(I53)=0,0,ROUND(H53/I53*50,1)))</f>
        <v/>
      </c>
      <c r="K53" s="29" t="str">
        <f aca="false">IF(A53="","",ROUND(F53+J53,2))</f>
        <v/>
      </c>
      <c r="L53" s="48" t="str">
        <f aca="false">IF(A53="","",K53+G53/10000)</f>
        <v/>
      </c>
      <c r="M53" s="34" t="str">
        <f aca="false">IF(A53="","",COUNTIFS($B$11:$B$110,B53,$L$11:$L$110,"&gt;"&amp;L53)+1)</f>
        <v/>
      </c>
      <c r="N53" s="27" t="str">
        <f aca="false">IF(A53="","",IFERROR(INDEX($D$5:$D$7,MATCH(B53,$A$5:$A$7,0)),0))</f>
        <v/>
      </c>
      <c r="O53" s="34" t="str">
        <f aca="false">IF(A53="","",IF(M53&gt;N53,"",IF(M53=1,"최우수",IF(M53&lt;=3,"우수","장려"))))</f>
        <v/>
      </c>
    </row>
    <row r="54" customFormat="false" ht="15" hidden="false" customHeight="false" outlineLevel="0" collapsed="false">
      <c r="A54" s="34" t="str">
        <f aca="false">IF(작품목록!A47="","",작품목록!A47)</f>
        <v/>
      </c>
      <c r="B54" s="27" t="str">
        <f aca="false">IF($A54="","",작품목록!B47&amp;"")</f>
        <v/>
      </c>
      <c r="C54" s="27" t="str">
        <f aca="false">IF($A54="","",작품목록!C47&amp;IF(작품목록!D47="","",IF(작품목록!D47=작품목록!C47," (2명)"," · "&amp;작품목록!D47)))</f>
        <v/>
      </c>
      <c r="D54" s="27" t="str">
        <f aca="false">IF($A54="","",작품목록!E47&amp;"")</f>
        <v/>
      </c>
      <c r="E54" s="28" t="str">
        <f aca="false">IF($A54="","",작품목록!G47&amp;"")</f>
        <v/>
      </c>
      <c r="F54" s="30" t="str">
        <f aca="false">IF(A54="","",IFERROR(IF(B54="상상",INDEX(심사_상상!$P$5:$P$104,MATCH($A54,심사_상상!$A$5:$A$104,0)),INDEX(심사_블록바이브!$S$5:$S$104,MATCH($A54,심사_블록바이브!$A$5:$A$104,0)))+0,0))</f>
        <v/>
      </c>
      <c r="G54" s="30" t="str">
        <f aca="false">IF(A54="","",IFERROR(IF(B54="상상",INDEX(심사_상상!$Q$5:$Q$104,MATCH($A54,심사_상상!$A$5:$A$104,0)),INDEX(심사_블록바이브!$T$5:$T$104,MATCH($A54,심사_블록바이브!$A$5:$A$104,0)))+0,0))</f>
        <v/>
      </c>
      <c r="H54" s="27" t="str">
        <f aca="false">IF(A54="","",IFERROR(INDEX('좋아요 수'!$J$6:$J$105,MATCH(A54,'좋아요 수'!$E$6:$E$105,0))+0,0))</f>
        <v/>
      </c>
      <c r="I54" s="27" t="str">
        <f aca="false">IF(A54="","",_xlfn.MAXIFS($H$11:$H$110,$B$11:$B$110,B54))</f>
        <v/>
      </c>
      <c r="J54" s="47" t="str">
        <f aca="false">IF(A54="","",IF(N(I54)=0,0,ROUND(H54/I54*50,1)))</f>
        <v/>
      </c>
      <c r="K54" s="29" t="str">
        <f aca="false">IF(A54="","",ROUND(F54+J54,2))</f>
        <v/>
      </c>
      <c r="L54" s="48" t="str">
        <f aca="false">IF(A54="","",K54+G54/10000)</f>
        <v/>
      </c>
      <c r="M54" s="34" t="str">
        <f aca="false">IF(A54="","",COUNTIFS($B$11:$B$110,B54,$L$11:$L$110,"&gt;"&amp;L54)+1)</f>
        <v/>
      </c>
      <c r="N54" s="27" t="str">
        <f aca="false">IF(A54="","",IFERROR(INDEX($D$5:$D$7,MATCH(B54,$A$5:$A$7,0)),0))</f>
        <v/>
      </c>
      <c r="O54" s="34" t="str">
        <f aca="false">IF(A54="","",IF(M54&gt;N54,"",IF(M54=1,"최우수",IF(M54&lt;=3,"우수","장려"))))</f>
        <v/>
      </c>
    </row>
    <row r="55" customFormat="false" ht="15" hidden="false" customHeight="false" outlineLevel="0" collapsed="false">
      <c r="A55" s="34" t="str">
        <f aca="false">IF(작품목록!A48="","",작품목록!A48)</f>
        <v/>
      </c>
      <c r="B55" s="27" t="str">
        <f aca="false">IF($A55="","",작품목록!B48&amp;"")</f>
        <v/>
      </c>
      <c r="C55" s="27" t="str">
        <f aca="false">IF($A55="","",작품목록!C48&amp;IF(작품목록!D48="","",IF(작품목록!D48=작품목록!C48," (2명)"," · "&amp;작품목록!D48)))</f>
        <v/>
      </c>
      <c r="D55" s="27" t="str">
        <f aca="false">IF($A55="","",작품목록!E48&amp;"")</f>
        <v/>
      </c>
      <c r="E55" s="28" t="str">
        <f aca="false">IF($A55="","",작품목록!G48&amp;"")</f>
        <v/>
      </c>
      <c r="F55" s="30" t="str">
        <f aca="false">IF(A55="","",IFERROR(IF(B55="상상",INDEX(심사_상상!$P$5:$P$104,MATCH($A55,심사_상상!$A$5:$A$104,0)),INDEX(심사_블록바이브!$S$5:$S$104,MATCH($A55,심사_블록바이브!$A$5:$A$104,0)))+0,0))</f>
        <v/>
      </c>
      <c r="G55" s="30" t="str">
        <f aca="false">IF(A55="","",IFERROR(IF(B55="상상",INDEX(심사_상상!$Q$5:$Q$104,MATCH($A55,심사_상상!$A$5:$A$104,0)),INDEX(심사_블록바이브!$T$5:$T$104,MATCH($A55,심사_블록바이브!$A$5:$A$104,0)))+0,0))</f>
        <v/>
      </c>
      <c r="H55" s="27" t="str">
        <f aca="false">IF(A55="","",IFERROR(INDEX('좋아요 수'!$J$6:$J$105,MATCH(A55,'좋아요 수'!$E$6:$E$105,0))+0,0))</f>
        <v/>
      </c>
      <c r="I55" s="27" t="str">
        <f aca="false">IF(A55="","",_xlfn.MAXIFS($H$11:$H$110,$B$11:$B$110,B55))</f>
        <v/>
      </c>
      <c r="J55" s="47" t="str">
        <f aca="false">IF(A55="","",IF(N(I55)=0,0,ROUND(H55/I55*50,1)))</f>
        <v/>
      </c>
      <c r="K55" s="29" t="str">
        <f aca="false">IF(A55="","",ROUND(F55+J55,2))</f>
        <v/>
      </c>
      <c r="L55" s="48" t="str">
        <f aca="false">IF(A55="","",K55+G55/10000)</f>
        <v/>
      </c>
      <c r="M55" s="34" t="str">
        <f aca="false">IF(A55="","",COUNTIFS($B$11:$B$110,B55,$L$11:$L$110,"&gt;"&amp;L55)+1)</f>
        <v/>
      </c>
      <c r="N55" s="27" t="str">
        <f aca="false">IF(A55="","",IFERROR(INDEX($D$5:$D$7,MATCH(B55,$A$5:$A$7,0)),0))</f>
        <v/>
      </c>
      <c r="O55" s="34" t="str">
        <f aca="false">IF(A55="","",IF(M55&gt;N55,"",IF(M55=1,"최우수",IF(M55&lt;=3,"우수","장려"))))</f>
        <v/>
      </c>
    </row>
    <row r="56" customFormat="false" ht="15" hidden="false" customHeight="false" outlineLevel="0" collapsed="false">
      <c r="A56" s="34" t="str">
        <f aca="false">IF(작품목록!A49="","",작품목록!A49)</f>
        <v/>
      </c>
      <c r="B56" s="27" t="str">
        <f aca="false">IF($A56="","",작품목록!B49&amp;"")</f>
        <v/>
      </c>
      <c r="C56" s="27" t="str">
        <f aca="false">IF($A56="","",작품목록!C49&amp;IF(작품목록!D49="","",IF(작품목록!D49=작품목록!C49," (2명)"," · "&amp;작품목록!D49)))</f>
        <v/>
      </c>
      <c r="D56" s="27" t="str">
        <f aca="false">IF($A56="","",작품목록!E49&amp;"")</f>
        <v/>
      </c>
      <c r="E56" s="28" t="str">
        <f aca="false">IF($A56="","",작품목록!G49&amp;"")</f>
        <v/>
      </c>
      <c r="F56" s="30" t="str">
        <f aca="false">IF(A56="","",IFERROR(IF(B56="상상",INDEX(심사_상상!$P$5:$P$104,MATCH($A56,심사_상상!$A$5:$A$104,0)),INDEX(심사_블록바이브!$S$5:$S$104,MATCH($A56,심사_블록바이브!$A$5:$A$104,0)))+0,0))</f>
        <v/>
      </c>
      <c r="G56" s="30" t="str">
        <f aca="false">IF(A56="","",IFERROR(IF(B56="상상",INDEX(심사_상상!$Q$5:$Q$104,MATCH($A56,심사_상상!$A$5:$A$104,0)),INDEX(심사_블록바이브!$T$5:$T$104,MATCH($A56,심사_블록바이브!$A$5:$A$104,0)))+0,0))</f>
        <v/>
      </c>
      <c r="H56" s="27" t="str">
        <f aca="false">IF(A56="","",IFERROR(INDEX('좋아요 수'!$J$6:$J$105,MATCH(A56,'좋아요 수'!$E$6:$E$105,0))+0,0))</f>
        <v/>
      </c>
      <c r="I56" s="27" t="str">
        <f aca="false">IF(A56="","",_xlfn.MAXIFS($H$11:$H$110,$B$11:$B$110,B56))</f>
        <v/>
      </c>
      <c r="J56" s="47" t="str">
        <f aca="false">IF(A56="","",IF(N(I56)=0,0,ROUND(H56/I56*50,1)))</f>
        <v/>
      </c>
      <c r="K56" s="29" t="str">
        <f aca="false">IF(A56="","",ROUND(F56+J56,2))</f>
        <v/>
      </c>
      <c r="L56" s="48" t="str">
        <f aca="false">IF(A56="","",K56+G56/10000)</f>
        <v/>
      </c>
      <c r="M56" s="34" t="str">
        <f aca="false">IF(A56="","",COUNTIFS($B$11:$B$110,B56,$L$11:$L$110,"&gt;"&amp;L56)+1)</f>
        <v/>
      </c>
      <c r="N56" s="27" t="str">
        <f aca="false">IF(A56="","",IFERROR(INDEX($D$5:$D$7,MATCH(B56,$A$5:$A$7,0)),0))</f>
        <v/>
      </c>
      <c r="O56" s="34" t="str">
        <f aca="false">IF(A56="","",IF(M56&gt;N56,"",IF(M56=1,"최우수",IF(M56&lt;=3,"우수","장려"))))</f>
        <v/>
      </c>
    </row>
    <row r="57" customFormat="false" ht="15" hidden="false" customHeight="false" outlineLevel="0" collapsed="false">
      <c r="A57" s="34" t="str">
        <f aca="false">IF(작품목록!A50="","",작품목록!A50)</f>
        <v/>
      </c>
      <c r="B57" s="27" t="str">
        <f aca="false">IF($A57="","",작품목록!B50&amp;"")</f>
        <v/>
      </c>
      <c r="C57" s="27" t="str">
        <f aca="false">IF($A57="","",작품목록!C50&amp;IF(작품목록!D50="","",IF(작품목록!D50=작품목록!C50," (2명)"," · "&amp;작품목록!D50)))</f>
        <v/>
      </c>
      <c r="D57" s="27" t="str">
        <f aca="false">IF($A57="","",작품목록!E50&amp;"")</f>
        <v/>
      </c>
      <c r="E57" s="28" t="str">
        <f aca="false">IF($A57="","",작품목록!G50&amp;"")</f>
        <v/>
      </c>
      <c r="F57" s="30" t="str">
        <f aca="false">IF(A57="","",IFERROR(IF(B57="상상",INDEX(심사_상상!$P$5:$P$104,MATCH($A57,심사_상상!$A$5:$A$104,0)),INDEX(심사_블록바이브!$S$5:$S$104,MATCH($A57,심사_블록바이브!$A$5:$A$104,0)))+0,0))</f>
        <v/>
      </c>
      <c r="G57" s="30" t="str">
        <f aca="false">IF(A57="","",IFERROR(IF(B57="상상",INDEX(심사_상상!$Q$5:$Q$104,MATCH($A57,심사_상상!$A$5:$A$104,0)),INDEX(심사_블록바이브!$T$5:$T$104,MATCH($A57,심사_블록바이브!$A$5:$A$104,0)))+0,0))</f>
        <v/>
      </c>
      <c r="H57" s="27" t="str">
        <f aca="false">IF(A57="","",IFERROR(INDEX('좋아요 수'!$J$6:$J$105,MATCH(A57,'좋아요 수'!$E$6:$E$105,0))+0,0))</f>
        <v/>
      </c>
      <c r="I57" s="27" t="str">
        <f aca="false">IF(A57="","",_xlfn.MAXIFS($H$11:$H$110,$B$11:$B$110,B57))</f>
        <v/>
      </c>
      <c r="J57" s="47" t="str">
        <f aca="false">IF(A57="","",IF(N(I57)=0,0,ROUND(H57/I57*50,1)))</f>
        <v/>
      </c>
      <c r="K57" s="29" t="str">
        <f aca="false">IF(A57="","",ROUND(F57+J57,2))</f>
        <v/>
      </c>
      <c r="L57" s="48" t="str">
        <f aca="false">IF(A57="","",K57+G57/10000)</f>
        <v/>
      </c>
      <c r="M57" s="34" t="str">
        <f aca="false">IF(A57="","",COUNTIFS($B$11:$B$110,B57,$L$11:$L$110,"&gt;"&amp;L57)+1)</f>
        <v/>
      </c>
      <c r="N57" s="27" t="str">
        <f aca="false">IF(A57="","",IFERROR(INDEX($D$5:$D$7,MATCH(B57,$A$5:$A$7,0)),0))</f>
        <v/>
      </c>
      <c r="O57" s="34" t="str">
        <f aca="false">IF(A57="","",IF(M57&gt;N57,"",IF(M57=1,"최우수",IF(M57&lt;=3,"우수","장려"))))</f>
        <v/>
      </c>
    </row>
    <row r="58" customFormat="false" ht="15" hidden="false" customHeight="false" outlineLevel="0" collapsed="false">
      <c r="A58" s="34" t="str">
        <f aca="false">IF(작품목록!A51="","",작품목록!A51)</f>
        <v/>
      </c>
      <c r="B58" s="27" t="str">
        <f aca="false">IF($A58="","",작품목록!B51&amp;"")</f>
        <v/>
      </c>
      <c r="C58" s="27" t="str">
        <f aca="false">IF($A58="","",작품목록!C51&amp;IF(작품목록!D51="","",IF(작품목록!D51=작품목록!C51," (2명)"," · "&amp;작품목록!D51)))</f>
        <v/>
      </c>
      <c r="D58" s="27" t="str">
        <f aca="false">IF($A58="","",작품목록!E51&amp;"")</f>
        <v/>
      </c>
      <c r="E58" s="28" t="str">
        <f aca="false">IF($A58="","",작품목록!G51&amp;"")</f>
        <v/>
      </c>
      <c r="F58" s="30" t="str">
        <f aca="false">IF(A58="","",IFERROR(IF(B58="상상",INDEX(심사_상상!$P$5:$P$104,MATCH($A58,심사_상상!$A$5:$A$104,0)),INDEX(심사_블록바이브!$S$5:$S$104,MATCH($A58,심사_블록바이브!$A$5:$A$104,0)))+0,0))</f>
        <v/>
      </c>
      <c r="G58" s="30" t="str">
        <f aca="false">IF(A58="","",IFERROR(IF(B58="상상",INDEX(심사_상상!$Q$5:$Q$104,MATCH($A58,심사_상상!$A$5:$A$104,0)),INDEX(심사_블록바이브!$T$5:$T$104,MATCH($A58,심사_블록바이브!$A$5:$A$104,0)))+0,0))</f>
        <v/>
      </c>
      <c r="H58" s="27" t="str">
        <f aca="false">IF(A58="","",IFERROR(INDEX('좋아요 수'!$J$6:$J$105,MATCH(A58,'좋아요 수'!$E$6:$E$105,0))+0,0))</f>
        <v/>
      </c>
      <c r="I58" s="27" t="str">
        <f aca="false">IF(A58="","",_xlfn.MAXIFS($H$11:$H$110,$B$11:$B$110,B58))</f>
        <v/>
      </c>
      <c r="J58" s="47" t="str">
        <f aca="false">IF(A58="","",IF(N(I58)=0,0,ROUND(H58/I58*50,1)))</f>
        <v/>
      </c>
      <c r="K58" s="29" t="str">
        <f aca="false">IF(A58="","",ROUND(F58+J58,2))</f>
        <v/>
      </c>
      <c r="L58" s="48" t="str">
        <f aca="false">IF(A58="","",K58+G58/10000)</f>
        <v/>
      </c>
      <c r="M58" s="34" t="str">
        <f aca="false">IF(A58="","",COUNTIFS($B$11:$B$110,B58,$L$11:$L$110,"&gt;"&amp;L58)+1)</f>
        <v/>
      </c>
      <c r="N58" s="27" t="str">
        <f aca="false">IF(A58="","",IFERROR(INDEX($D$5:$D$7,MATCH(B58,$A$5:$A$7,0)),0))</f>
        <v/>
      </c>
      <c r="O58" s="34" t="str">
        <f aca="false">IF(A58="","",IF(M58&gt;N58,"",IF(M58=1,"최우수",IF(M58&lt;=3,"우수","장려"))))</f>
        <v/>
      </c>
    </row>
    <row r="59" customFormat="false" ht="15" hidden="false" customHeight="false" outlineLevel="0" collapsed="false">
      <c r="A59" s="34" t="str">
        <f aca="false">IF(작품목록!A52="","",작품목록!A52)</f>
        <v/>
      </c>
      <c r="B59" s="27" t="str">
        <f aca="false">IF($A59="","",작품목록!B52&amp;"")</f>
        <v/>
      </c>
      <c r="C59" s="27" t="str">
        <f aca="false">IF($A59="","",작품목록!C52&amp;IF(작품목록!D52="","",IF(작품목록!D52=작품목록!C52," (2명)"," · "&amp;작품목록!D52)))</f>
        <v/>
      </c>
      <c r="D59" s="27" t="str">
        <f aca="false">IF($A59="","",작품목록!E52&amp;"")</f>
        <v/>
      </c>
      <c r="E59" s="28" t="str">
        <f aca="false">IF($A59="","",작품목록!G52&amp;"")</f>
        <v/>
      </c>
      <c r="F59" s="30" t="str">
        <f aca="false">IF(A59="","",IFERROR(IF(B59="상상",INDEX(심사_상상!$P$5:$P$104,MATCH($A59,심사_상상!$A$5:$A$104,0)),INDEX(심사_블록바이브!$S$5:$S$104,MATCH($A59,심사_블록바이브!$A$5:$A$104,0)))+0,0))</f>
        <v/>
      </c>
      <c r="G59" s="30" t="str">
        <f aca="false">IF(A59="","",IFERROR(IF(B59="상상",INDEX(심사_상상!$Q$5:$Q$104,MATCH($A59,심사_상상!$A$5:$A$104,0)),INDEX(심사_블록바이브!$T$5:$T$104,MATCH($A59,심사_블록바이브!$A$5:$A$104,0)))+0,0))</f>
        <v/>
      </c>
      <c r="H59" s="27" t="str">
        <f aca="false">IF(A59="","",IFERROR(INDEX('좋아요 수'!$J$6:$J$105,MATCH(A59,'좋아요 수'!$E$6:$E$105,0))+0,0))</f>
        <v/>
      </c>
      <c r="I59" s="27" t="str">
        <f aca="false">IF(A59="","",_xlfn.MAXIFS($H$11:$H$110,$B$11:$B$110,B59))</f>
        <v/>
      </c>
      <c r="J59" s="47" t="str">
        <f aca="false">IF(A59="","",IF(N(I59)=0,0,ROUND(H59/I59*50,1)))</f>
        <v/>
      </c>
      <c r="K59" s="29" t="str">
        <f aca="false">IF(A59="","",ROUND(F59+J59,2))</f>
        <v/>
      </c>
      <c r="L59" s="48" t="str">
        <f aca="false">IF(A59="","",K59+G59/10000)</f>
        <v/>
      </c>
      <c r="M59" s="34" t="str">
        <f aca="false">IF(A59="","",COUNTIFS($B$11:$B$110,B59,$L$11:$L$110,"&gt;"&amp;L59)+1)</f>
        <v/>
      </c>
      <c r="N59" s="27" t="str">
        <f aca="false">IF(A59="","",IFERROR(INDEX($D$5:$D$7,MATCH(B59,$A$5:$A$7,0)),0))</f>
        <v/>
      </c>
      <c r="O59" s="34" t="str">
        <f aca="false">IF(A59="","",IF(M59&gt;N59,"",IF(M59=1,"최우수",IF(M59&lt;=3,"우수","장려"))))</f>
        <v/>
      </c>
    </row>
    <row r="60" customFormat="false" ht="15" hidden="false" customHeight="false" outlineLevel="0" collapsed="false">
      <c r="A60" s="34" t="str">
        <f aca="false">IF(작품목록!A53="","",작품목록!A53)</f>
        <v/>
      </c>
      <c r="B60" s="27" t="str">
        <f aca="false">IF($A60="","",작품목록!B53&amp;"")</f>
        <v/>
      </c>
      <c r="C60" s="27" t="str">
        <f aca="false">IF($A60="","",작품목록!C53&amp;IF(작품목록!D53="","",IF(작품목록!D53=작품목록!C53," (2명)"," · "&amp;작품목록!D53)))</f>
        <v/>
      </c>
      <c r="D60" s="27" t="str">
        <f aca="false">IF($A60="","",작품목록!E53&amp;"")</f>
        <v/>
      </c>
      <c r="E60" s="28" t="str">
        <f aca="false">IF($A60="","",작품목록!G53&amp;"")</f>
        <v/>
      </c>
      <c r="F60" s="30" t="str">
        <f aca="false">IF(A60="","",IFERROR(IF(B60="상상",INDEX(심사_상상!$P$5:$P$104,MATCH($A60,심사_상상!$A$5:$A$104,0)),INDEX(심사_블록바이브!$S$5:$S$104,MATCH($A60,심사_블록바이브!$A$5:$A$104,0)))+0,0))</f>
        <v/>
      </c>
      <c r="G60" s="30" t="str">
        <f aca="false">IF(A60="","",IFERROR(IF(B60="상상",INDEX(심사_상상!$Q$5:$Q$104,MATCH($A60,심사_상상!$A$5:$A$104,0)),INDEX(심사_블록바이브!$T$5:$T$104,MATCH($A60,심사_블록바이브!$A$5:$A$104,0)))+0,0))</f>
        <v/>
      </c>
      <c r="H60" s="27" t="str">
        <f aca="false">IF(A60="","",IFERROR(INDEX('좋아요 수'!$J$6:$J$105,MATCH(A60,'좋아요 수'!$E$6:$E$105,0))+0,0))</f>
        <v/>
      </c>
      <c r="I60" s="27" t="str">
        <f aca="false">IF(A60="","",_xlfn.MAXIFS($H$11:$H$110,$B$11:$B$110,B60))</f>
        <v/>
      </c>
      <c r="J60" s="47" t="str">
        <f aca="false">IF(A60="","",IF(N(I60)=0,0,ROUND(H60/I60*50,1)))</f>
        <v/>
      </c>
      <c r="K60" s="29" t="str">
        <f aca="false">IF(A60="","",ROUND(F60+J60,2))</f>
        <v/>
      </c>
      <c r="L60" s="48" t="str">
        <f aca="false">IF(A60="","",K60+G60/10000)</f>
        <v/>
      </c>
      <c r="M60" s="34" t="str">
        <f aca="false">IF(A60="","",COUNTIFS($B$11:$B$110,B60,$L$11:$L$110,"&gt;"&amp;L60)+1)</f>
        <v/>
      </c>
      <c r="N60" s="27" t="str">
        <f aca="false">IF(A60="","",IFERROR(INDEX($D$5:$D$7,MATCH(B60,$A$5:$A$7,0)),0))</f>
        <v/>
      </c>
      <c r="O60" s="34" t="str">
        <f aca="false">IF(A60="","",IF(M60&gt;N60,"",IF(M60=1,"최우수",IF(M60&lt;=3,"우수","장려"))))</f>
        <v/>
      </c>
    </row>
    <row r="61" customFormat="false" ht="15" hidden="false" customHeight="false" outlineLevel="0" collapsed="false">
      <c r="A61" s="34" t="str">
        <f aca="false">IF(작품목록!A54="","",작품목록!A54)</f>
        <v/>
      </c>
      <c r="B61" s="27" t="str">
        <f aca="false">IF($A61="","",작품목록!B54&amp;"")</f>
        <v/>
      </c>
      <c r="C61" s="27" t="str">
        <f aca="false">IF($A61="","",작품목록!C54&amp;IF(작품목록!D54="","",IF(작품목록!D54=작품목록!C54," (2명)"," · "&amp;작품목록!D54)))</f>
        <v/>
      </c>
      <c r="D61" s="27" t="str">
        <f aca="false">IF($A61="","",작품목록!E54&amp;"")</f>
        <v/>
      </c>
      <c r="E61" s="28" t="str">
        <f aca="false">IF($A61="","",작품목록!G54&amp;"")</f>
        <v/>
      </c>
      <c r="F61" s="30" t="str">
        <f aca="false">IF(A61="","",IFERROR(IF(B61="상상",INDEX(심사_상상!$P$5:$P$104,MATCH($A61,심사_상상!$A$5:$A$104,0)),INDEX(심사_블록바이브!$S$5:$S$104,MATCH($A61,심사_블록바이브!$A$5:$A$104,0)))+0,0))</f>
        <v/>
      </c>
      <c r="G61" s="30" t="str">
        <f aca="false">IF(A61="","",IFERROR(IF(B61="상상",INDEX(심사_상상!$Q$5:$Q$104,MATCH($A61,심사_상상!$A$5:$A$104,0)),INDEX(심사_블록바이브!$T$5:$T$104,MATCH($A61,심사_블록바이브!$A$5:$A$104,0)))+0,0))</f>
        <v/>
      </c>
      <c r="H61" s="27" t="str">
        <f aca="false">IF(A61="","",IFERROR(INDEX('좋아요 수'!$J$6:$J$105,MATCH(A61,'좋아요 수'!$E$6:$E$105,0))+0,0))</f>
        <v/>
      </c>
      <c r="I61" s="27" t="str">
        <f aca="false">IF(A61="","",_xlfn.MAXIFS($H$11:$H$110,$B$11:$B$110,B61))</f>
        <v/>
      </c>
      <c r="J61" s="47" t="str">
        <f aca="false">IF(A61="","",IF(N(I61)=0,0,ROUND(H61/I61*50,1)))</f>
        <v/>
      </c>
      <c r="K61" s="29" t="str">
        <f aca="false">IF(A61="","",ROUND(F61+J61,2))</f>
        <v/>
      </c>
      <c r="L61" s="48" t="str">
        <f aca="false">IF(A61="","",K61+G61/10000)</f>
        <v/>
      </c>
      <c r="M61" s="34" t="str">
        <f aca="false">IF(A61="","",COUNTIFS($B$11:$B$110,B61,$L$11:$L$110,"&gt;"&amp;L61)+1)</f>
        <v/>
      </c>
      <c r="N61" s="27" t="str">
        <f aca="false">IF(A61="","",IFERROR(INDEX($D$5:$D$7,MATCH(B61,$A$5:$A$7,0)),0))</f>
        <v/>
      </c>
      <c r="O61" s="34" t="str">
        <f aca="false">IF(A61="","",IF(M61&gt;N61,"",IF(M61=1,"최우수",IF(M61&lt;=3,"우수","장려"))))</f>
        <v/>
      </c>
    </row>
    <row r="62" customFormat="false" ht="15" hidden="false" customHeight="false" outlineLevel="0" collapsed="false">
      <c r="A62" s="34" t="str">
        <f aca="false">IF(작품목록!A55="","",작품목록!A55)</f>
        <v/>
      </c>
      <c r="B62" s="27" t="str">
        <f aca="false">IF($A62="","",작품목록!B55&amp;"")</f>
        <v/>
      </c>
      <c r="C62" s="27" t="str">
        <f aca="false">IF($A62="","",작품목록!C55&amp;IF(작품목록!D55="","",IF(작품목록!D55=작품목록!C55," (2명)"," · "&amp;작품목록!D55)))</f>
        <v/>
      </c>
      <c r="D62" s="27" t="str">
        <f aca="false">IF($A62="","",작품목록!E55&amp;"")</f>
        <v/>
      </c>
      <c r="E62" s="28" t="str">
        <f aca="false">IF($A62="","",작품목록!G55&amp;"")</f>
        <v/>
      </c>
      <c r="F62" s="30" t="str">
        <f aca="false">IF(A62="","",IFERROR(IF(B62="상상",INDEX(심사_상상!$P$5:$P$104,MATCH($A62,심사_상상!$A$5:$A$104,0)),INDEX(심사_블록바이브!$S$5:$S$104,MATCH($A62,심사_블록바이브!$A$5:$A$104,0)))+0,0))</f>
        <v/>
      </c>
      <c r="G62" s="30" t="str">
        <f aca="false">IF(A62="","",IFERROR(IF(B62="상상",INDEX(심사_상상!$Q$5:$Q$104,MATCH($A62,심사_상상!$A$5:$A$104,0)),INDEX(심사_블록바이브!$T$5:$T$104,MATCH($A62,심사_블록바이브!$A$5:$A$104,0)))+0,0))</f>
        <v/>
      </c>
      <c r="H62" s="27" t="str">
        <f aca="false">IF(A62="","",IFERROR(INDEX('좋아요 수'!$J$6:$J$105,MATCH(A62,'좋아요 수'!$E$6:$E$105,0))+0,0))</f>
        <v/>
      </c>
      <c r="I62" s="27" t="str">
        <f aca="false">IF(A62="","",_xlfn.MAXIFS($H$11:$H$110,$B$11:$B$110,B62))</f>
        <v/>
      </c>
      <c r="J62" s="47" t="str">
        <f aca="false">IF(A62="","",IF(N(I62)=0,0,ROUND(H62/I62*50,1)))</f>
        <v/>
      </c>
      <c r="K62" s="29" t="str">
        <f aca="false">IF(A62="","",ROUND(F62+J62,2))</f>
        <v/>
      </c>
      <c r="L62" s="48" t="str">
        <f aca="false">IF(A62="","",K62+G62/10000)</f>
        <v/>
      </c>
      <c r="M62" s="34" t="str">
        <f aca="false">IF(A62="","",COUNTIFS($B$11:$B$110,B62,$L$11:$L$110,"&gt;"&amp;L62)+1)</f>
        <v/>
      </c>
      <c r="N62" s="27" t="str">
        <f aca="false">IF(A62="","",IFERROR(INDEX($D$5:$D$7,MATCH(B62,$A$5:$A$7,0)),0))</f>
        <v/>
      </c>
      <c r="O62" s="34" t="str">
        <f aca="false">IF(A62="","",IF(M62&gt;N62,"",IF(M62=1,"최우수",IF(M62&lt;=3,"우수","장려"))))</f>
        <v/>
      </c>
    </row>
    <row r="63" customFormat="false" ht="15" hidden="false" customHeight="false" outlineLevel="0" collapsed="false">
      <c r="A63" s="34" t="str">
        <f aca="false">IF(작품목록!A56="","",작품목록!A56)</f>
        <v/>
      </c>
      <c r="B63" s="27" t="str">
        <f aca="false">IF($A63="","",작품목록!B56&amp;"")</f>
        <v/>
      </c>
      <c r="C63" s="27" t="str">
        <f aca="false">IF($A63="","",작품목록!C56&amp;IF(작품목록!D56="","",IF(작품목록!D56=작품목록!C56," (2명)"," · "&amp;작품목록!D56)))</f>
        <v/>
      </c>
      <c r="D63" s="27" t="str">
        <f aca="false">IF($A63="","",작품목록!E56&amp;"")</f>
        <v/>
      </c>
      <c r="E63" s="28" t="str">
        <f aca="false">IF($A63="","",작품목록!G56&amp;"")</f>
        <v/>
      </c>
      <c r="F63" s="30" t="str">
        <f aca="false">IF(A63="","",IFERROR(IF(B63="상상",INDEX(심사_상상!$P$5:$P$104,MATCH($A63,심사_상상!$A$5:$A$104,0)),INDEX(심사_블록바이브!$S$5:$S$104,MATCH($A63,심사_블록바이브!$A$5:$A$104,0)))+0,0))</f>
        <v/>
      </c>
      <c r="G63" s="30" t="str">
        <f aca="false">IF(A63="","",IFERROR(IF(B63="상상",INDEX(심사_상상!$Q$5:$Q$104,MATCH($A63,심사_상상!$A$5:$A$104,0)),INDEX(심사_블록바이브!$T$5:$T$104,MATCH($A63,심사_블록바이브!$A$5:$A$104,0)))+0,0))</f>
        <v/>
      </c>
      <c r="H63" s="27" t="str">
        <f aca="false">IF(A63="","",IFERROR(INDEX('좋아요 수'!$J$6:$J$105,MATCH(A63,'좋아요 수'!$E$6:$E$105,0))+0,0))</f>
        <v/>
      </c>
      <c r="I63" s="27" t="str">
        <f aca="false">IF(A63="","",_xlfn.MAXIFS($H$11:$H$110,$B$11:$B$110,B63))</f>
        <v/>
      </c>
      <c r="J63" s="47" t="str">
        <f aca="false">IF(A63="","",IF(N(I63)=0,0,ROUND(H63/I63*50,1)))</f>
        <v/>
      </c>
      <c r="K63" s="29" t="str">
        <f aca="false">IF(A63="","",ROUND(F63+J63,2))</f>
        <v/>
      </c>
      <c r="L63" s="48" t="str">
        <f aca="false">IF(A63="","",K63+G63/10000)</f>
        <v/>
      </c>
      <c r="M63" s="34" t="str">
        <f aca="false">IF(A63="","",COUNTIFS($B$11:$B$110,B63,$L$11:$L$110,"&gt;"&amp;L63)+1)</f>
        <v/>
      </c>
      <c r="N63" s="27" t="str">
        <f aca="false">IF(A63="","",IFERROR(INDEX($D$5:$D$7,MATCH(B63,$A$5:$A$7,0)),0))</f>
        <v/>
      </c>
      <c r="O63" s="34" t="str">
        <f aca="false">IF(A63="","",IF(M63&gt;N63,"",IF(M63=1,"최우수",IF(M63&lt;=3,"우수","장려"))))</f>
        <v/>
      </c>
    </row>
    <row r="64" customFormat="false" ht="15" hidden="false" customHeight="false" outlineLevel="0" collapsed="false">
      <c r="A64" s="34" t="str">
        <f aca="false">IF(작품목록!A57="","",작품목록!A57)</f>
        <v/>
      </c>
      <c r="B64" s="27" t="str">
        <f aca="false">IF($A64="","",작품목록!B57&amp;"")</f>
        <v/>
      </c>
      <c r="C64" s="27" t="str">
        <f aca="false">IF($A64="","",작품목록!C57&amp;IF(작품목록!D57="","",IF(작품목록!D57=작품목록!C57," (2명)"," · "&amp;작품목록!D57)))</f>
        <v/>
      </c>
      <c r="D64" s="27" t="str">
        <f aca="false">IF($A64="","",작품목록!E57&amp;"")</f>
        <v/>
      </c>
      <c r="E64" s="28" t="str">
        <f aca="false">IF($A64="","",작품목록!G57&amp;"")</f>
        <v/>
      </c>
      <c r="F64" s="30" t="str">
        <f aca="false">IF(A64="","",IFERROR(IF(B64="상상",INDEX(심사_상상!$P$5:$P$104,MATCH($A64,심사_상상!$A$5:$A$104,0)),INDEX(심사_블록바이브!$S$5:$S$104,MATCH($A64,심사_블록바이브!$A$5:$A$104,0)))+0,0))</f>
        <v/>
      </c>
      <c r="G64" s="30" t="str">
        <f aca="false">IF(A64="","",IFERROR(IF(B64="상상",INDEX(심사_상상!$Q$5:$Q$104,MATCH($A64,심사_상상!$A$5:$A$104,0)),INDEX(심사_블록바이브!$T$5:$T$104,MATCH($A64,심사_블록바이브!$A$5:$A$104,0)))+0,0))</f>
        <v/>
      </c>
      <c r="H64" s="27" t="str">
        <f aca="false">IF(A64="","",IFERROR(INDEX('좋아요 수'!$J$6:$J$105,MATCH(A64,'좋아요 수'!$E$6:$E$105,0))+0,0))</f>
        <v/>
      </c>
      <c r="I64" s="27" t="str">
        <f aca="false">IF(A64="","",_xlfn.MAXIFS($H$11:$H$110,$B$11:$B$110,B64))</f>
        <v/>
      </c>
      <c r="J64" s="47" t="str">
        <f aca="false">IF(A64="","",IF(N(I64)=0,0,ROUND(H64/I64*50,1)))</f>
        <v/>
      </c>
      <c r="K64" s="29" t="str">
        <f aca="false">IF(A64="","",ROUND(F64+J64,2))</f>
        <v/>
      </c>
      <c r="L64" s="48" t="str">
        <f aca="false">IF(A64="","",K64+G64/10000)</f>
        <v/>
      </c>
      <c r="M64" s="34" t="str">
        <f aca="false">IF(A64="","",COUNTIFS($B$11:$B$110,B64,$L$11:$L$110,"&gt;"&amp;L64)+1)</f>
        <v/>
      </c>
      <c r="N64" s="27" t="str">
        <f aca="false">IF(A64="","",IFERROR(INDEX($D$5:$D$7,MATCH(B64,$A$5:$A$7,0)),0))</f>
        <v/>
      </c>
      <c r="O64" s="34" t="str">
        <f aca="false">IF(A64="","",IF(M64&gt;N64,"",IF(M64=1,"최우수",IF(M64&lt;=3,"우수","장려"))))</f>
        <v/>
      </c>
    </row>
    <row r="65" customFormat="false" ht="15" hidden="false" customHeight="false" outlineLevel="0" collapsed="false">
      <c r="A65" s="34" t="str">
        <f aca="false">IF(작품목록!A58="","",작품목록!A58)</f>
        <v/>
      </c>
      <c r="B65" s="27" t="str">
        <f aca="false">IF($A65="","",작품목록!B58&amp;"")</f>
        <v/>
      </c>
      <c r="C65" s="27" t="str">
        <f aca="false">IF($A65="","",작품목록!C58&amp;IF(작품목록!D58="","",IF(작품목록!D58=작품목록!C58," (2명)"," · "&amp;작품목록!D58)))</f>
        <v/>
      </c>
      <c r="D65" s="27" t="str">
        <f aca="false">IF($A65="","",작품목록!E58&amp;"")</f>
        <v/>
      </c>
      <c r="E65" s="28" t="str">
        <f aca="false">IF($A65="","",작품목록!G58&amp;"")</f>
        <v/>
      </c>
      <c r="F65" s="30" t="str">
        <f aca="false">IF(A65="","",IFERROR(IF(B65="상상",INDEX(심사_상상!$P$5:$P$104,MATCH($A65,심사_상상!$A$5:$A$104,0)),INDEX(심사_블록바이브!$S$5:$S$104,MATCH($A65,심사_블록바이브!$A$5:$A$104,0)))+0,0))</f>
        <v/>
      </c>
      <c r="G65" s="30" t="str">
        <f aca="false">IF(A65="","",IFERROR(IF(B65="상상",INDEX(심사_상상!$Q$5:$Q$104,MATCH($A65,심사_상상!$A$5:$A$104,0)),INDEX(심사_블록바이브!$T$5:$T$104,MATCH($A65,심사_블록바이브!$A$5:$A$104,0)))+0,0))</f>
        <v/>
      </c>
      <c r="H65" s="27" t="str">
        <f aca="false">IF(A65="","",IFERROR(INDEX('좋아요 수'!$J$6:$J$105,MATCH(A65,'좋아요 수'!$E$6:$E$105,0))+0,0))</f>
        <v/>
      </c>
      <c r="I65" s="27" t="str">
        <f aca="false">IF(A65="","",_xlfn.MAXIFS($H$11:$H$110,$B$11:$B$110,B65))</f>
        <v/>
      </c>
      <c r="J65" s="47" t="str">
        <f aca="false">IF(A65="","",IF(N(I65)=0,0,ROUND(H65/I65*50,1)))</f>
        <v/>
      </c>
      <c r="K65" s="29" t="str">
        <f aca="false">IF(A65="","",ROUND(F65+J65,2))</f>
        <v/>
      </c>
      <c r="L65" s="48" t="str">
        <f aca="false">IF(A65="","",K65+G65/10000)</f>
        <v/>
      </c>
      <c r="M65" s="34" t="str">
        <f aca="false">IF(A65="","",COUNTIFS($B$11:$B$110,B65,$L$11:$L$110,"&gt;"&amp;L65)+1)</f>
        <v/>
      </c>
      <c r="N65" s="27" t="str">
        <f aca="false">IF(A65="","",IFERROR(INDEX($D$5:$D$7,MATCH(B65,$A$5:$A$7,0)),0))</f>
        <v/>
      </c>
      <c r="O65" s="34" t="str">
        <f aca="false">IF(A65="","",IF(M65&gt;N65,"",IF(M65=1,"최우수",IF(M65&lt;=3,"우수","장려"))))</f>
        <v/>
      </c>
    </row>
    <row r="66" customFormat="false" ht="15" hidden="false" customHeight="false" outlineLevel="0" collapsed="false">
      <c r="A66" s="34" t="str">
        <f aca="false">IF(작품목록!A59="","",작품목록!A59)</f>
        <v/>
      </c>
      <c r="B66" s="27" t="str">
        <f aca="false">IF($A66="","",작품목록!B59&amp;"")</f>
        <v/>
      </c>
      <c r="C66" s="27" t="str">
        <f aca="false">IF($A66="","",작품목록!C59&amp;IF(작품목록!D59="","",IF(작품목록!D59=작품목록!C59," (2명)"," · "&amp;작품목록!D59)))</f>
        <v/>
      </c>
      <c r="D66" s="27" t="str">
        <f aca="false">IF($A66="","",작품목록!E59&amp;"")</f>
        <v/>
      </c>
      <c r="E66" s="28" t="str">
        <f aca="false">IF($A66="","",작품목록!G59&amp;"")</f>
        <v/>
      </c>
      <c r="F66" s="30" t="str">
        <f aca="false">IF(A66="","",IFERROR(IF(B66="상상",INDEX(심사_상상!$P$5:$P$104,MATCH($A66,심사_상상!$A$5:$A$104,0)),INDEX(심사_블록바이브!$S$5:$S$104,MATCH($A66,심사_블록바이브!$A$5:$A$104,0)))+0,0))</f>
        <v/>
      </c>
      <c r="G66" s="30" t="str">
        <f aca="false">IF(A66="","",IFERROR(IF(B66="상상",INDEX(심사_상상!$Q$5:$Q$104,MATCH($A66,심사_상상!$A$5:$A$104,0)),INDEX(심사_블록바이브!$T$5:$T$104,MATCH($A66,심사_블록바이브!$A$5:$A$104,0)))+0,0))</f>
        <v/>
      </c>
      <c r="H66" s="27" t="str">
        <f aca="false">IF(A66="","",IFERROR(INDEX('좋아요 수'!$J$6:$J$105,MATCH(A66,'좋아요 수'!$E$6:$E$105,0))+0,0))</f>
        <v/>
      </c>
      <c r="I66" s="27" t="str">
        <f aca="false">IF(A66="","",_xlfn.MAXIFS($H$11:$H$110,$B$11:$B$110,B66))</f>
        <v/>
      </c>
      <c r="J66" s="47" t="str">
        <f aca="false">IF(A66="","",IF(N(I66)=0,0,ROUND(H66/I66*50,1)))</f>
        <v/>
      </c>
      <c r="K66" s="29" t="str">
        <f aca="false">IF(A66="","",ROUND(F66+J66,2))</f>
        <v/>
      </c>
      <c r="L66" s="48" t="str">
        <f aca="false">IF(A66="","",K66+G66/10000)</f>
        <v/>
      </c>
      <c r="M66" s="34" t="str">
        <f aca="false">IF(A66="","",COUNTIFS($B$11:$B$110,B66,$L$11:$L$110,"&gt;"&amp;L66)+1)</f>
        <v/>
      </c>
      <c r="N66" s="27" t="str">
        <f aca="false">IF(A66="","",IFERROR(INDEX($D$5:$D$7,MATCH(B66,$A$5:$A$7,0)),0))</f>
        <v/>
      </c>
      <c r="O66" s="34" t="str">
        <f aca="false">IF(A66="","",IF(M66&gt;N66,"",IF(M66=1,"최우수",IF(M66&lt;=3,"우수","장려"))))</f>
        <v/>
      </c>
    </row>
    <row r="67" customFormat="false" ht="15" hidden="false" customHeight="false" outlineLevel="0" collapsed="false">
      <c r="A67" s="34" t="str">
        <f aca="false">IF(작품목록!A60="","",작품목록!A60)</f>
        <v/>
      </c>
      <c r="B67" s="27" t="str">
        <f aca="false">IF($A67="","",작품목록!B60&amp;"")</f>
        <v/>
      </c>
      <c r="C67" s="27" t="str">
        <f aca="false">IF($A67="","",작품목록!C60&amp;IF(작품목록!D60="","",IF(작품목록!D60=작품목록!C60," (2명)"," · "&amp;작품목록!D60)))</f>
        <v/>
      </c>
      <c r="D67" s="27" t="str">
        <f aca="false">IF($A67="","",작품목록!E60&amp;"")</f>
        <v/>
      </c>
      <c r="E67" s="28" t="str">
        <f aca="false">IF($A67="","",작품목록!G60&amp;"")</f>
        <v/>
      </c>
      <c r="F67" s="30" t="str">
        <f aca="false">IF(A67="","",IFERROR(IF(B67="상상",INDEX(심사_상상!$P$5:$P$104,MATCH($A67,심사_상상!$A$5:$A$104,0)),INDEX(심사_블록바이브!$S$5:$S$104,MATCH($A67,심사_블록바이브!$A$5:$A$104,0)))+0,0))</f>
        <v/>
      </c>
      <c r="G67" s="30" t="str">
        <f aca="false">IF(A67="","",IFERROR(IF(B67="상상",INDEX(심사_상상!$Q$5:$Q$104,MATCH($A67,심사_상상!$A$5:$A$104,0)),INDEX(심사_블록바이브!$T$5:$T$104,MATCH($A67,심사_블록바이브!$A$5:$A$104,0)))+0,0))</f>
        <v/>
      </c>
      <c r="H67" s="27" t="str">
        <f aca="false">IF(A67="","",IFERROR(INDEX('좋아요 수'!$J$6:$J$105,MATCH(A67,'좋아요 수'!$E$6:$E$105,0))+0,0))</f>
        <v/>
      </c>
      <c r="I67" s="27" t="str">
        <f aca="false">IF(A67="","",_xlfn.MAXIFS($H$11:$H$110,$B$11:$B$110,B67))</f>
        <v/>
      </c>
      <c r="J67" s="47" t="str">
        <f aca="false">IF(A67="","",IF(N(I67)=0,0,ROUND(H67/I67*50,1)))</f>
        <v/>
      </c>
      <c r="K67" s="29" t="str">
        <f aca="false">IF(A67="","",ROUND(F67+J67,2))</f>
        <v/>
      </c>
      <c r="L67" s="48" t="str">
        <f aca="false">IF(A67="","",K67+G67/10000)</f>
        <v/>
      </c>
      <c r="M67" s="34" t="str">
        <f aca="false">IF(A67="","",COUNTIFS($B$11:$B$110,B67,$L$11:$L$110,"&gt;"&amp;L67)+1)</f>
        <v/>
      </c>
      <c r="N67" s="27" t="str">
        <f aca="false">IF(A67="","",IFERROR(INDEX($D$5:$D$7,MATCH(B67,$A$5:$A$7,0)),0))</f>
        <v/>
      </c>
      <c r="O67" s="34" t="str">
        <f aca="false">IF(A67="","",IF(M67&gt;N67,"",IF(M67=1,"최우수",IF(M67&lt;=3,"우수","장려"))))</f>
        <v/>
      </c>
    </row>
    <row r="68" customFormat="false" ht="15" hidden="false" customHeight="false" outlineLevel="0" collapsed="false">
      <c r="A68" s="34" t="str">
        <f aca="false">IF(작품목록!A61="","",작품목록!A61)</f>
        <v/>
      </c>
      <c r="B68" s="27" t="str">
        <f aca="false">IF($A68="","",작품목록!B61&amp;"")</f>
        <v/>
      </c>
      <c r="C68" s="27" t="str">
        <f aca="false">IF($A68="","",작품목록!C61&amp;IF(작품목록!D61="","",IF(작품목록!D61=작품목록!C61," (2명)"," · "&amp;작품목록!D61)))</f>
        <v/>
      </c>
      <c r="D68" s="27" t="str">
        <f aca="false">IF($A68="","",작품목록!E61&amp;"")</f>
        <v/>
      </c>
      <c r="E68" s="28" t="str">
        <f aca="false">IF($A68="","",작품목록!G61&amp;"")</f>
        <v/>
      </c>
      <c r="F68" s="30" t="str">
        <f aca="false">IF(A68="","",IFERROR(IF(B68="상상",INDEX(심사_상상!$P$5:$P$104,MATCH($A68,심사_상상!$A$5:$A$104,0)),INDEX(심사_블록바이브!$S$5:$S$104,MATCH($A68,심사_블록바이브!$A$5:$A$104,0)))+0,0))</f>
        <v/>
      </c>
      <c r="G68" s="30" t="str">
        <f aca="false">IF(A68="","",IFERROR(IF(B68="상상",INDEX(심사_상상!$Q$5:$Q$104,MATCH($A68,심사_상상!$A$5:$A$104,0)),INDEX(심사_블록바이브!$T$5:$T$104,MATCH($A68,심사_블록바이브!$A$5:$A$104,0)))+0,0))</f>
        <v/>
      </c>
      <c r="H68" s="27" t="str">
        <f aca="false">IF(A68="","",IFERROR(INDEX('좋아요 수'!$J$6:$J$105,MATCH(A68,'좋아요 수'!$E$6:$E$105,0))+0,0))</f>
        <v/>
      </c>
      <c r="I68" s="27" t="str">
        <f aca="false">IF(A68="","",_xlfn.MAXIFS($H$11:$H$110,$B$11:$B$110,B68))</f>
        <v/>
      </c>
      <c r="J68" s="47" t="str">
        <f aca="false">IF(A68="","",IF(N(I68)=0,0,ROUND(H68/I68*50,1)))</f>
        <v/>
      </c>
      <c r="K68" s="29" t="str">
        <f aca="false">IF(A68="","",ROUND(F68+J68,2))</f>
        <v/>
      </c>
      <c r="L68" s="48" t="str">
        <f aca="false">IF(A68="","",K68+G68/10000)</f>
        <v/>
      </c>
      <c r="M68" s="34" t="str">
        <f aca="false">IF(A68="","",COUNTIFS($B$11:$B$110,B68,$L$11:$L$110,"&gt;"&amp;L68)+1)</f>
        <v/>
      </c>
      <c r="N68" s="27" t="str">
        <f aca="false">IF(A68="","",IFERROR(INDEX($D$5:$D$7,MATCH(B68,$A$5:$A$7,0)),0))</f>
        <v/>
      </c>
      <c r="O68" s="34" t="str">
        <f aca="false">IF(A68="","",IF(M68&gt;N68,"",IF(M68=1,"최우수",IF(M68&lt;=3,"우수","장려"))))</f>
        <v/>
      </c>
    </row>
    <row r="69" customFormat="false" ht="15" hidden="false" customHeight="false" outlineLevel="0" collapsed="false">
      <c r="A69" s="34" t="str">
        <f aca="false">IF(작품목록!A62="","",작품목록!A62)</f>
        <v/>
      </c>
      <c r="B69" s="27" t="str">
        <f aca="false">IF($A69="","",작품목록!B62&amp;"")</f>
        <v/>
      </c>
      <c r="C69" s="27" t="str">
        <f aca="false">IF($A69="","",작품목록!C62&amp;IF(작품목록!D62="","",IF(작품목록!D62=작품목록!C62," (2명)"," · "&amp;작품목록!D62)))</f>
        <v/>
      </c>
      <c r="D69" s="27" t="str">
        <f aca="false">IF($A69="","",작품목록!E62&amp;"")</f>
        <v/>
      </c>
      <c r="E69" s="28" t="str">
        <f aca="false">IF($A69="","",작품목록!G62&amp;"")</f>
        <v/>
      </c>
      <c r="F69" s="30" t="str">
        <f aca="false">IF(A69="","",IFERROR(IF(B69="상상",INDEX(심사_상상!$P$5:$P$104,MATCH($A69,심사_상상!$A$5:$A$104,0)),INDEX(심사_블록바이브!$S$5:$S$104,MATCH($A69,심사_블록바이브!$A$5:$A$104,0)))+0,0))</f>
        <v/>
      </c>
      <c r="G69" s="30" t="str">
        <f aca="false">IF(A69="","",IFERROR(IF(B69="상상",INDEX(심사_상상!$Q$5:$Q$104,MATCH($A69,심사_상상!$A$5:$A$104,0)),INDEX(심사_블록바이브!$T$5:$T$104,MATCH($A69,심사_블록바이브!$A$5:$A$104,0)))+0,0))</f>
        <v/>
      </c>
      <c r="H69" s="27" t="str">
        <f aca="false">IF(A69="","",IFERROR(INDEX('좋아요 수'!$J$6:$J$105,MATCH(A69,'좋아요 수'!$E$6:$E$105,0))+0,0))</f>
        <v/>
      </c>
      <c r="I69" s="27" t="str">
        <f aca="false">IF(A69="","",_xlfn.MAXIFS($H$11:$H$110,$B$11:$B$110,B69))</f>
        <v/>
      </c>
      <c r="J69" s="47" t="str">
        <f aca="false">IF(A69="","",IF(N(I69)=0,0,ROUND(H69/I69*50,1)))</f>
        <v/>
      </c>
      <c r="K69" s="29" t="str">
        <f aca="false">IF(A69="","",ROUND(F69+J69,2))</f>
        <v/>
      </c>
      <c r="L69" s="48" t="str">
        <f aca="false">IF(A69="","",K69+G69/10000)</f>
        <v/>
      </c>
      <c r="M69" s="34" t="str">
        <f aca="false">IF(A69="","",COUNTIFS($B$11:$B$110,B69,$L$11:$L$110,"&gt;"&amp;L69)+1)</f>
        <v/>
      </c>
      <c r="N69" s="27" t="str">
        <f aca="false">IF(A69="","",IFERROR(INDEX($D$5:$D$7,MATCH(B69,$A$5:$A$7,0)),0))</f>
        <v/>
      </c>
      <c r="O69" s="34" t="str">
        <f aca="false">IF(A69="","",IF(M69&gt;N69,"",IF(M69=1,"최우수",IF(M69&lt;=3,"우수","장려"))))</f>
        <v/>
      </c>
    </row>
    <row r="70" customFormat="false" ht="15" hidden="false" customHeight="false" outlineLevel="0" collapsed="false">
      <c r="A70" s="34" t="str">
        <f aca="false">IF(작품목록!A63="","",작품목록!A63)</f>
        <v/>
      </c>
      <c r="B70" s="27" t="str">
        <f aca="false">IF($A70="","",작품목록!B63&amp;"")</f>
        <v/>
      </c>
      <c r="C70" s="27" t="str">
        <f aca="false">IF($A70="","",작품목록!C63&amp;IF(작품목록!D63="","",IF(작품목록!D63=작품목록!C63," (2명)"," · "&amp;작품목록!D63)))</f>
        <v/>
      </c>
      <c r="D70" s="27" t="str">
        <f aca="false">IF($A70="","",작품목록!E63&amp;"")</f>
        <v/>
      </c>
      <c r="E70" s="28" t="str">
        <f aca="false">IF($A70="","",작품목록!G63&amp;"")</f>
        <v/>
      </c>
      <c r="F70" s="30" t="str">
        <f aca="false">IF(A70="","",IFERROR(IF(B70="상상",INDEX(심사_상상!$P$5:$P$104,MATCH($A70,심사_상상!$A$5:$A$104,0)),INDEX(심사_블록바이브!$S$5:$S$104,MATCH($A70,심사_블록바이브!$A$5:$A$104,0)))+0,0))</f>
        <v/>
      </c>
      <c r="G70" s="30" t="str">
        <f aca="false">IF(A70="","",IFERROR(IF(B70="상상",INDEX(심사_상상!$Q$5:$Q$104,MATCH($A70,심사_상상!$A$5:$A$104,0)),INDEX(심사_블록바이브!$T$5:$T$104,MATCH($A70,심사_블록바이브!$A$5:$A$104,0)))+0,0))</f>
        <v/>
      </c>
      <c r="H70" s="27" t="str">
        <f aca="false">IF(A70="","",IFERROR(INDEX('좋아요 수'!$J$6:$J$105,MATCH(A70,'좋아요 수'!$E$6:$E$105,0))+0,0))</f>
        <v/>
      </c>
      <c r="I70" s="27" t="str">
        <f aca="false">IF(A70="","",_xlfn.MAXIFS($H$11:$H$110,$B$11:$B$110,B70))</f>
        <v/>
      </c>
      <c r="J70" s="47" t="str">
        <f aca="false">IF(A70="","",IF(N(I70)=0,0,ROUND(H70/I70*50,1)))</f>
        <v/>
      </c>
      <c r="K70" s="29" t="str">
        <f aca="false">IF(A70="","",ROUND(F70+J70,2))</f>
        <v/>
      </c>
      <c r="L70" s="48" t="str">
        <f aca="false">IF(A70="","",K70+G70/10000)</f>
        <v/>
      </c>
      <c r="M70" s="34" t="str">
        <f aca="false">IF(A70="","",COUNTIFS($B$11:$B$110,B70,$L$11:$L$110,"&gt;"&amp;L70)+1)</f>
        <v/>
      </c>
      <c r="N70" s="27" t="str">
        <f aca="false">IF(A70="","",IFERROR(INDEX($D$5:$D$7,MATCH(B70,$A$5:$A$7,0)),0))</f>
        <v/>
      </c>
      <c r="O70" s="34" t="str">
        <f aca="false">IF(A70="","",IF(M70&gt;N70,"",IF(M70=1,"최우수",IF(M70&lt;=3,"우수","장려"))))</f>
        <v/>
      </c>
    </row>
    <row r="71" customFormat="false" ht="15" hidden="false" customHeight="false" outlineLevel="0" collapsed="false">
      <c r="A71" s="34" t="str">
        <f aca="false">IF(작품목록!A64="","",작품목록!A64)</f>
        <v/>
      </c>
      <c r="B71" s="27" t="str">
        <f aca="false">IF($A71="","",작품목록!B64&amp;"")</f>
        <v/>
      </c>
      <c r="C71" s="27" t="str">
        <f aca="false">IF($A71="","",작품목록!C64&amp;IF(작품목록!D64="","",IF(작품목록!D64=작품목록!C64," (2명)"," · "&amp;작품목록!D64)))</f>
        <v/>
      </c>
      <c r="D71" s="27" t="str">
        <f aca="false">IF($A71="","",작품목록!E64&amp;"")</f>
        <v/>
      </c>
      <c r="E71" s="28" t="str">
        <f aca="false">IF($A71="","",작품목록!G64&amp;"")</f>
        <v/>
      </c>
      <c r="F71" s="30" t="str">
        <f aca="false">IF(A71="","",IFERROR(IF(B71="상상",INDEX(심사_상상!$P$5:$P$104,MATCH($A71,심사_상상!$A$5:$A$104,0)),INDEX(심사_블록바이브!$S$5:$S$104,MATCH($A71,심사_블록바이브!$A$5:$A$104,0)))+0,0))</f>
        <v/>
      </c>
      <c r="G71" s="30" t="str">
        <f aca="false">IF(A71="","",IFERROR(IF(B71="상상",INDEX(심사_상상!$Q$5:$Q$104,MATCH($A71,심사_상상!$A$5:$A$104,0)),INDEX(심사_블록바이브!$T$5:$T$104,MATCH($A71,심사_블록바이브!$A$5:$A$104,0)))+0,0))</f>
        <v/>
      </c>
      <c r="H71" s="27" t="str">
        <f aca="false">IF(A71="","",IFERROR(INDEX('좋아요 수'!$J$6:$J$105,MATCH(A71,'좋아요 수'!$E$6:$E$105,0))+0,0))</f>
        <v/>
      </c>
      <c r="I71" s="27" t="str">
        <f aca="false">IF(A71="","",_xlfn.MAXIFS($H$11:$H$110,$B$11:$B$110,B71))</f>
        <v/>
      </c>
      <c r="J71" s="47" t="str">
        <f aca="false">IF(A71="","",IF(N(I71)=0,0,ROUND(H71/I71*50,1)))</f>
        <v/>
      </c>
      <c r="K71" s="29" t="str">
        <f aca="false">IF(A71="","",ROUND(F71+J71,2))</f>
        <v/>
      </c>
      <c r="L71" s="48" t="str">
        <f aca="false">IF(A71="","",K71+G71/10000)</f>
        <v/>
      </c>
      <c r="M71" s="34" t="str">
        <f aca="false">IF(A71="","",COUNTIFS($B$11:$B$110,B71,$L$11:$L$110,"&gt;"&amp;L71)+1)</f>
        <v/>
      </c>
      <c r="N71" s="27" t="str">
        <f aca="false">IF(A71="","",IFERROR(INDEX($D$5:$D$7,MATCH(B71,$A$5:$A$7,0)),0))</f>
        <v/>
      </c>
      <c r="O71" s="34" t="str">
        <f aca="false">IF(A71="","",IF(M71&gt;N71,"",IF(M71=1,"최우수",IF(M71&lt;=3,"우수","장려"))))</f>
        <v/>
      </c>
    </row>
    <row r="72" customFormat="false" ht="15" hidden="false" customHeight="false" outlineLevel="0" collapsed="false">
      <c r="A72" s="34" t="str">
        <f aca="false">IF(작품목록!A65="","",작품목록!A65)</f>
        <v/>
      </c>
      <c r="B72" s="27" t="str">
        <f aca="false">IF($A72="","",작품목록!B65&amp;"")</f>
        <v/>
      </c>
      <c r="C72" s="27" t="str">
        <f aca="false">IF($A72="","",작품목록!C65&amp;IF(작품목록!D65="","",IF(작품목록!D65=작품목록!C65," (2명)"," · "&amp;작품목록!D65)))</f>
        <v/>
      </c>
      <c r="D72" s="27" t="str">
        <f aca="false">IF($A72="","",작품목록!E65&amp;"")</f>
        <v/>
      </c>
      <c r="E72" s="28" t="str">
        <f aca="false">IF($A72="","",작품목록!G65&amp;"")</f>
        <v/>
      </c>
      <c r="F72" s="30" t="str">
        <f aca="false">IF(A72="","",IFERROR(IF(B72="상상",INDEX(심사_상상!$P$5:$P$104,MATCH($A72,심사_상상!$A$5:$A$104,0)),INDEX(심사_블록바이브!$S$5:$S$104,MATCH($A72,심사_블록바이브!$A$5:$A$104,0)))+0,0))</f>
        <v/>
      </c>
      <c r="G72" s="30" t="str">
        <f aca="false">IF(A72="","",IFERROR(IF(B72="상상",INDEX(심사_상상!$Q$5:$Q$104,MATCH($A72,심사_상상!$A$5:$A$104,0)),INDEX(심사_블록바이브!$T$5:$T$104,MATCH($A72,심사_블록바이브!$A$5:$A$104,0)))+0,0))</f>
        <v/>
      </c>
      <c r="H72" s="27" t="str">
        <f aca="false">IF(A72="","",IFERROR(INDEX('좋아요 수'!$J$6:$J$105,MATCH(A72,'좋아요 수'!$E$6:$E$105,0))+0,0))</f>
        <v/>
      </c>
      <c r="I72" s="27" t="str">
        <f aca="false">IF(A72="","",_xlfn.MAXIFS($H$11:$H$110,$B$11:$B$110,B72))</f>
        <v/>
      </c>
      <c r="J72" s="47" t="str">
        <f aca="false">IF(A72="","",IF(N(I72)=0,0,ROUND(H72/I72*50,1)))</f>
        <v/>
      </c>
      <c r="K72" s="29" t="str">
        <f aca="false">IF(A72="","",ROUND(F72+J72,2))</f>
        <v/>
      </c>
      <c r="L72" s="48" t="str">
        <f aca="false">IF(A72="","",K72+G72/10000)</f>
        <v/>
      </c>
      <c r="M72" s="34" t="str">
        <f aca="false">IF(A72="","",COUNTIFS($B$11:$B$110,B72,$L$11:$L$110,"&gt;"&amp;L72)+1)</f>
        <v/>
      </c>
      <c r="N72" s="27" t="str">
        <f aca="false">IF(A72="","",IFERROR(INDEX($D$5:$D$7,MATCH(B72,$A$5:$A$7,0)),0))</f>
        <v/>
      </c>
      <c r="O72" s="34" t="str">
        <f aca="false">IF(A72="","",IF(M72&gt;N72,"",IF(M72=1,"최우수",IF(M72&lt;=3,"우수","장려"))))</f>
        <v/>
      </c>
    </row>
    <row r="73" customFormat="false" ht="15" hidden="false" customHeight="false" outlineLevel="0" collapsed="false">
      <c r="A73" s="34" t="str">
        <f aca="false">IF(작품목록!A66="","",작품목록!A66)</f>
        <v/>
      </c>
      <c r="B73" s="27" t="str">
        <f aca="false">IF($A73="","",작품목록!B66&amp;"")</f>
        <v/>
      </c>
      <c r="C73" s="27" t="str">
        <f aca="false">IF($A73="","",작품목록!C66&amp;IF(작품목록!D66="","",IF(작품목록!D66=작품목록!C66," (2명)"," · "&amp;작품목록!D66)))</f>
        <v/>
      </c>
      <c r="D73" s="27" t="str">
        <f aca="false">IF($A73="","",작품목록!E66&amp;"")</f>
        <v/>
      </c>
      <c r="E73" s="28" t="str">
        <f aca="false">IF($A73="","",작품목록!G66&amp;"")</f>
        <v/>
      </c>
      <c r="F73" s="30" t="str">
        <f aca="false">IF(A73="","",IFERROR(IF(B73="상상",INDEX(심사_상상!$P$5:$P$104,MATCH($A73,심사_상상!$A$5:$A$104,0)),INDEX(심사_블록바이브!$S$5:$S$104,MATCH($A73,심사_블록바이브!$A$5:$A$104,0)))+0,0))</f>
        <v/>
      </c>
      <c r="G73" s="30" t="str">
        <f aca="false">IF(A73="","",IFERROR(IF(B73="상상",INDEX(심사_상상!$Q$5:$Q$104,MATCH($A73,심사_상상!$A$5:$A$104,0)),INDEX(심사_블록바이브!$T$5:$T$104,MATCH($A73,심사_블록바이브!$A$5:$A$104,0)))+0,0))</f>
        <v/>
      </c>
      <c r="H73" s="27" t="str">
        <f aca="false">IF(A73="","",IFERROR(INDEX('좋아요 수'!$J$6:$J$105,MATCH(A73,'좋아요 수'!$E$6:$E$105,0))+0,0))</f>
        <v/>
      </c>
      <c r="I73" s="27" t="str">
        <f aca="false">IF(A73="","",_xlfn.MAXIFS($H$11:$H$110,$B$11:$B$110,B73))</f>
        <v/>
      </c>
      <c r="J73" s="47" t="str">
        <f aca="false">IF(A73="","",IF(N(I73)=0,0,ROUND(H73/I73*50,1)))</f>
        <v/>
      </c>
      <c r="K73" s="29" t="str">
        <f aca="false">IF(A73="","",ROUND(F73+J73,2))</f>
        <v/>
      </c>
      <c r="L73" s="48" t="str">
        <f aca="false">IF(A73="","",K73+G73/10000)</f>
        <v/>
      </c>
      <c r="M73" s="34" t="str">
        <f aca="false">IF(A73="","",COUNTIFS($B$11:$B$110,B73,$L$11:$L$110,"&gt;"&amp;L73)+1)</f>
        <v/>
      </c>
      <c r="N73" s="27" t="str">
        <f aca="false">IF(A73="","",IFERROR(INDEX($D$5:$D$7,MATCH(B73,$A$5:$A$7,0)),0))</f>
        <v/>
      </c>
      <c r="O73" s="34" t="str">
        <f aca="false">IF(A73="","",IF(M73&gt;N73,"",IF(M73=1,"최우수",IF(M73&lt;=3,"우수","장려"))))</f>
        <v/>
      </c>
    </row>
    <row r="74" customFormat="false" ht="15" hidden="false" customHeight="false" outlineLevel="0" collapsed="false">
      <c r="A74" s="34" t="str">
        <f aca="false">IF(작품목록!A67="","",작품목록!A67)</f>
        <v/>
      </c>
      <c r="B74" s="27" t="str">
        <f aca="false">IF($A74="","",작품목록!B67&amp;"")</f>
        <v/>
      </c>
      <c r="C74" s="27" t="str">
        <f aca="false">IF($A74="","",작품목록!C67&amp;IF(작품목록!D67="","",IF(작품목록!D67=작품목록!C67," (2명)"," · "&amp;작품목록!D67)))</f>
        <v/>
      </c>
      <c r="D74" s="27" t="str">
        <f aca="false">IF($A74="","",작품목록!E67&amp;"")</f>
        <v/>
      </c>
      <c r="E74" s="28" t="str">
        <f aca="false">IF($A74="","",작품목록!G67&amp;"")</f>
        <v/>
      </c>
      <c r="F74" s="30" t="str">
        <f aca="false">IF(A74="","",IFERROR(IF(B74="상상",INDEX(심사_상상!$P$5:$P$104,MATCH($A74,심사_상상!$A$5:$A$104,0)),INDEX(심사_블록바이브!$S$5:$S$104,MATCH($A74,심사_블록바이브!$A$5:$A$104,0)))+0,0))</f>
        <v/>
      </c>
      <c r="G74" s="30" t="str">
        <f aca="false">IF(A74="","",IFERROR(IF(B74="상상",INDEX(심사_상상!$Q$5:$Q$104,MATCH($A74,심사_상상!$A$5:$A$104,0)),INDEX(심사_블록바이브!$T$5:$T$104,MATCH($A74,심사_블록바이브!$A$5:$A$104,0)))+0,0))</f>
        <v/>
      </c>
      <c r="H74" s="27" t="str">
        <f aca="false">IF(A74="","",IFERROR(INDEX('좋아요 수'!$J$6:$J$105,MATCH(A74,'좋아요 수'!$E$6:$E$105,0))+0,0))</f>
        <v/>
      </c>
      <c r="I74" s="27" t="str">
        <f aca="false">IF(A74="","",_xlfn.MAXIFS($H$11:$H$110,$B$11:$B$110,B74))</f>
        <v/>
      </c>
      <c r="J74" s="47" t="str">
        <f aca="false">IF(A74="","",IF(N(I74)=0,0,ROUND(H74/I74*50,1)))</f>
        <v/>
      </c>
      <c r="K74" s="29" t="str">
        <f aca="false">IF(A74="","",ROUND(F74+J74,2))</f>
        <v/>
      </c>
      <c r="L74" s="48" t="str">
        <f aca="false">IF(A74="","",K74+G74/10000)</f>
        <v/>
      </c>
      <c r="M74" s="34" t="str">
        <f aca="false">IF(A74="","",COUNTIFS($B$11:$B$110,B74,$L$11:$L$110,"&gt;"&amp;L74)+1)</f>
        <v/>
      </c>
      <c r="N74" s="27" t="str">
        <f aca="false">IF(A74="","",IFERROR(INDEX($D$5:$D$7,MATCH(B74,$A$5:$A$7,0)),0))</f>
        <v/>
      </c>
      <c r="O74" s="34" t="str">
        <f aca="false">IF(A74="","",IF(M74&gt;N74,"",IF(M74=1,"최우수",IF(M74&lt;=3,"우수","장려"))))</f>
        <v/>
      </c>
    </row>
    <row r="75" customFormat="false" ht="15" hidden="false" customHeight="false" outlineLevel="0" collapsed="false">
      <c r="A75" s="34" t="str">
        <f aca="false">IF(작품목록!A68="","",작품목록!A68)</f>
        <v/>
      </c>
      <c r="B75" s="27" t="str">
        <f aca="false">IF($A75="","",작품목록!B68&amp;"")</f>
        <v/>
      </c>
      <c r="C75" s="27" t="str">
        <f aca="false">IF($A75="","",작품목록!C68&amp;IF(작품목록!D68="","",IF(작품목록!D68=작품목록!C68," (2명)"," · "&amp;작품목록!D68)))</f>
        <v/>
      </c>
      <c r="D75" s="27" t="str">
        <f aca="false">IF($A75="","",작품목록!E68&amp;"")</f>
        <v/>
      </c>
      <c r="E75" s="28" t="str">
        <f aca="false">IF($A75="","",작품목록!G68&amp;"")</f>
        <v/>
      </c>
      <c r="F75" s="30" t="str">
        <f aca="false">IF(A75="","",IFERROR(IF(B75="상상",INDEX(심사_상상!$P$5:$P$104,MATCH($A75,심사_상상!$A$5:$A$104,0)),INDEX(심사_블록바이브!$S$5:$S$104,MATCH($A75,심사_블록바이브!$A$5:$A$104,0)))+0,0))</f>
        <v/>
      </c>
      <c r="G75" s="30" t="str">
        <f aca="false">IF(A75="","",IFERROR(IF(B75="상상",INDEX(심사_상상!$Q$5:$Q$104,MATCH($A75,심사_상상!$A$5:$A$104,0)),INDEX(심사_블록바이브!$T$5:$T$104,MATCH($A75,심사_블록바이브!$A$5:$A$104,0)))+0,0))</f>
        <v/>
      </c>
      <c r="H75" s="27" t="str">
        <f aca="false">IF(A75="","",IFERROR(INDEX('좋아요 수'!$J$6:$J$105,MATCH(A75,'좋아요 수'!$E$6:$E$105,0))+0,0))</f>
        <v/>
      </c>
      <c r="I75" s="27" t="str">
        <f aca="false">IF(A75="","",_xlfn.MAXIFS($H$11:$H$110,$B$11:$B$110,B75))</f>
        <v/>
      </c>
      <c r="J75" s="47" t="str">
        <f aca="false">IF(A75="","",IF(N(I75)=0,0,ROUND(H75/I75*50,1)))</f>
        <v/>
      </c>
      <c r="K75" s="29" t="str">
        <f aca="false">IF(A75="","",ROUND(F75+J75,2))</f>
        <v/>
      </c>
      <c r="L75" s="48" t="str">
        <f aca="false">IF(A75="","",K75+G75/10000)</f>
        <v/>
      </c>
      <c r="M75" s="34" t="str">
        <f aca="false">IF(A75="","",COUNTIFS($B$11:$B$110,B75,$L$11:$L$110,"&gt;"&amp;L75)+1)</f>
        <v/>
      </c>
      <c r="N75" s="27" t="str">
        <f aca="false">IF(A75="","",IFERROR(INDEX($D$5:$D$7,MATCH(B75,$A$5:$A$7,0)),0))</f>
        <v/>
      </c>
      <c r="O75" s="34" t="str">
        <f aca="false">IF(A75="","",IF(M75&gt;N75,"",IF(M75=1,"최우수",IF(M75&lt;=3,"우수","장려"))))</f>
        <v/>
      </c>
    </row>
    <row r="76" customFormat="false" ht="15" hidden="false" customHeight="false" outlineLevel="0" collapsed="false">
      <c r="A76" s="34" t="str">
        <f aca="false">IF(작품목록!A69="","",작품목록!A69)</f>
        <v/>
      </c>
      <c r="B76" s="27" t="str">
        <f aca="false">IF($A76="","",작품목록!B69&amp;"")</f>
        <v/>
      </c>
      <c r="C76" s="27" t="str">
        <f aca="false">IF($A76="","",작품목록!C69&amp;IF(작품목록!D69="","",IF(작품목록!D69=작품목록!C69," (2명)"," · "&amp;작품목록!D69)))</f>
        <v/>
      </c>
      <c r="D76" s="27" t="str">
        <f aca="false">IF($A76="","",작품목록!E69&amp;"")</f>
        <v/>
      </c>
      <c r="E76" s="28" t="str">
        <f aca="false">IF($A76="","",작품목록!G69&amp;"")</f>
        <v/>
      </c>
      <c r="F76" s="30" t="str">
        <f aca="false">IF(A76="","",IFERROR(IF(B76="상상",INDEX(심사_상상!$P$5:$P$104,MATCH($A76,심사_상상!$A$5:$A$104,0)),INDEX(심사_블록바이브!$S$5:$S$104,MATCH($A76,심사_블록바이브!$A$5:$A$104,0)))+0,0))</f>
        <v/>
      </c>
      <c r="G76" s="30" t="str">
        <f aca="false">IF(A76="","",IFERROR(IF(B76="상상",INDEX(심사_상상!$Q$5:$Q$104,MATCH($A76,심사_상상!$A$5:$A$104,0)),INDEX(심사_블록바이브!$T$5:$T$104,MATCH($A76,심사_블록바이브!$A$5:$A$104,0)))+0,0))</f>
        <v/>
      </c>
      <c r="H76" s="27" t="str">
        <f aca="false">IF(A76="","",IFERROR(INDEX('좋아요 수'!$J$6:$J$105,MATCH(A76,'좋아요 수'!$E$6:$E$105,0))+0,0))</f>
        <v/>
      </c>
      <c r="I76" s="27" t="str">
        <f aca="false">IF(A76="","",_xlfn.MAXIFS($H$11:$H$110,$B$11:$B$110,B76))</f>
        <v/>
      </c>
      <c r="J76" s="47" t="str">
        <f aca="false">IF(A76="","",IF(N(I76)=0,0,ROUND(H76/I76*50,1)))</f>
        <v/>
      </c>
      <c r="K76" s="29" t="str">
        <f aca="false">IF(A76="","",ROUND(F76+J76,2))</f>
        <v/>
      </c>
      <c r="L76" s="48" t="str">
        <f aca="false">IF(A76="","",K76+G76/10000)</f>
        <v/>
      </c>
      <c r="M76" s="34" t="str">
        <f aca="false">IF(A76="","",COUNTIFS($B$11:$B$110,B76,$L$11:$L$110,"&gt;"&amp;L76)+1)</f>
        <v/>
      </c>
      <c r="N76" s="27" t="str">
        <f aca="false">IF(A76="","",IFERROR(INDEX($D$5:$D$7,MATCH(B76,$A$5:$A$7,0)),0))</f>
        <v/>
      </c>
      <c r="O76" s="34" t="str">
        <f aca="false">IF(A76="","",IF(M76&gt;N76,"",IF(M76=1,"최우수",IF(M76&lt;=3,"우수","장려"))))</f>
        <v/>
      </c>
    </row>
    <row r="77" customFormat="false" ht="15" hidden="false" customHeight="false" outlineLevel="0" collapsed="false">
      <c r="A77" s="34" t="str">
        <f aca="false">IF(작품목록!A70="","",작품목록!A70)</f>
        <v/>
      </c>
      <c r="B77" s="27" t="str">
        <f aca="false">IF($A77="","",작품목록!B70&amp;"")</f>
        <v/>
      </c>
      <c r="C77" s="27" t="str">
        <f aca="false">IF($A77="","",작품목록!C70&amp;IF(작품목록!D70="","",IF(작품목록!D70=작품목록!C70," (2명)"," · "&amp;작품목록!D70)))</f>
        <v/>
      </c>
      <c r="D77" s="27" t="str">
        <f aca="false">IF($A77="","",작품목록!E70&amp;"")</f>
        <v/>
      </c>
      <c r="E77" s="28" t="str">
        <f aca="false">IF($A77="","",작품목록!G70&amp;"")</f>
        <v/>
      </c>
      <c r="F77" s="30" t="str">
        <f aca="false">IF(A77="","",IFERROR(IF(B77="상상",INDEX(심사_상상!$P$5:$P$104,MATCH($A77,심사_상상!$A$5:$A$104,0)),INDEX(심사_블록바이브!$S$5:$S$104,MATCH($A77,심사_블록바이브!$A$5:$A$104,0)))+0,0))</f>
        <v/>
      </c>
      <c r="G77" s="30" t="str">
        <f aca="false">IF(A77="","",IFERROR(IF(B77="상상",INDEX(심사_상상!$Q$5:$Q$104,MATCH($A77,심사_상상!$A$5:$A$104,0)),INDEX(심사_블록바이브!$T$5:$T$104,MATCH($A77,심사_블록바이브!$A$5:$A$104,0)))+0,0))</f>
        <v/>
      </c>
      <c r="H77" s="27" t="str">
        <f aca="false">IF(A77="","",IFERROR(INDEX('좋아요 수'!$J$6:$J$105,MATCH(A77,'좋아요 수'!$E$6:$E$105,0))+0,0))</f>
        <v/>
      </c>
      <c r="I77" s="27" t="str">
        <f aca="false">IF(A77="","",_xlfn.MAXIFS($H$11:$H$110,$B$11:$B$110,B77))</f>
        <v/>
      </c>
      <c r="J77" s="47" t="str">
        <f aca="false">IF(A77="","",IF(N(I77)=0,0,ROUND(H77/I77*50,1)))</f>
        <v/>
      </c>
      <c r="K77" s="29" t="str">
        <f aca="false">IF(A77="","",ROUND(F77+J77,2))</f>
        <v/>
      </c>
      <c r="L77" s="48" t="str">
        <f aca="false">IF(A77="","",K77+G77/10000)</f>
        <v/>
      </c>
      <c r="M77" s="34" t="str">
        <f aca="false">IF(A77="","",COUNTIFS($B$11:$B$110,B77,$L$11:$L$110,"&gt;"&amp;L77)+1)</f>
        <v/>
      </c>
      <c r="N77" s="27" t="str">
        <f aca="false">IF(A77="","",IFERROR(INDEX($D$5:$D$7,MATCH(B77,$A$5:$A$7,0)),0))</f>
        <v/>
      </c>
      <c r="O77" s="34" t="str">
        <f aca="false">IF(A77="","",IF(M77&gt;N77,"",IF(M77=1,"최우수",IF(M77&lt;=3,"우수","장려"))))</f>
        <v/>
      </c>
    </row>
    <row r="78" customFormat="false" ht="15" hidden="false" customHeight="false" outlineLevel="0" collapsed="false">
      <c r="A78" s="34" t="str">
        <f aca="false">IF(작품목록!A71="","",작품목록!A71)</f>
        <v/>
      </c>
      <c r="B78" s="27" t="str">
        <f aca="false">IF($A78="","",작품목록!B71&amp;"")</f>
        <v/>
      </c>
      <c r="C78" s="27" t="str">
        <f aca="false">IF($A78="","",작품목록!C71&amp;IF(작품목록!D71="","",IF(작품목록!D71=작품목록!C71," (2명)"," · "&amp;작품목록!D71)))</f>
        <v/>
      </c>
      <c r="D78" s="27" t="str">
        <f aca="false">IF($A78="","",작품목록!E71&amp;"")</f>
        <v/>
      </c>
      <c r="E78" s="28" t="str">
        <f aca="false">IF($A78="","",작품목록!G71&amp;"")</f>
        <v/>
      </c>
      <c r="F78" s="30" t="str">
        <f aca="false">IF(A78="","",IFERROR(IF(B78="상상",INDEX(심사_상상!$P$5:$P$104,MATCH($A78,심사_상상!$A$5:$A$104,0)),INDEX(심사_블록바이브!$S$5:$S$104,MATCH($A78,심사_블록바이브!$A$5:$A$104,0)))+0,0))</f>
        <v/>
      </c>
      <c r="G78" s="30" t="str">
        <f aca="false">IF(A78="","",IFERROR(IF(B78="상상",INDEX(심사_상상!$Q$5:$Q$104,MATCH($A78,심사_상상!$A$5:$A$104,0)),INDEX(심사_블록바이브!$T$5:$T$104,MATCH($A78,심사_블록바이브!$A$5:$A$104,0)))+0,0))</f>
        <v/>
      </c>
      <c r="H78" s="27" t="str">
        <f aca="false">IF(A78="","",IFERROR(INDEX('좋아요 수'!$J$6:$J$105,MATCH(A78,'좋아요 수'!$E$6:$E$105,0))+0,0))</f>
        <v/>
      </c>
      <c r="I78" s="27" t="str">
        <f aca="false">IF(A78="","",_xlfn.MAXIFS($H$11:$H$110,$B$11:$B$110,B78))</f>
        <v/>
      </c>
      <c r="J78" s="47" t="str">
        <f aca="false">IF(A78="","",IF(N(I78)=0,0,ROUND(H78/I78*50,1)))</f>
        <v/>
      </c>
      <c r="K78" s="29" t="str">
        <f aca="false">IF(A78="","",ROUND(F78+J78,2))</f>
        <v/>
      </c>
      <c r="L78" s="48" t="str">
        <f aca="false">IF(A78="","",K78+G78/10000)</f>
        <v/>
      </c>
      <c r="M78" s="34" t="str">
        <f aca="false">IF(A78="","",COUNTIFS($B$11:$B$110,B78,$L$11:$L$110,"&gt;"&amp;L78)+1)</f>
        <v/>
      </c>
      <c r="N78" s="27" t="str">
        <f aca="false">IF(A78="","",IFERROR(INDEX($D$5:$D$7,MATCH(B78,$A$5:$A$7,0)),0))</f>
        <v/>
      </c>
      <c r="O78" s="34" t="str">
        <f aca="false">IF(A78="","",IF(M78&gt;N78,"",IF(M78=1,"최우수",IF(M78&lt;=3,"우수","장려"))))</f>
        <v/>
      </c>
    </row>
    <row r="79" customFormat="false" ht="15" hidden="false" customHeight="false" outlineLevel="0" collapsed="false">
      <c r="A79" s="34" t="str">
        <f aca="false">IF(작품목록!A72="","",작품목록!A72)</f>
        <v/>
      </c>
      <c r="B79" s="27" t="str">
        <f aca="false">IF($A79="","",작품목록!B72&amp;"")</f>
        <v/>
      </c>
      <c r="C79" s="27" t="str">
        <f aca="false">IF($A79="","",작품목록!C72&amp;IF(작품목록!D72="","",IF(작품목록!D72=작품목록!C72," (2명)"," · "&amp;작품목록!D72)))</f>
        <v/>
      </c>
      <c r="D79" s="27" t="str">
        <f aca="false">IF($A79="","",작품목록!E72&amp;"")</f>
        <v/>
      </c>
      <c r="E79" s="28" t="str">
        <f aca="false">IF($A79="","",작품목록!G72&amp;"")</f>
        <v/>
      </c>
      <c r="F79" s="30" t="str">
        <f aca="false">IF(A79="","",IFERROR(IF(B79="상상",INDEX(심사_상상!$P$5:$P$104,MATCH($A79,심사_상상!$A$5:$A$104,0)),INDEX(심사_블록바이브!$S$5:$S$104,MATCH($A79,심사_블록바이브!$A$5:$A$104,0)))+0,0))</f>
        <v/>
      </c>
      <c r="G79" s="30" t="str">
        <f aca="false">IF(A79="","",IFERROR(IF(B79="상상",INDEX(심사_상상!$Q$5:$Q$104,MATCH($A79,심사_상상!$A$5:$A$104,0)),INDEX(심사_블록바이브!$T$5:$T$104,MATCH($A79,심사_블록바이브!$A$5:$A$104,0)))+0,0))</f>
        <v/>
      </c>
      <c r="H79" s="27" t="str">
        <f aca="false">IF(A79="","",IFERROR(INDEX('좋아요 수'!$J$6:$J$105,MATCH(A79,'좋아요 수'!$E$6:$E$105,0))+0,0))</f>
        <v/>
      </c>
      <c r="I79" s="27" t="str">
        <f aca="false">IF(A79="","",_xlfn.MAXIFS($H$11:$H$110,$B$11:$B$110,B79))</f>
        <v/>
      </c>
      <c r="J79" s="47" t="str">
        <f aca="false">IF(A79="","",IF(N(I79)=0,0,ROUND(H79/I79*50,1)))</f>
        <v/>
      </c>
      <c r="K79" s="29" t="str">
        <f aca="false">IF(A79="","",ROUND(F79+J79,2))</f>
        <v/>
      </c>
      <c r="L79" s="48" t="str">
        <f aca="false">IF(A79="","",K79+G79/10000)</f>
        <v/>
      </c>
      <c r="M79" s="34" t="str">
        <f aca="false">IF(A79="","",COUNTIFS($B$11:$B$110,B79,$L$11:$L$110,"&gt;"&amp;L79)+1)</f>
        <v/>
      </c>
      <c r="N79" s="27" t="str">
        <f aca="false">IF(A79="","",IFERROR(INDEX($D$5:$D$7,MATCH(B79,$A$5:$A$7,0)),0))</f>
        <v/>
      </c>
      <c r="O79" s="34" t="str">
        <f aca="false">IF(A79="","",IF(M79&gt;N79,"",IF(M79=1,"최우수",IF(M79&lt;=3,"우수","장려"))))</f>
        <v/>
      </c>
    </row>
    <row r="80" customFormat="false" ht="15" hidden="false" customHeight="false" outlineLevel="0" collapsed="false">
      <c r="A80" s="34" t="str">
        <f aca="false">IF(작품목록!A73="","",작품목록!A73)</f>
        <v/>
      </c>
      <c r="B80" s="27" t="str">
        <f aca="false">IF($A80="","",작품목록!B73&amp;"")</f>
        <v/>
      </c>
      <c r="C80" s="27" t="str">
        <f aca="false">IF($A80="","",작품목록!C73&amp;IF(작품목록!D73="","",IF(작품목록!D73=작품목록!C73," (2명)"," · "&amp;작품목록!D73)))</f>
        <v/>
      </c>
      <c r="D80" s="27" t="str">
        <f aca="false">IF($A80="","",작품목록!E73&amp;"")</f>
        <v/>
      </c>
      <c r="E80" s="28" t="str">
        <f aca="false">IF($A80="","",작품목록!G73&amp;"")</f>
        <v/>
      </c>
      <c r="F80" s="30" t="str">
        <f aca="false">IF(A80="","",IFERROR(IF(B80="상상",INDEX(심사_상상!$P$5:$P$104,MATCH($A80,심사_상상!$A$5:$A$104,0)),INDEX(심사_블록바이브!$S$5:$S$104,MATCH($A80,심사_블록바이브!$A$5:$A$104,0)))+0,0))</f>
        <v/>
      </c>
      <c r="G80" s="30" t="str">
        <f aca="false">IF(A80="","",IFERROR(IF(B80="상상",INDEX(심사_상상!$Q$5:$Q$104,MATCH($A80,심사_상상!$A$5:$A$104,0)),INDEX(심사_블록바이브!$T$5:$T$104,MATCH($A80,심사_블록바이브!$A$5:$A$104,0)))+0,0))</f>
        <v/>
      </c>
      <c r="H80" s="27" t="str">
        <f aca="false">IF(A80="","",IFERROR(INDEX('좋아요 수'!$J$6:$J$105,MATCH(A80,'좋아요 수'!$E$6:$E$105,0))+0,0))</f>
        <v/>
      </c>
      <c r="I80" s="27" t="str">
        <f aca="false">IF(A80="","",_xlfn.MAXIFS($H$11:$H$110,$B$11:$B$110,B80))</f>
        <v/>
      </c>
      <c r="J80" s="47" t="str">
        <f aca="false">IF(A80="","",IF(N(I80)=0,0,ROUND(H80/I80*50,1)))</f>
        <v/>
      </c>
      <c r="K80" s="29" t="str">
        <f aca="false">IF(A80="","",ROUND(F80+J80,2))</f>
        <v/>
      </c>
      <c r="L80" s="48" t="str">
        <f aca="false">IF(A80="","",K80+G80/10000)</f>
        <v/>
      </c>
      <c r="M80" s="34" t="str">
        <f aca="false">IF(A80="","",COUNTIFS($B$11:$B$110,B80,$L$11:$L$110,"&gt;"&amp;L80)+1)</f>
        <v/>
      </c>
      <c r="N80" s="27" t="str">
        <f aca="false">IF(A80="","",IFERROR(INDEX($D$5:$D$7,MATCH(B80,$A$5:$A$7,0)),0))</f>
        <v/>
      </c>
      <c r="O80" s="34" t="str">
        <f aca="false">IF(A80="","",IF(M80&gt;N80,"",IF(M80=1,"최우수",IF(M80&lt;=3,"우수","장려"))))</f>
        <v/>
      </c>
    </row>
    <row r="81" customFormat="false" ht="15" hidden="false" customHeight="false" outlineLevel="0" collapsed="false">
      <c r="A81" s="34" t="str">
        <f aca="false">IF(작품목록!A74="","",작품목록!A74)</f>
        <v/>
      </c>
      <c r="B81" s="27" t="str">
        <f aca="false">IF($A81="","",작품목록!B74&amp;"")</f>
        <v/>
      </c>
      <c r="C81" s="27" t="str">
        <f aca="false">IF($A81="","",작품목록!C74&amp;IF(작품목록!D74="","",IF(작품목록!D74=작품목록!C74," (2명)"," · "&amp;작품목록!D74)))</f>
        <v/>
      </c>
      <c r="D81" s="27" t="str">
        <f aca="false">IF($A81="","",작품목록!E74&amp;"")</f>
        <v/>
      </c>
      <c r="E81" s="28" t="str">
        <f aca="false">IF($A81="","",작품목록!G74&amp;"")</f>
        <v/>
      </c>
      <c r="F81" s="30" t="str">
        <f aca="false">IF(A81="","",IFERROR(IF(B81="상상",INDEX(심사_상상!$P$5:$P$104,MATCH($A81,심사_상상!$A$5:$A$104,0)),INDEX(심사_블록바이브!$S$5:$S$104,MATCH($A81,심사_블록바이브!$A$5:$A$104,0)))+0,0))</f>
        <v/>
      </c>
      <c r="G81" s="30" t="str">
        <f aca="false">IF(A81="","",IFERROR(IF(B81="상상",INDEX(심사_상상!$Q$5:$Q$104,MATCH($A81,심사_상상!$A$5:$A$104,0)),INDEX(심사_블록바이브!$T$5:$T$104,MATCH($A81,심사_블록바이브!$A$5:$A$104,0)))+0,0))</f>
        <v/>
      </c>
      <c r="H81" s="27" t="str">
        <f aca="false">IF(A81="","",IFERROR(INDEX('좋아요 수'!$J$6:$J$105,MATCH(A81,'좋아요 수'!$E$6:$E$105,0))+0,0))</f>
        <v/>
      </c>
      <c r="I81" s="27" t="str">
        <f aca="false">IF(A81="","",_xlfn.MAXIFS($H$11:$H$110,$B$11:$B$110,B81))</f>
        <v/>
      </c>
      <c r="J81" s="47" t="str">
        <f aca="false">IF(A81="","",IF(N(I81)=0,0,ROUND(H81/I81*50,1)))</f>
        <v/>
      </c>
      <c r="K81" s="29" t="str">
        <f aca="false">IF(A81="","",ROUND(F81+J81,2))</f>
        <v/>
      </c>
      <c r="L81" s="48" t="str">
        <f aca="false">IF(A81="","",K81+G81/10000)</f>
        <v/>
      </c>
      <c r="M81" s="34" t="str">
        <f aca="false">IF(A81="","",COUNTIFS($B$11:$B$110,B81,$L$11:$L$110,"&gt;"&amp;L81)+1)</f>
        <v/>
      </c>
      <c r="N81" s="27" t="str">
        <f aca="false">IF(A81="","",IFERROR(INDEX($D$5:$D$7,MATCH(B81,$A$5:$A$7,0)),0))</f>
        <v/>
      </c>
      <c r="O81" s="34" t="str">
        <f aca="false">IF(A81="","",IF(M81&gt;N81,"",IF(M81=1,"최우수",IF(M81&lt;=3,"우수","장려"))))</f>
        <v/>
      </c>
    </row>
    <row r="82" customFormat="false" ht="15" hidden="false" customHeight="false" outlineLevel="0" collapsed="false">
      <c r="A82" s="34" t="str">
        <f aca="false">IF(작품목록!A75="","",작품목록!A75)</f>
        <v/>
      </c>
      <c r="B82" s="27" t="str">
        <f aca="false">IF($A82="","",작품목록!B75&amp;"")</f>
        <v/>
      </c>
      <c r="C82" s="27" t="str">
        <f aca="false">IF($A82="","",작품목록!C75&amp;IF(작품목록!D75="","",IF(작품목록!D75=작품목록!C75," (2명)"," · "&amp;작품목록!D75)))</f>
        <v/>
      </c>
      <c r="D82" s="27" t="str">
        <f aca="false">IF($A82="","",작품목록!E75&amp;"")</f>
        <v/>
      </c>
      <c r="E82" s="28" t="str">
        <f aca="false">IF($A82="","",작품목록!G75&amp;"")</f>
        <v/>
      </c>
      <c r="F82" s="30" t="str">
        <f aca="false">IF(A82="","",IFERROR(IF(B82="상상",INDEX(심사_상상!$P$5:$P$104,MATCH($A82,심사_상상!$A$5:$A$104,0)),INDEX(심사_블록바이브!$S$5:$S$104,MATCH($A82,심사_블록바이브!$A$5:$A$104,0)))+0,0))</f>
        <v/>
      </c>
      <c r="G82" s="30" t="str">
        <f aca="false">IF(A82="","",IFERROR(IF(B82="상상",INDEX(심사_상상!$Q$5:$Q$104,MATCH($A82,심사_상상!$A$5:$A$104,0)),INDEX(심사_블록바이브!$T$5:$T$104,MATCH($A82,심사_블록바이브!$A$5:$A$104,0)))+0,0))</f>
        <v/>
      </c>
      <c r="H82" s="27" t="str">
        <f aca="false">IF(A82="","",IFERROR(INDEX('좋아요 수'!$J$6:$J$105,MATCH(A82,'좋아요 수'!$E$6:$E$105,0))+0,0))</f>
        <v/>
      </c>
      <c r="I82" s="27" t="str">
        <f aca="false">IF(A82="","",_xlfn.MAXIFS($H$11:$H$110,$B$11:$B$110,B82))</f>
        <v/>
      </c>
      <c r="J82" s="47" t="str">
        <f aca="false">IF(A82="","",IF(N(I82)=0,0,ROUND(H82/I82*50,1)))</f>
        <v/>
      </c>
      <c r="K82" s="29" t="str">
        <f aca="false">IF(A82="","",ROUND(F82+J82,2))</f>
        <v/>
      </c>
      <c r="L82" s="48" t="str">
        <f aca="false">IF(A82="","",K82+G82/10000)</f>
        <v/>
      </c>
      <c r="M82" s="34" t="str">
        <f aca="false">IF(A82="","",COUNTIFS($B$11:$B$110,B82,$L$11:$L$110,"&gt;"&amp;L82)+1)</f>
        <v/>
      </c>
      <c r="N82" s="27" t="str">
        <f aca="false">IF(A82="","",IFERROR(INDEX($D$5:$D$7,MATCH(B82,$A$5:$A$7,0)),0))</f>
        <v/>
      </c>
      <c r="O82" s="34" t="str">
        <f aca="false">IF(A82="","",IF(M82&gt;N82,"",IF(M82=1,"최우수",IF(M82&lt;=3,"우수","장려"))))</f>
        <v/>
      </c>
    </row>
    <row r="83" customFormat="false" ht="15" hidden="false" customHeight="false" outlineLevel="0" collapsed="false">
      <c r="A83" s="34" t="str">
        <f aca="false">IF(작품목록!A76="","",작품목록!A76)</f>
        <v/>
      </c>
      <c r="B83" s="27" t="str">
        <f aca="false">IF($A83="","",작품목록!B76&amp;"")</f>
        <v/>
      </c>
      <c r="C83" s="27" t="str">
        <f aca="false">IF($A83="","",작품목록!C76&amp;IF(작품목록!D76="","",IF(작품목록!D76=작품목록!C76," (2명)"," · "&amp;작품목록!D76)))</f>
        <v/>
      </c>
      <c r="D83" s="27" t="str">
        <f aca="false">IF($A83="","",작품목록!E76&amp;"")</f>
        <v/>
      </c>
      <c r="E83" s="28" t="str">
        <f aca="false">IF($A83="","",작품목록!G76&amp;"")</f>
        <v/>
      </c>
      <c r="F83" s="30" t="str">
        <f aca="false">IF(A83="","",IFERROR(IF(B83="상상",INDEX(심사_상상!$P$5:$P$104,MATCH($A83,심사_상상!$A$5:$A$104,0)),INDEX(심사_블록바이브!$S$5:$S$104,MATCH($A83,심사_블록바이브!$A$5:$A$104,0)))+0,0))</f>
        <v/>
      </c>
      <c r="G83" s="30" t="str">
        <f aca="false">IF(A83="","",IFERROR(IF(B83="상상",INDEX(심사_상상!$Q$5:$Q$104,MATCH($A83,심사_상상!$A$5:$A$104,0)),INDEX(심사_블록바이브!$T$5:$T$104,MATCH($A83,심사_블록바이브!$A$5:$A$104,0)))+0,0))</f>
        <v/>
      </c>
      <c r="H83" s="27" t="str">
        <f aca="false">IF(A83="","",IFERROR(INDEX('좋아요 수'!$J$6:$J$105,MATCH(A83,'좋아요 수'!$E$6:$E$105,0))+0,0))</f>
        <v/>
      </c>
      <c r="I83" s="27" t="str">
        <f aca="false">IF(A83="","",_xlfn.MAXIFS($H$11:$H$110,$B$11:$B$110,B83))</f>
        <v/>
      </c>
      <c r="J83" s="47" t="str">
        <f aca="false">IF(A83="","",IF(N(I83)=0,0,ROUND(H83/I83*50,1)))</f>
        <v/>
      </c>
      <c r="K83" s="29" t="str">
        <f aca="false">IF(A83="","",ROUND(F83+J83,2))</f>
        <v/>
      </c>
      <c r="L83" s="48" t="str">
        <f aca="false">IF(A83="","",K83+G83/10000)</f>
        <v/>
      </c>
      <c r="M83" s="34" t="str">
        <f aca="false">IF(A83="","",COUNTIFS($B$11:$B$110,B83,$L$11:$L$110,"&gt;"&amp;L83)+1)</f>
        <v/>
      </c>
      <c r="N83" s="27" t="str">
        <f aca="false">IF(A83="","",IFERROR(INDEX($D$5:$D$7,MATCH(B83,$A$5:$A$7,0)),0))</f>
        <v/>
      </c>
      <c r="O83" s="34" t="str">
        <f aca="false">IF(A83="","",IF(M83&gt;N83,"",IF(M83=1,"최우수",IF(M83&lt;=3,"우수","장려"))))</f>
        <v/>
      </c>
    </row>
    <row r="84" customFormat="false" ht="15" hidden="false" customHeight="false" outlineLevel="0" collapsed="false">
      <c r="A84" s="34" t="str">
        <f aca="false">IF(작품목록!A77="","",작품목록!A77)</f>
        <v/>
      </c>
      <c r="B84" s="27" t="str">
        <f aca="false">IF($A84="","",작품목록!B77&amp;"")</f>
        <v/>
      </c>
      <c r="C84" s="27" t="str">
        <f aca="false">IF($A84="","",작품목록!C77&amp;IF(작품목록!D77="","",IF(작품목록!D77=작품목록!C77," (2명)"," · "&amp;작품목록!D77)))</f>
        <v/>
      </c>
      <c r="D84" s="27" t="str">
        <f aca="false">IF($A84="","",작품목록!E77&amp;"")</f>
        <v/>
      </c>
      <c r="E84" s="28" t="str">
        <f aca="false">IF($A84="","",작품목록!G77&amp;"")</f>
        <v/>
      </c>
      <c r="F84" s="30" t="str">
        <f aca="false">IF(A84="","",IFERROR(IF(B84="상상",INDEX(심사_상상!$P$5:$P$104,MATCH($A84,심사_상상!$A$5:$A$104,0)),INDEX(심사_블록바이브!$S$5:$S$104,MATCH($A84,심사_블록바이브!$A$5:$A$104,0)))+0,0))</f>
        <v/>
      </c>
      <c r="G84" s="30" t="str">
        <f aca="false">IF(A84="","",IFERROR(IF(B84="상상",INDEX(심사_상상!$Q$5:$Q$104,MATCH($A84,심사_상상!$A$5:$A$104,0)),INDEX(심사_블록바이브!$T$5:$T$104,MATCH($A84,심사_블록바이브!$A$5:$A$104,0)))+0,0))</f>
        <v/>
      </c>
      <c r="H84" s="27" t="str">
        <f aca="false">IF(A84="","",IFERROR(INDEX('좋아요 수'!$J$6:$J$105,MATCH(A84,'좋아요 수'!$E$6:$E$105,0))+0,0))</f>
        <v/>
      </c>
      <c r="I84" s="27" t="str">
        <f aca="false">IF(A84="","",_xlfn.MAXIFS($H$11:$H$110,$B$11:$B$110,B84))</f>
        <v/>
      </c>
      <c r="J84" s="47" t="str">
        <f aca="false">IF(A84="","",IF(N(I84)=0,0,ROUND(H84/I84*50,1)))</f>
        <v/>
      </c>
      <c r="K84" s="29" t="str">
        <f aca="false">IF(A84="","",ROUND(F84+J84,2))</f>
        <v/>
      </c>
      <c r="L84" s="48" t="str">
        <f aca="false">IF(A84="","",K84+G84/10000)</f>
        <v/>
      </c>
      <c r="M84" s="34" t="str">
        <f aca="false">IF(A84="","",COUNTIFS($B$11:$B$110,B84,$L$11:$L$110,"&gt;"&amp;L84)+1)</f>
        <v/>
      </c>
      <c r="N84" s="27" t="str">
        <f aca="false">IF(A84="","",IFERROR(INDEX($D$5:$D$7,MATCH(B84,$A$5:$A$7,0)),0))</f>
        <v/>
      </c>
      <c r="O84" s="34" t="str">
        <f aca="false">IF(A84="","",IF(M84&gt;N84,"",IF(M84=1,"최우수",IF(M84&lt;=3,"우수","장려"))))</f>
        <v/>
      </c>
    </row>
    <row r="85" customFormat="false" ht="15" hidden="false" customHeight="false" outlineLevel="0" collapsed="false">
      <c r="A85" s="34" t="str">
        <f aca="false">IF(작품목록!A78="","",작품목록!A78)</f>
        <v/>
      </c>
      <c r="B85" s="27" t="str">
        <f aca="false">IF($A85="","",작품목록!B78&amp;"")</f>
        <v/>
      </c>
      <c r="C85" s="27" t="str">
        <f aca="false">IF($A85="","",작품목록!C78&amp;IF(작품목록!D78="","",IF(작품목록!D78=작품목록!C78," (2명)"," · "&amp;작품목록!D78)))</f>
        <v/>
      </c>
      <c r="D85" s="27" t="str">
        <f aca="false">IF($A85="","",작품목록!E78&amp;"")</f>
        <v/>
      </c>
      <c r="E85" s="28" t="str">
        <f aca="false">IF($A85="","",작품목록!G78&amp;"")</f>
        <v/>
      </c>
      <c r="F85" s="30" t="str">
        <f aca="false">IF(A85="","",IFERROR(IF(B85="상상",INDEX(심사_상상!$P$5:$P$104,MATCH($A85,심사_상상!$A$5:$A$104,0)),INDEX(심사_블록바이브!$S$5:$S$104,MATCH($A85,심사_블록바이브!$A$5:$A$104,0)))+0,0))</f>
        <v/>
      </c>
      <c r="G85" s="30" t="str">
        <f aca="false">IF(A85="","",IFERROR(IF(B85="상상",INDEX(심사_상상!$Q$5:$Q$104,MATCH($A85,심사_상상!$A$5:$A$104,0)),INDEX(심사_블록바이브!$T$5:$T$104,MATCH($A85,심사_블록바이브!$A$5:$A$104,0)))+0,0))</f>
        <v/>
      </c>
      <c r="H85" s="27" t="str">
        <f aca="false">IF(A85="","",IFERROR(INDEX('좋아요 수'!$J$6:$J$105,MATCH(A85,'좋아요 수'!$E$6:$E$105,0))+0,0))</f>
        <v/>
      </c>
      <c r="I85" s="27" t="str">
        <f aca="false">IF(A85="","",_xlfn.MAXIFS($H$11:$H$110,$B$11:$B$110,B85))</f>
        <v/>
      </c>
      <c r="J85" s="47" t="str">
        <f aca="false">IF(A85="","",IF(N(I85)=0,0,ROUND(H85/I85*50,1)))</f>
        <v/>
      </c>
      <c r="K85" s="29" t="str">
        <f aca="false">IF(A85="","",ROUND(F85+J85,2))</f>
        <v/>
      </c>
      <c r="L85" s="48" t="str">
        <f aca="false">IF(A85="","",K85+G85/10000)</f>
        <v/>
      </c>
      <c r="M85" s="34" t="str">
        <f aca="false">IF(A85="","",COUNTIFS($B$11:$B$110,B85,$L$11:$L$110,"&gt;"&amp;L85)+1)</f>
        <v/>
      </c>
      <c r="N85" s="27" t="str">
        <f aca="false">IF(A85="","",IFERROR(INDEX($D$5:$D$7,MATCH(B85,$A$5:$A$7,0)),0))</f>
        <v/>
      </c>
      <c r="O85" s="34" t="str">
        <f aca="false">IF(A85="","",IF(M85&gt;N85,"",IF(M85=1,"최우수",IF(M85&lt;=3,"우수","장려"))))</f>
        <v/>
      </c>
    </row>
    <row r="86" customFormat="false" ht="15" hidden="false" customHeight="false" outlineLevel="0" collapsed="false">
      <c r="A86" s="34" t="str">
        <f aca="false">IF(작품목록!A79="","",작품목록!A79)</f>
        <v/>
      </c>
      <c r="B86" s="27" t="str">
        <f aca="false">IF($A86="","",작품목록!B79&amp;"")</f>
        <v/>
      </c>
      <c r="C86" s="27" t="str">
        <f aca="false">IF($A86="","",작품목록!C79&amp;IF(작품목록!D79="","",IF(작품목록!D79=작품목록!C79," (2명)"," · "&amp;작품목록!D79)))</f>
        <v/>
      </c>
      <c r="D86" s="27" t="str">
        <f aca="false">IF($A86="","",작품목록!E79&amp;"")</f>
        <v/>
      </c>
      <c r="E86" s="28" t="str">
        <f aca="false">IF($A86="","",작품목록!G79&amp;"")</f>
        <v/>
      </c>
      <c r="F86" s="30" t="str">
        <f aca="false">IF(A86="","",IFERROR(IF(B86="상상",INDEX(심사_상상!$P$5:$P$104,MATCH($A86,심사_상상!$A$5:$A$104,0)),INDEX(심사_블록바이브!$S$5:$S$104,MATCH($A86,심사_블록바이브!$A$5:$A$104,0)))+0,0))</f>
        <v/>
      </c>
      <c r="G86" s="30" t="str">
        <f aca="false">IF(A86="","",IFERROR(IF(B86="상상",INDEX(심사_상상!$Q$5:$Q$104,MATCH($A86,심사_상상!$A$5:$A$104,0)),INDEX(심사_블록바이브!$T$5:$T$104,MATCH($A86,심사_블록바이브!$A$5:$A$104,0)))+0,0))</f>
        <v/>
      </c>
      <c r="H86" s="27" t="str">
        <f aca="false">IF(A86="","",IFERROR(INDEX('좋아요 수'!$J$6:$J$105,MATCH(A86,'좋아요 수'!$E$6:$E$105,0))+0,0))</f>
        <v/>
      </c>
      <c r="I86" s="27" t="str">
        <f aca="false">IF(A86="","",_xlfn.MAXIFS($H$11:$H$110,$B$11:$B$110,B86))</f>
        <v/>
      </c>
      <c r="J86" s="47" t="str">
        <f aca="false">IF(A86="","",IF(N(I86)=0,0,ROUND(H86/I86*50,1)))</f>
        <v/>
      </c>
      <c r="K86" s="29" t="str">
        <f aca="false">IF(A86="","",ROUND(F86+J86,2))</f>
        <v/>
      </c>
      <c r="L86" s="48" t="str">
        <f aca="false">IF(A86="","",K86+G86/10000)</f>
        <v/>
      </c>
      <c r="M86" s="34" t="str">
        <f aca="false">IF(A86="","",COUNTIFS($B$11:$B$110,B86,$L$11:$L$110,"&gt;"&amp;L86)+1)</f>
        <v/>
      </c>
      <c r="N86" s="27" t="str">
        <f aca="false">IF(A86="","",IFERROR(INDEX($D$5:$D$7,MATCH(B86,$A$5:$A$7,0)),0))</f>
        <v/>
      </c>
      <c r="O86" s="34" t="str">
        <f aca="false">IF(A86="","",IF(M86&gt;N86,"",IF(M86=1,"최우수",IF(M86&lt;=3,"우수","장려"))))</f>
        <v/>
      </c>
    </row>
    <row r="87" customFormat="false" ht="15" hidden="false" customHeight="false" outlineLevel="0" collapsed="false">
      <c r="A87" s="34" t="str">
        <f aca="false">IF(작품목록!A80="","",작품목록!A80)</f>
        <v/>
      </c>
      <c r="B87" s="27" t="str">
        <f aca="false">IF($A87="","",작품목록!B80&amp;"")</f>
        <v/>
      </c>
      <c r="C87" s="27" t="str">
        <f aca="false">IF($A87="","",작품목록!C80&amp;IF(작품목록!D80="","",IF(작품목록!D80=작품목록!C80," (2명)"," · "&amp;작품목록!D80)))</f>
        <v/>
      </c>
      <c r="D87" s="27" t="str">
        <f aca="false">IF($A87="","",작품목록!E80&amp;"")</f>
        <v/>
      </c>
      <c r="E87" s="28" t="str">
        <f aca="false">IF($A87="","",작품목록!G80&amp;"")</f>
        <v/>
      </c>
      <c r="F87" s="30" t="str">
        <f aca="false">IF(A87="","",IFERROR(IF(B87="상상",INDEX(심사_상상!$P$5:$P$104,MATCH($A87,심사_상상!$A$5:$A$104,0)),INDEX(심사_블록바이브!$S$5:$S$104,MATCH($A87,심사_블록바이브!$A$5:$A$104,0)))+0,0))</f>
        <v/>
      </c>
      <c r="G87" s="30" t="str">
        <f aca="false">IF(A87="","",IFERROR(IF(B87="상상",INDEX(심사_상상!$Q$5:$Q$104,MATCH($A87,심사_상상!$A$5:$A$104,0)),INDEX(심사_블록바이브!$T$5:$T$104,MATCH($A87,심사_블록바이브!$A$5:$A$104,0)))+0,0))</f>
        <v/>
      </c>
      <c r="H87" s="27" t="str">
        <f aca="false">IF(A87="","",IFERROR(INDEX('좋아요 수'!$J$6:$J$105,MATCH(A87,'좋아요 수'!$E$6:$E$105,0))+0,0))</f>
        <v/>
      </c>
      <c r="I87" s="27" t="str">
        <f aca="false">IF(A87="","",_xlfn.MAXIFS($H$11:$H$110,$B$11:$B$110,B87))</f>
        <v/>
      </c>
      <c r="J87" s="47" t="str">
        <f aca="false">IF(A87="","",IF(N(I87)=0,0,ROUND(H87/I87*50,1)))</f>
        <v/>
      </c>
      <c r="K87" s="29" t="str">
        <f aca="false">IF(A87="","",ROUND(F87+J87,2))</f>
        <v/>
      </c>
      <c r="L87" s="48" t="str">
        <f aca="false">IF(A87="","",K87+G87/10000)</f>
        <v/>
      </c>
      <c r="M87" s="34" t="str">
        <f aca="false">IF(A87="","",COUNTIFS($B$11:$B$110,B87,$L$11:$L$110,"&gt;"&amp;L87)+1)</f>
        <v/>
      </c>
      <c r="N87" s="27" t="str">
        <f aca="false">IF(A87="","",IFERROR(INDEX($D$5:$D$7,MATCH(B87,$A$5:$A$7,0)),0))</f>
        <v/>
      </c>
      <c r="O87" s="34" t="str">
        <f aca="false">IF(A87="","",IF(M87&gt;N87,"",IF(M87=1,"최우수",IF(M87&lt;=3,"우수","장려"))))</f>
        <v/>
      </c>
    </row>
    <row r="88" customFormat="false" ht="15" hidden="false" customHeight="false" outlineLevel="0" collapsed="false">
      <c r="A88" s="34" t="str">
        <f aca="false">IF(작품목록!A81="","",작품목록!A81)</f>
        <v/>
      </c>
      <c r="B88" s="27" t="str">
        <f aca="false">IF($A88="","",작품목록!B81&amp;"")</f>
        <v/>
      </c>
      <c r="C88" s="27" t="str">
        <f aca="false">IF($A88="","",작품목록!C81&amp;IF(작품목록!D81="","",IF(작품목록!D81=작품목록!C81," (2명)"," · "&amp;작품목록!D81)))</f>
        <v/>
      </c>
      <c r="D88" s="27" t="str">
        <f aca="false">IF($A88="","",작품목록!E81&amp;"")</f>
        <v/>
      </c>
      <c r="E88" s="28" t="str">
        <f aca="false">IF($A88="","",작품목록!G81&amp;"")</f>
        <v/>
      </c>
      <c r="F88" s="30" t="str">
        <f aca="false">IF(A88="","",IFERROR(IF(B88="상상",INDEX(심사_상상!$P$5:$P$104,MATCH($A88,심사_상상!$A$5:$A$104,0)),INDEX(심사_블록바이브!$S$5:$S$104,MATCH($A88,심사_블록바이브!$A$5:$A$104,0)))+0,0))</f>
        <v/>
      </c>
      <c r="G88" s="30" t="str">
        <f aca="false">IF(A88="","",IFERROR(IF(B88="상상",INDEX(심사_상상!$Q$5:$Q$104,MATCH($A88,심사_상상!$A$5:$A$104,0)),INDEX(심사_블록바이브!$T$5:$T$104,MATCH($A88,심사_블록바이브!$A$5:$A$104,0)))+0,0))</f>
        <v/>
      </c>
      <c r="H88" s="27" t="str">
        <f aca="false">IF(A88="","",IFERROR(INDEX('좋아요 수'!$J$6:$J$105,MATCH(A88,'좋아요 수'!$E$6:$E$105,0))+0,0))</f>
        <v/>
      </c>
      <c r="I88" s="27" t="str">
        <f aca="false">IF(A88="","",_xlfn.MAXIFS($H$11:$H$110,$B$11:$B$110,B88))</f>
        <v/>
      </c>
      <c r="J88" s="47" t="str">
        <f aca="false">IF(A88="","",IF(N(I88)=0,0,ROUND(H88/I88*50,1)))</f>
        <v/>
      </c>
      <c r="K88" s="29" t="str">
        <f aca="false">IF(A88="","",ROUND(F88+J88,2))</f>
        <v/>
      </c>
      <c r="L88" s="48" t="str">
        <f aca="false">IF(A88="","",K88+G88/10000)</f>
        <v/>
      </c>
      <c r="M88" s="34" t="str">
        <f aca="false">IF(A88="","",COUNTIFS($B$11:$B$110,B88,$L$11:$L$110,"&gt;"&amp;L88)+1)</f>
        <v/>
      </c>
      <c r="N88" s="27" t="str">
        <f aca="false">IF(A88="","",IFERROR(INDEX($D$5:$D$7,MATCH(B88,$A$5:$A$7,0)),0))</f>
        <v/>
      </c>
      <c r="O88" s="34" t="str">
        <f aca="false">IF(A88="","",IF(M88&gt;N88,"",IF(M88=1,"최우수",IF(M88&lt;=3,"우수","장려"))))</f>
        <v/>
      </c>
    </row>
    <row r="89" customFormat="false" ht="15" hidden="false" customHeight="false" outlineLevel="0" collapsed="false">
      <c r="A89" s="34" t="str">
        <f aca="false">IF(작품목록!A82="","",작품목록!A82)</f>
        <v/>
      </c>
      <c r="B89" s="27" t="str">
        <f aca="false">IF($A89="","",작품목록!B82&amp;"")</f>
        <v/>
      </c>
      <c r="C89" s="27" t="str">
        <f aca="false">IF($A89="","",작품목록!C82&amp;IF(작품목록!D82="","",IF(작품목록!D82=작품목록!C82," (2명)"," · "&amp;작품목록!D82)))</f>
        <v/>
      </c>
      <c r="D89" s="27" t="str">
        <f aca="false">IF($A89="","",작품목록!E82&amp;"")</f>
        <v/>
      </c>
      <c r="E89" s="28" t="str">
        <f aca="false">IF($A89="","",작품목록!G82&amp;"")</f>
        <v/>
      </c>
      <c r="F89" s="30" t="str">
        <f aca="false">IF(A89="","",IFERROR(IF(B89="상상",INDEX(심사_상상!$P$5:$P$104,MATCH($A89,심사_상상!$A$5:$A$104,0)),INDEX(심사_블록바이브!$S$5:$S$104,MATCH($A89,심사_블록바이브!$A$5:$A$104,0)))+0,0))</f>
        <v/>
      </c>
      <c r="G89" s="30" t="str">
        <f aca="false">IF(A89="","",IFERROR(IF(B89="상상",INDEX(심사_상상!$Q$5:$Q$104,MATCH($A89,심사_상상!$A$5:$A$104,0)),INDEX(심사_블록바이브!$T$5:$T$104,MATCH($A89,심사_블록바이브!$A$5:$A$104,0)))+0,0))</f>
        <v/>
      </c>
      <c r="H89" s="27" t="str">
        <f aca="false">IF(A89="","",IFERROR(INDEX('좋아요 수'!$J$6:$J$105,MATCH(A89,'좋아요 수'!$E$6:$E$105,0))+0,0))</f>
        <v/>
      </c>
      <c r="I89" s="27" t="str">
        <f aca="false">IF(A89="","",_xlfn.MAXIFS($H$11:$H$110,$B$11:$B$110,B89))</f>
        <v/>
      </c>
      <c r="J89" s="47" t="str">
        <f aca="false">IF(A89="","",IF(N(I89)=0,0,ROUND(H89/I89*50,1)))</f>
        <v/>
      </c>
      <c r="K89" s="29" t="str">
        <f aca="false">IF(A89="","",ROUND(F89+J89,2))</f>
        <v/>
      </c>
      <c r="L89" s="48" t="str">
        <f aca="false">IF(A89="","",K89+G89/10000)</f>
        <v/>
      </c>
      <c r="M89" s="34" t="str">
        <f aca="false">IF(A89="","",COUNTIFS($B$11:$B$110,B89,$L$11:$L$110,"&gt;"&amp;L89)+1)</f>
        <v/>
      </c>
      <c r="N89" s="27" t="str">
        <f aca="false">IF(A89="","",IFERROR(INDEX($D$5:$D$7,MATCH(B89,$A$5:$A$7,0)),0))</f>
        <v/>
      </c>
      <c r="O89" s="34" t="str">
        <f aca="false">IF(A89="","",IF(M89&gt;N89,"",IF(M89=1,"최우수",IF(M89&lt;=3,"우수","장려"))))</f>
        <v/>
      </c>
    </row>
    <row r="90" customFormat="false" ht="15" hidden="false" customHeight="false" outlineLevel="0" collapsed="false">
      <c r="A90" s="34" t="str">
        <f aca="false">IF(작품목록!A83="","",작품목록!A83)</f>
        <v/>
      </c>
      <c r="B90" s="27" t="str">
        <f aca="false">IF($A90="","",작품목록!B83&amp;"")</f>
        <v/>
      </c>
      <c r="C90" s="27" t="str">
        <f aca="false">IF($A90="","",작품목록!C83&amp;IF(작품목록!D83="","",IF(작품목록!D83=작품목록!C83," (2명)"," · "&amp;작품목록!D83)))</f>
        <v/>
      </c>
      <c r="D90" s="27" t="str">
        <f aca="false">IF($A90="","",작품목록!E83&amp;"")</f>
        <v/>
      </c>
      <c r="E90" s="28" t="str">
        <f aca="false">IF($A90="","",작품목록!G83&amp;"")</f>
        <v/>
      </c>
      <c r="F90" s="30" t="str">
        <f aca="false">IF(A90="","",IFERROR(IF(B90="상상",INDEX(심사_상상!$P$5:$P$104,MATCH($A90,심사_상상!$A$5:$A$104,0)),INDEX(심사_블록바이브!$S$5:$S$104,MATCH($A90,심사_블록바이브!$A$5:$A$104,0)))+0,0))</f>
        <v/>
      </c>
      <c r="G90" s="30" t="str">
        <f aca="false">IF(A90="","",IFERROR(IF(B90="상상",INDEX(심사_상상!$Q$5:$Q$104,MATCH($A90,심사_상상!$A$5:$A$104,0)),INDEX(심사_블록바이브!$T$5:$T$104,MATCH($A90,심사_블록바이브!$A$5:$A$104,0)))+0,0))</f>
        <v/>
      </c>
      <c r="H90" s="27" t="str">
        <f aca="false">IF(A90="","",IFERROR(INDEX('좋아요 수'!$J$6:$J$105,MATCH(A90,'좋아요 수'!$E$6:$E$105,0))+0,0))</f>
        <v/>
      </c>
      <c r="I90" s="27" t="str">
        <f aca="false">IF(A90="","",_xlfn.MAXIFS($H$11:$H$110,$B$11:$B$110,B90))</f>
        <v/>
      </c>
      <c r="J90" s="47" t="str">
        <f aca="false">IF(A90="","",IF(N(I90)=0,0,ROUND(H90/I90*50,1)))</f>
        <v/>
      </c>
      <c r="K90" s="29" t="str">
        <f aca="false">IF(A90="","",ROUND(F90+J90,2))</f>
        <v/>
      </c>
      <c r="L90" s="48" t="str">
        <f aca="false">IF(A90="","",K90+G90/10000)</f>
        <v/>
      </c>
      <c r="M90" s="34" t="str">
        <f aca="false">IF(A90="","",COUNTIFS($B$11:$B$110,B90,$L$11:$L$110,"&gt;"&amp;L90)+1)</f>
        <v/>
      </c>
      <c r="N90" s="27" t="str">
        <f aca="false">IF(A90="","",IFERROR(INDEX($D$5:$D$7,MATCH(B90,$A$5:$A$7,0)),0))</f>
        <v/>
      </c>
      <c r="O90" s="34" t="str">
        <f aca="false">IF(A90="","",IF(M90&gt;N90,"",IF(M90=1,"최우수",IF(M90&lt;=3,"우수","장려"))))</f>
        <v/>
      </c>
    </row>
    <row r="91" customFormat="false" ht="15" hidden="false" customHeight="false" outlineLevel="0" collapsed="false">
      <c r="A91" s="34" t="str">
        <f aca="false">IF(작품목록!A84="","",작품목록!A84)</f>
        <v/>
      </c>
      <c r="B91" s="27" t="str">
        <f aca="false">IF($A91="","",작품목록!B84&amp;"")</f>
        <v/>
      </c>
      <c r="C91" s="27" t="str">
        <f aca="false">IF($A91="","",작품목록!C84&amp;IF(작품목록!D84="","",IF(작품목록!D84=작품목록!C84," (2명)"," · "&amp;작품목록!D84)))</f>
        <v/>
      </c>
      <c r="D91" s="27" t="str">
        <f aca="false">IF($A91="","",작품목록!E84&amp;"")</f>
        <v/>
      </c>
      <c r="E91" s="28" t="str">
        <f aca="false">IF($A91="","",작품목록!G84&amp;"")</f>
        <v/>
      </c>
      <c r="F91" s="30" t="str">
        <f aca="false">IF(A91="","",IFERROR(IF(B91="상상",INDEX(심사_상상!$P$5:$P$104,MATCH($A91,심사_상상!$A$5:$A$104,0)),INDEX(심사_블록바이브!$S$5:$S$104,MATCH($A91,심사_블록바이브!$A$5:$A$104,0)))+0,0))</f>
        <v/>
      </c>
      <c r="G91" s="30" t="str">
        <f aca="false">IF(A91="","",IFERROR(IF(B91="상상",INDEX(심사_상상!$Q$5:$Q$104,MATCH($A91,심사_상상!$A$5:$A$104,0)),INDEX(심사_블록바이브!$T$5:$T$104,MATCH($A91,심사_블록바이브!$A$5:$A$104,0)))+0,0))</f>
        <v/>
      </c>
      <c r="H91" s="27" t="str">
        <f aca="false">IF(A91="","",IFERROR(INDEX('좋아요 수'!$J$6:$J$105,MATCH(A91,'좋아요 수'!$E$6:$E$105,0))+0,0))</f>
        <v/>
      </c>
      <c r="I91" s="27" t="str">
        <f aca="false">IF(A91="","",_xlfn.MAXIFS($H$11:$H$110,$B$11:$B$110,B91))</f>
        <v/>
      </c>
      <c r="J91" s="47" t="str">
        <f aca="false">IF(A91="","",IF(N(I91)=0,0,ROUND(H91/I91*50,1)))</f>
        <v/>
      </c>
      <c r="K91" s="29" t="str">
        <f aca="false">IF(A91="","",ROUND(F91+J91,2))</f>
        <v/>
      </c>
      <c r="L91" s="48" t="str">
        <f aca="false">IF(A91="","",K91+G91/10000)</f>
        <v/>
      </c>
      <c r="M91" s="34" t="str">
        <f aca="false">IF(A91="","",COUNTIFS($B$11:$B$110,B91,$L$11:$L$110,"&gt;"&amp;L91)+1)</f>
        <v/>
      </c>
      <c r="N91" s="27" t="str">
        <f aca="false">IF(A91="","",IFERROR(INDEX($D$5:$D$7,MATCH(B91,$A$5:$A$7,0)),0))</f>
        <v/>
      </c>
      <c r="O91" s="34" t="str">
        <f aca="false">IF(A91="","",IF(M91&gt;N91,"",IF(M91=1,"최우수",IF(M91&lt;=3,"우수","장려"))))</f>
        <v/>
      </c>
    </row>
    <row r="92" customFormat="false" ht="15" hidden="false" customHeight="false" outlineLevel="0" collapsed="false">
      <c r="A92" s="34" t="str">
        <f aca="false">IF(작품목록!A85="","",작품목록!A85)</f>
        <v/>
      </c>
      <c r="B92" s="27" t="str">
        <f aca="false">IF($A92="","",작품목록!B85&amp;"")</f>
        <v/>
      </c>
      <c r="C92" s="27" t="str">
        <f aca="false">IF($A92="","",작품목록!C85&amp;IF(작품목록!D85="","",IF(작품목록!D85=작품목록!C85," (2명)"," · "&amp;작품목록!D85)))</f>
        <v/>
      </c>
      <c r="D92" s="27" t="str">
        <f aca="false">IF($A92="","",작품목록!E85&amp;"")</f>
        <v/>
      </c>
      <c r="E92" s="28" t="str">
        <f aca="false">IF($A92="","",작품목록!G85&amp;"")</f>
        <v/>
      </c>
      <c r="F92" s="30" t="str">
        <f aca="false">IF(A92="","",IFERROR(IF(B92="상상",INDEX(심사_상상!$P$5:$P$104,MATCH($A92,심사_상상!$A$5:$A$104,0)),INDEX(심사_블록바이브!$S$5:$S$104,MATCH($A92,심사_블록바이브!$A$5:$A$104,0)))+0,0))</f>
        <v/>
      </c>
      <c r="G92" s="30" t="str">
        <f aca="false">IF(A92="","",IFERROR(IF(B92="상상",INDEX(심사_상상!$Q$5:$Q$104,MATCH($A92,심사_상상!$A$5:$A$104,0)),INDEX(심사_블록바이브!$T$5:$T$104,MATCH($A92,심사_블록바이브!$A$5:$A$104,0)))+0,0))</f>
        <v/>
      </c>
      <c r="H92" s="27" t="str">
        <f aca="false">IF(A92="","",IFERROR(INDEX('좋아요 수'!$J$6:$J$105,MATCH(A92,'좋아요 수'!$E$6:$E$105,0))+0,0))</f>
        <v/>
      </c>
      <c r="I92" s="27" t="str">
        <f aca="false">IF(A92="","",_xlfn.MAXIFS($H$11:$H$110,$B$11:$B$110,B92))</f>
        <v/>
      </c>
      <c r="J92" s="47" t="str">
        <f aca="false">IF(A92="","",IF(N(I92)=0,0,ROUND(H92/I92*50,1)))</f>
        <v/>
      </c>
      <c r="K92" s="29" t="str">
        <f aca="false">IF(A92="","",ROUND(F92+J92,2))</f>
        <v/>
      </c>
      <c r="L92" s="48" t="str">
        <f aca="false">IF(A92="","",K92+G92/10000)</f>
        <v/>
      </c>
      <c r="M92" s="34" t="str">
        <f aca="false">IF(A92="","",COUNTIFS($B$11:$B$110,B92,$L$11:$L$110,"&gt;"&amp;L92)+1)</f>
        <v/>
      </c>
      <c r="N92" s="27" t="str">
        <f aca="false">IF(A92="","",IFERROR(INDEX($D$5:$D$7,MATCH(B92,$A$5:$A$7,0)),0))</f>
        <v/>
      </c>
      <c r="O92" s="34" t="str">
        <f aca="false">IF(A92="","",IF(M92&gt;N92,"",IF(M92=1,"최우수",IF(M92&lt;=3,"우수","장려"))))</f>
        <v/>
      </c>
    </row>
    <row r="93" customFormat="false" ht="15" hidden="false" customHeight="false" outlineLevel="0" collapsed="false">
      <c r="A93" s="34" t="str">
        <f aca="false">IF(작품목록!A86="","",작품목록!A86)</f>
        <v/>
      </c>
      <c r="B93" s="27" t="str">
        <f aca="false">IF($A93="","",작품목록!B86&amp;"")</f>
        <v/>
      </c>
      <c r="C93" s="27" t="str">
        <f aca="false">IF($A93="","",작품목록!C86&amp;IF(작품목록!D86="","",IF(작품목록!D86=작품목록!C86," (2명)"," · "&amp;작품목록!D86)))</f>
        <v/>
      </c>
      <c r="D93" s="27" t="str">
        <f aca="false">IF($A93="","",작품목록!E86&amp;"")</f>
        <v/>
      </c>
      <c r="E93" s="28" t="str">
        <f aca="false">IF($A93="","",작품목록!G86&amp;"")</f>
        <v/>
      </c>
      <c r="F93" s="30" t="str">
        <f aca="false">IF(A93="","",IFERROR(IF(B93="상상",INDEX(심사_상상!$P$5:$P$104,MATCH($A93,심사_상상!$A$5:$A$104,0)),INDEX(심사_블록바이브!$S$5:$S$104,MATCH($A93,심사_블록바이브!$A$5:$A$104,0)))+0,0))</f>
        <v/>
      </c>
      <c r="G93" s="30" t="str">
        <f aca="false">IF(A93="","",IFERROR(IF(B93="상상",INDEX(심사_상상!$Q$5:$Q$104,MATCH($A93,심사_상상!$A$5:$A$104,0)),INDEX(심사_블록바이브!$T$5:$T$104,MATCH($A93,심사_블록바이브!$A$5:$A$104,0)))+0,0))</f>
        <v/>
      </c>
      <c r="H93" s="27" t="str">
        <f aca="false">IF(A93="","",IFERROR(INDEX('좋아요 수'!$J$6:$J$105,MATCH(A93,'좋아요 수'!$E$6:$E$105,0))+0,0))</f>
        <v/>
      </c>
      <c r="I93" s="27" t="str">
        <f aca="false">IF(A93="","",_xlfn.MAXIFS($H$11:$H$110,$B$11:$B$110,B93))</f>
        <v/>
      </c>
      <c r="J93" s="47" t="str">
        <f aca="false">IF(A93="","",IF(N(I93)=0,0,ROUND(H93/I93*50,1)))</f>
        <v/>
      </c>
      <c r="K93" s="29" t="str">
        <f aca="false">IF(A93="","",ROUND(F93+J93,2))</f>
        <v/>
      </c>
      <c r="L93" s="48" t="str">
        <f aca="false">IF(A93="","",K93+G93/10000)</f>
        <v/>
      </c>
      <c r="M93" s="34" t="str">
        <f aca="false">IF(A93="","",COUNTIFS($B$11:$B$110,B93,$L$11:$L$110,"&gt;"&amp;L93)+1)</f>
        <v/>
      </c>
      <c r="N93" s="27" t="str">
        <f aca="false">IF(A93="","",IFERROR(INDEX($D$5:$D$7,MATCH(B93,$A$5:$A$7,0)),0))</f>
        <v/>
      </c>
      <c r="O93" s="34" t="str">
        <f aca="false">IF(A93="","",IF(M93&gt;N93,"",IF(M93=1,"최우수",IF(M93&lt;=3,"우수","장려"))))</f>
        <v/>
      </c>
    </row>
    <row r="94" customFormat="false" ht="15" hidden="false" customHeight="false" outlineLevel="0" collapsed="false">
      <c r="A94" s="34" t="str">
        <f aca="false">IF(작품목록!A87="","",작품목록!A87)</f>
        <v/>
      </c>
      <c r="B94" s="27" t="str">
        <f aca="false">IF($A94="","",작품목록!B87&amp;"")</f>
        <v/>
      </c>
      <c r="C94" s="27" t="str">
        <f aca="false">IF($A94="","",작품목록!C87&amp;IF(작품목록!D87="","",IF(작품목록!D87=작품목록!C87," (2명)"," · "&amp;작품목록!D87)))</f>
        <v/>
      </c>
      <c r="D94" s="27" t="str">
        <f aca="false">IF($A94="","",작품목록!E87&amp;"")</f>
        <v/>
      </c>
      <c r="E94" s="28" t="str">
        <f aca="false">IF($A94="","",작품목록!G87&amp;"")</f>
        <v/>
      </c>
      <c r="F94" s="30" t="str">
        <f aca="false">IF(A94="","",IFERROR(IF(B94="상상",INDEX(심사_상상!$P$5:$P$104,MATCH($A94,심사_상상!$A$5:$A$104,0)),INDEX(심사_블록바이브!$S$5:$S$104,MATCH($A94,심사_블록바이브!$A$5:$A$104,0)))+0,0))</f>
        <v/>
      </c>
      <c r="G94" s="30" t="str">
        <f aca="false">IF(A94="","",IFERROR(IF(B94="상상",INDEX(심사_상상!$Q$5:$Q$104,MATCH($A94,심사_상상!$A$5:$A$104,0)),INDEX(심사_블록바이브!$T$5:$T$104,MATCH($A94,심사_블록바이브!$A$5:$A$104,0)))+0,0))</f>
        <v/>
      </c>
      <c r="H94" s="27" t="str">
        <f aca="false">IF(A94="","",IFERROR(INDEX('좋아요 수'!$J$6:$J$105,MATCH(A94,'좋아요 수'!$E$6:$E$105,0))+0,0))</f>
        <v/>
      </c>
      <c r="I94" s="27" t="str">
        <f aca="false">IF(A94="","",_xlfn.MAXIFS($H$11:$H$110,$B$11:$B$110,B94))</f>
        <v/>
      </c>
      <c r="J94" s="47" t="str">
        <f aca="false">IF(A94="","",IF(N(I94)=0,0,ROUND(H94/I94*50,1)))</f>
        <v/>
      </c>
      <c r="K94" s="29" t="str">
        <f aca="false">IF(A94="","",ROUND(F94+J94,2))</f>
        <v/>
      </c>
      <c r="L94" s="48" t="str">
        <f aca="false">IF(A94="","",K94+G94/10000)</f>
        <v/>
      </c>
      <c r="M94" s="34" t="str">
        <f aca="false">IF(A94="","",COUNTIFS($B$11:$B$110,B94,$L$11:$L$110,"&gt;"&amp;L94)+1)</f>
        <v/>
      </c>
      <c r="N94" s="27" t="str">
        <f aca="false">IF(A94="","",IFERROR(INDEX($D$5:$D$7,MATCH(B94,$A$5:$A$7,0)),0))</f>
        <v/>
      </c>
      <c r="O94" s="34" t="str">
        <f aca="false">IF(A94="","",IF(M94&gt;N94,"",IF(M94=1,"최우수",IF(M94&lt;=3,"우수","장려"))))</f>
        <v/>
      </c>
    </row>
    <row r="95" customFormat="false" ht="15" hidden="false" customHeight="false" outlineLevel="0" collapsed="false">
      <c r="A95" s="34" t="str">
        <f aca="false">IF(작품목록!A88="","",작품목록!A88)</f>
        <v/>
      </c>
      <c r="B95" s="27" t="str">
        <f aca="false">IF($A95="","",작품목록!B88&amp;"")</f>
        <v/>
      </c>
      <c r="C95" s="27" t="str">
        <f aca="false">IF($A95="","",작품목록!C88&amp;IF(작품목록!D88="","",IF(작품목록!D88=작품목록!C88," (2명)"," · "&amp;작품목록!D88)))</f>
        <v/>
      </c>
      <c r="D95" s="27" t="str">
        <f aca="false">IF($A95="","",작품목록!E88&amp;"")</f>
        <v/>
      </c>
      <c r="E95" s="28" t="str">
        <f aca="false">IF($A95="","",작품목록!G88&amp;"")</f>
        <v/>
      </c>
      <c r="F95" s="30" t="str">
        <f aca="false">IF(A95="","",IFERROR(IF(B95="상상",INDEX(심사_상상!$P$5:$P$104,MATCH($A95,심사_상상!$A$5:$A$104,0)),INDEX(심사_블록바이브!$S$5:$S$104,MATCH($A95,심사_블록바이브!$A$5:$A$104,0)))+0,0))</f>
        <v/>
      </c>
      <c r="G95" s="30" t="str">
        <f aca="false">IF(A95="","",IFERROR(IF(B95="상상",INDEX(심사_상상!$Q$5:$Q$104,MATCH($A95,심사_상상!$A$5:$A$104,0)),INDEX(심사_블록바이브!$T$5:$T$104,MATCH($A95,심사_블록바이브!$A$5:$A$104,0)))+0,0))</f>
        <v/>
      </c>
      <c r="H95" s="27" t="str">
        <f aca="false">IF(A95="","",IFERROR(INDEX('좋아요 수'!$J$6:$J$105,MATCH(A95,'좋아요 수'!$E$6:$E$105,0))+0,0))</f>
        <v/>
      </c>
      <c r="I95" s="27" t="str">
        <f aca="false">IF(A95="","",_xlfn.MAXIFS($H$11:$H$110,$B$11:$B$110,B95))</f>
        <v/>
      </c>
      <c r="J95" s="47" t="str">
        <f aca="false">IF(A95="","",IF(N(I95)=0,0,ROUND(H95/I95*50,1)))</f>
        <v/>
      </c>
      <c r="K95" s="29" t="str">
        <f aca="false">IF(A95="","",ROUND(F95+J95,2))</f>
        <v/>
      </c>
      <c r="L95" s="48" t="str">
        <f aca="false">IF(A95="","",K95+G95/10000)</f>
        <v/>
      </c>
      <c r="M95" s="34" t="str">
        <f aca="false">IF(A95="","",COUNTIFS($B$11:$B$110,B95,$L$11:$L$110,"&gt;"&amp;L95)+1)</f>
        <v/>
      </c>
      <c r="N95" s="27" t="str">
        <f aca="false">IF(A95="","",IFERROR(INDEX($D$5:$D$7,MATCH(B95,$A$5:$A$7,0)),0))</f>
        <v/>
      </c>
      <c r="O95" s="34" t="str">
        <f aca="false">IF(A95="","",IF(M95&gt;N95,"",IF(M95=1,"최우수",IF(M95&lt;=3,"우수","장려"))))</f>
        <v/>
      </c>
    </row>
    <row r="96" customFormat="false" ht="15" hidden="false" customHeight="false" outlineLevel="0" collapsed="false">
      <c r="A96" s="34" t="str">
        <f aca="false">IF(작품목록!A89="","",작품목록!A89)</f>
        <v/>
      </c>
      <c r="B96" s="27" t="str">
        <f aca="false">IF($A96="","",작품목록!B89&amp;"")</f>
        <v/>
      </c>
      <c r="C96" s="27" t="str">
        <f aca="false">IF($A96="","",작품목록!C89&amp;IF(작품목록!D89="","",IF(작품목록!D89=작품목록!C89," (2명)"," · "&amp;작품목록!D89)))</f>
        <v/>
      </c>
      <c r="D96" s="27" t="str">
        <f aca="false">IF($A96="","",작품목록!E89&amp;"")</f>
        <v/>
      </c>
      <c r="E96" s="28" t="str">
        <f aca="false">IF($A96="","",작품목록!G89&amp;"")</f>
        <v/>
      </c>
      <c r="F96" s="30" t="str">
        <f aca="false">IF(A96="","",IFERROR(IF(B96="상상",INDEX(심사_상상!$P$5:$P$104,MATCH($A96,심사_상상!$A$5:$A$104,0)),INDEX(심사_블록바이브!$S$5:$S$104,MATCH($A96,심사_블록바이브!$A$5:$A$104,0)))+0,0))</f>
        <v/>
      </c>
      <c r="G96" s="30" t="str">
        <f aca="false">IF(A96="","",IFERROR(IF(B96="상상",INDEX(심사_상상!$Q$5:$Q$104,MATCH($A96,심사_상상!$A$5:$A$104,0)),INDEX(심사_블록바이브!$T$5:$T$104,MATCH($A96,심사_블록바이브!$A$5:$A$104,0)))+0,0))</f>
        <v/>
      </c>
      <c r="H96" s="27" t="str">
        <f aca="false">IF(A96="","",IFERROR(INDEX('좋아요 수'!$J$6:$J$105,MATCH(A96,'좋아요 수'!$E$6:$E$105,0))+0,0))</f>
        <v/>
      </c>
      <c r="I96" s="27" t="str">
        <f aca="false">IF(A96="","",_xlfn.MAXIFS($H$11:$H$110,$B$11:$B$110,B96))</f>
        <v/>
      </c>
      <c r="J96" s="47" t="str">
        <f aca="false">IF(A96="","",IF(N(I96)=0,0,ROUND(H96/I96*50,1)))</f>
        <v/>
      </c>
      <c r="K96" s="29" t="str">
        <f aca="false">IF(A96="","",ROUND(F96+J96,2))</f>
        <v/>
      </c>
      <c r="L96" s="48" t="str">
        <f aca="false">IF(A96="","",K96+G96/10000)</f>
        <v/>
      </c>
      <c r="M96" s="34" t="str">
        <f aca="false">IF(A96="","",COUNTIFS($B$11:$B$110,B96,$L$11:$L$110,"&gt;"&amp;L96)+1)</f>
        <v/>
      </c>
      <c r="N96" s="27" t="str">
        <f aca="false">IF(A96="","",IFERROR(INDEX($D$5:$D$7,MATCH(B96,$A$5:$A$7,0)),0))</f>
        <v/>
      </c>
      <c r="O96" s="34" t="str">
        <f aca="false">IF(A96="","",IF(M96&gt;N96,"",IF(M96=1,"최우수",IF(M96&lt;=3,"우수","장려"))))</f>
        <v/>
      </c>
    </row>
    <row r="97" customFormat="false" ht="15" hidden="false" customHeight="false" outlineLevel="0" collapsed="false">
      <c r="A97" s="34" t="str">
        <f aca="false">IF(작품목록!A90="","",작품목록!A90)</f>
        <v/>
      </c>
      <c r="B97" s="27" t="str">
        <f aca="false">IF($A97="","",작품목록!B90&amp;"")</f>
        <v/>
      </c>
      <c r="C97" s="27" t="str">
        <f aca="false">IF($A97="","",작품목록!C90&amp;IF(작품목록!D90="","",IF(작품목록!D90=작품목록!C90," (2명)"," · "&amp;작품목록!D90)))</f>
        <v/>
      </c>
      <c r="D97" s="27" t="str">
        <f aca="false">IF($A97="","",작품목록!E90&amp;"")</f>
        <v/>
      </c>
      <c r="E97" s="28" t="str">
        <f aca="false">IF($A97="","",작품목록!G90&amp;"")</f>
        <v/>
      </c>
      <c r="F97" s="30" t="str">
        <f aca="false">IF(A97="","",IFERROR(IF(B97="상상",INDEX(심사_상상!$P$5:$P$104,MATCH($A97,심사_상상!$A$5:$A$104,0)),INDEX(심사_블록바이브!$S$5:$S$104,MATCH($A97,심사_블록바이브!$A$5:$A$104,0)))+0,0))</f>
        <v/>
      </c>
      <c r="G97" s="30" t="str">
        <f aca="false">IF(A97="","",IFERROR(IF(B97="상상",INDEX(심사_상상!$Q$5:$Q$104,MATCH($A97,심사_상상!$A$5:$A$104,0)),INDEX(심사_블록바이브!$T$5:$T$104,MATCH($A97,심사_블록바이브!$A$5:$A$104,0)))+0,0))</f>
        <v/>
      </c>
      <c r="H97" s="27" t="str">
        <f aca="false">IF(A97="","",IFERROR(INDEX('좋아요 수'!$J$6:$J$105,MATCH(A97,'좋아요 수'!$E$6:$E$105,0))+0,0))</f>
        <v/>
      </c>
      <c r="I97" s="27" t="str">
        <f aca="false">IF(A97="","",_xlfn.MAXIFS($H$11:$H$110,$B$11:$B$110,B97))</f>
        <v/>
      </c>
      <c r="J97" s="47" t="str">
        <f aca="false">IF(A97="","",IF(N(I97)=0,0,ROUND(H97/I97*50,1)))</f>
        <v/>
      </c>
      <c r="K97" s="29" t="str">
        <f aca="false">IF(A97="","",ROUND(F97+J97,2))</f>
        <v/>
      </c>
      <c r="L97" s="48" t="str">
        <f aca="false">IF(A97="","",K97+G97/10000)</f>
        <v/>
      </c>
      <c r="M97" s="34" t="str">
        <f aca="false">IF(A97="","",COUNTIFS($B$11:$B$110,B97,$L$11:$L$110,"&gt;"&amp;L97)+1)</f>
        <v/>
      </c>
      <c r="N97" s="27" t="str">
        <f aca="false">IF(A97="","",IFERROR(INDEX($D$5:$D$7,MATCH(B97,$A$5:$A$7,0)),0))</f>
        <v/>
      </c>
      <c r="O97" s="34" t="str">
        <f aca="false">IF(A97="","",IF(M97&gt;N97,"",IF(M97=1,"최우수",IF(M97&lt;=3,"우수","장려"))))</f>
        <v/>
      </c>
    </row>
    <row r="98" customFormat="false" ht="15" hidden="false" customHeight="false" outlineLevel="0" collapsed="false">
      <c r="A98" s="34" t="str">
        <f aca="false">IF(작품목록!A91="","",작품목록!A91)</f>
        <v/>
      </c>
      <c r="B98" s="27" t="str">
        <f aca="false">IF($A98="","",작품목록!B91&amp;"")</f>
        <v/>
      </c>
      <c r="C98" s="27" t="str">
        <f aca="false">IF($A98="","",작품목록!C91&amp;IF(작품목록!D91="","",IF(작품목록!D91=작품목록!C91," (2명)"," · "&amp;작품목록!D91)))</f>
        <v/>
      </c>
      <c r="D98" s="27" t="str">
        <f aca="false">IF($A98="","",작품목록!E91&amp;"")</f>
        <v/>
      </c>
      <c r="E98" s="28" t="str">
        <f aca="false">IF($A98="","",작품목록!G91&amp;"")</f>
        <v/>
      </c>
      <c r="F98" s="30" t="str">
        <f aca="false">IF(A98="","",IFERROR(IF(B98="상상",INDEX(심사_상상!$P$5:$P$104,MATCH($A98,심사_상상!$A$5:$A$104,0)),INDEX(심사_블록바이브!$S$5:$S$104,MATCH($A98,심사_블록바이브!$A$5:$A$104,0)))+0,0))</f>
        <v/>
      </c>
      <c r="G98" s="30" t="str">
        <f aca="false">IF(A98="","",IFERROR(IF(B98="상상",INDEX(심사_상상!$Q$5:$Q$104,MATCH($A98,심사_상상!$A$5:$A$104,0)),INDEX(심사_블록바이브!$T$5:$T$104,MATCH($A98,심사_블록바이브!$A$5:$A$104,0)))+0,0))</f>
        <v/>
      </c>
      <c r="H98" s="27" t="str">
        <f aca="false">IF(A98="","",IFERROR(INDEX('좋아요 수'!$J$6:$J$105,MATCH(A98,'좋아요 수'!$E$6:$E$105,0))+0,0))</f>
        <v/>
      </c>
      <c r="I98" s="27" t="str">
        <f aca="false">IF(A98="","",_xlfn.MAXIFS($H$11:$H$110,$B$11:$B$110,B98))</f>
        <v/>
      </c>
      <c r="J98" s="47" t="str">
        <f aca="false">IF(A98="","",IF(N(I98)=0,0,ROUND(H98/I98*50,1)))</f>
        <v/>
      </c>
      <c r="K98" s="29" t="str">
        <f aca="false">IF(A98="","",ROUND(F98+J98,2))</f>
        <v/>
      </c>
      <c r="L98" s="48" t="str">
        <f aca="false">IF(A98="","",K98+G98/10000)</f>
        <v/>
      </c>
      <c r="M98" s="34" t="str">
        <f aca="false">IF(A98="","",COUNTIFS($B$11:$B$110,B98,$L$11:$L$110,"&gt;"&amp;L98)+1)</f>
        <v/>
      </c>
      <c r="N98" s="27" t="str">
        <f aca="false">IF(A98="","",IFERROR(INDEX($D$5:$D$7,MATCH(B98,$A$5:$A$7,0)),0))</f>
        <v/>
      </c>
      <c r="O98" s="34" t="str">
        <f aca="false">IF(A98="","",IF(M98&gt;N98,"",IF(M98=1,"최우수",IF(M98&lt;=3,"우수","장려"))))</f>
        <v/>
      </c>
    </row>
    <row r="99" customFormat="false" ht="15" hidden="false" customHeight="false" outlineLevel="0" collapsed="false">
      <c r="A99" s="34" t="str">
        <f aca="false">IF(작품목록!A92="","",작품목록!A92)</f>
        <v/>
      </c>
      <c r="B99" s="27" t="str">
        <f aca="false">IF($A99="","",작품목록!B92&amp;"")</f>
        <v/>
      </c>
      <c r="C99" s="27" t="str">
        <f aca="false">IF($A99="","",작품목록!C92&amp;IF(작품목록!D92="","",IF(작품목록!D92=작품목록!C92," (2명)"," · "&amp;작품목록!D92)))</f>
        <v/>
      </c>
      <c r="D99" s="27" t="str">
        <f aca="false">IF($A99="","",작품목록!E92&amp;"")</f>
        <v/>
      </c>
      <c r="E99" s="28" t="str">
        <f aca="false">IF($A99="","",작품목록!G92&amp;"")</f>
        <v/>
      </c>
      <c r="F99" s="30" t="str">
        <f aca="false">IF(A99="","",IFERROR(IF(B99="상상",INDEX(심사_상상!$P$5:$P$104,MATCH($A99,심사_상상!$A$5:$A$104,0)),INDEX(심사_블록바이브!$S$5:$S$104,MATCH($A99,심사_블록바이브!$A$5:$A$104,0)))+0,0))</f>
        <v/>
      </c>
      <c r="G99" s="30" t="str">
        <f aca="false">IF(A99="","",IFERROR(IF(B99="상상",INDEX(심사_상상!$Q$5:$Q$104,MATCH($A99,심사_상상!$A$5:$A$104,0)),INDEX(심사_블록바이브!$T$5:$T$104,MATCH($A99,심사_블록바이브!$A$5:$A$104,0)))+0,0))</f>
        <v/>
      </c>
      <c r="H99" s="27" t="str">
        <f aca="false">IF(A99="","",IFERROR(INDEX('좋아요 수'!$J$6:$J$105,MATCH(A99,'좋아요 수'!$E$6:$E$105,0))+0,0))</f>
        <v/>
      </c>
      <c r="I99" s="27" t="str">
        <f aca="false">IF(A99="","",_xlfn.MAXIFS($H$11:$H$110,$B$11:$B$110,B99))</f>
        <v/>
      </c>
      <c r="J99" s="47" t="str">
        <f aca="false">IF(A99="","",IF(N(I99)=0,0,ROUND(H99/I99*50,1)))</f>
        <v/>
      </c>
      <c r="K99" s="29" t="str">
        <f aca="false">IF(A99="","",ROUND(F99+J99,2))</f>
        <v/>
      </c>
      <c r="L99" s="48" t="str">
        <f aca="false">IF(A99="","",K99+G99/10000)</f>
        <v/>
      </c>
      <c r="M99" s="34" t="str">
        <f aca="false">IF(A99="","",COUNTIFS($B$11:$B$110,B99,$L$11:$L$110,"&gt;"&amp;L99)+1)</f>
        <v/>
      </c>
      <c r="N99" s="27" t="str">
        <f aca="false">IF(A99="","",IFERROR(INDEX($D$5:$D$7,MATCH(B99,$A$5:$A$7,0)),0))</f>
        <v/>
      </c>
      <c r="O99" s="34" t="str">
        <f aca="false">IF(A99="","",IF(M99&gt;N99,"",IF(M99=1,"최우수",IF(M99&lt;=3,"우수","장려"))))</f>
        <v/>
      </c>
    </row>
    <row r="100" customFormat="false" ht="15" hidden="false" customHeight="false" outlineLevel="0" collapsed="false">
      <c r="A100" s="34" t="str">
        <f aca="false">IF(작품목록!A93="","",작품목록!A93)</f>
        <v/>
      </c>
      <c r="B100" s="27" t="str">
        <f aca="false">IF($A100="","",작품목록!B93&amp;"")</f>
        <v/>
      </c>
      <c r="C100" s="27" t="str">
        <f aca="false">IF($A100="","",작품목록!C93&amp;IF(작품목록!D93="","",IF(작품목록!D93=작품목록!C93," (2명)"," · "&amp;작품목록!D93)))</f>
        <v/>
      </c>
      <c r="D100" s="27" t="str">
        <f aca="false">IF($A100="","",작품목록!E93&amp;"")</f>
        <v/>
      </c>
      <c r="E100" s="28" t="str">
        <f aca="false">IF($A100="","",작품목록!G93&amp;"")</f>
        <v/>
      </c>
      <c r="F100" s="30" t="str">
        <f aca="false">IF(A100="","",IFERROR(IF(B100="상상",INDEX(심사_상상!$P$5:$P$104,MATCH($A100,심사_상상!$A$5:$A$104,0)),INDEX(심사_블록바이브!$S$5:$S$104,MATCH($A100,심사_블록바이브!$A$5:$A$104,0)))+0,0))</f>
        <v/>
      </c>
      <c r="G100" s="30" t="str">
        <f aca="false">IF(A100="","",IFERROR(IF(B100="상상",INDEX(심사_상상!$Q$5:$Q$104,MATCH($A100,심사_상상!$A$5:$A$104,0)),INDEX(심사_블록바이브!$T$5:$T$104,MATCH($A100,심사_블록바이브!$A$5:$A$104,0)))+0,0))</f>
        <v/>
      </c>
      <c r="H100" s="27" t="str">
        <f aca="false">IF(A100="","",IFERROR(INDEX('좋아요 수'!$J$6:$J$105,MATCH(A100,'좋아요 수'!$E$6:$E$105,0))+0,0))</f>
        <v/>
      </c>
      <c r="I100" s="27" t="str">
        <f aca="false">IF(A100="","",_xlfn.MAXIFS($H$11:$H$110,$B$11:$B$110,B100))</f>
        <v/>
      </c>
      <c r="J100" s="47" t="str">
        <f aca="false">IF(A100="","",IF(N(I100)=0,0,ROUND(H100/I100*50,1)))</f>
        <v/>
      </c>
      <c r="K100" s="29" t="str">
        <f aca="false">IF(A100="","",ROUND(F100+J100,2))</f>
        <v/>
      </c>
      <c r="L100" s="48" t="str">
        <f aca="false">IF(A100="","",K100+G100/10000)</f>
        <v/>
      </c>
      <c r="M100" s="34" t="str">
        <f aca="false">IF(A100="","",COUNTIFS($B$11:$B$110,B100,$L$11:$L$110,"&gt;"&amp;L100)+1)</f>
        <v/>
      </c>
      <c r="N100" s="27" t="str">
        <f aca="false">IF(A100="","",IFERROR(INDEX($D$5:$D$7,MATCH(B100,$A$5:$A$7,0)),0))</f>
        <v/>
      </c>
      <c r="O100" s="34" t="str">
        <f aca="false">IF(A100="","",IF(M100&gt;N100,"",IF(M100=1,"최우수",IF(M100&lt;=3,"우수","장려"))))</f>
        <v/>
      </c>
    </row>
    <row r="101" customFormat="false" ht="15" hidden="false" customHeight="false" outlineLevel="0" collapsed="false">
      <c r="A101" s="34" t="str">
        <f aca="false">IF(작품목록!A94="","",작품목록!A94)</f>
        <v/>
      </c>
      <c r="B101" s="27" t="str">
        <f aca="false">IF($A101="","",작품목록!B94&amp;"")</f>
        <v/>
      </c>
      <c r="C101" s="27" t="str">
        <f aca="false">IF($A101="","",작품목록!C94&amp;IF(작품목록!D94="","",IF(작품목록!D94=작품목록!C94," (2명)"," · "&amp;작품목록!D94)))</f>
        <v/>
      </c>
      <c r="D101" s="27" t="str">
        <f aca="false">IF($A101="","",작품목록!E94&amp;"")</f>
        <v/>
      </c>
      <c r="E101" s="28" t="str">
        <f aca="false">IF($A101="","",작품목록!G94&amp;"")</f>
        <v/>
      </c>
      <c r="F101" s="30" t="str">
        <f aca="false">IF(A101="","",IFERROR(IF(B101="상상",INDEX(심사_상상!$P$5:$P$104,MATCH($A101,심사_상상!$A$5:$A$104,0)),INDEX(심사_블록바이브!$S$5:$S$104,MATCH($A101,심사_블록바이브!$A$5:$A$104,0)))+0,0))</f>
        <v/>
      </c>
      <c r="G101" s="30" t="str">
        <f aca="false">IF(A101="","",IFERROR(IF(B101="상상",INDEX(심사_상상!$Q$5:$Q$104,MATCH($A101,심사_상상!$A$5:$A$104,0)),INDEX(심사_블록바이브!$T$5:$T$104,MATCH($A101,심사_블록바이브!$A$5:$A$104,0)))+0,0))</f>
        <v/>
      </c>
      <c r="H101" s="27" t="str">
        <f aca="false">IF(A101="","",IFERROR(INDEX('좋아요 수'!$J$6:$J$105,MATCH(A101,'좋아요 수'!$E$6:$E$105,0))+0,0))</f>
        <v/>
      </c>
      <c r="I101" s="27" t="str">
        <f aca="false">IF(A101="","",_xlfn.MAXIFS($H$11:$H$110,$B$11:$B$110,B101))</f>
        <v/>
      </c>
      <c r="J101" s="47" t="str">
        <f aca="false">IF(A101="","",IF(N(I101)=0,0,ROUND(H101/I101*50,1)))</f>
        <v/>
      </c>
      <c r="K101" s="29" t="str">
        <f aca="false">IF(A101="","",ROUND(F101+J101,2))</f>
        <v/>
      </c>
      <c r="L101" s="48" t="str">
        <f aca="false">IF(A101="","",K101+G101/10000)</f>
        <v/>
      </c>
      <c r="M101" s="34" t="str">
        <f aca="false">IF(A101="","",COUNTIFS($B$11:$B$110,B101,$L$11:$L$110,"&gt;"&amp;L101)+1)</f>
        <v/>
      </c>
      <c r="N101" s="27" t="str">
        <f aca="false">IF(A101="","",IFERROR(INDEX($D$5:$D$7,MATCH(B101,$A$5:$A$7,0)),0))</f>
        <v/>
      </c>
      <c r="O101" s="34" t="str">
        <f aca="false">IF(A101="","",IF(M101&gt;N101,"",IF(M101=1,"최우수",IF(M101&lt;=3,"우수","장려"))))</f>
        <v/>
      </c>
    </row>
    <row r="102" customFormat="false" ht="15" hidden="false" customHeight="false" outlineLevel="0" collapsed="false">
      <c r="A102" s="34" t="str">
        <f aca="false">IF(작품목록!A95="","",작품목록!A95)</f>
        <v/>
      </c>
      <c r="B102" s="27" t="str">
        <f aca="false">IF($A102="","",작품목록!B95&amp;"")</f>
        <v/>
      </c>
      <c r="C102" s="27" t="str">
        <f aca="false">IF($A102="","",작품목록!C95&amp;IF(작품목록!D95="","",IF(작품목록!D95=작품목록!C95," (2명)"," · "&amp;작품목록!D95)))</f>
        <v/>
      </c>
      <c r="D102" s="27" t="str">
        <f aca="false">IF($A102="","",작품목록!E95&amp;"")</f>
        <v/>
      </c>
      <c r="E102" s="28" t="str">
        <f aca="false">IF($A102="","",작품목록!G95&amp;"")</f>
        <v/>
      </c>
      <c r="F102" s="30" t="str">
        <f aca="false">IF(A102="","",IFERROR(IF(B102="상상",INDEX(심사_상상!$P$5:$P$104,MATCH($A102,심사_상상!$A$5:$A$104,0)),INDEX(심사_블록바이브!$S$5:$S$104,MATCH($A102,심사_블록바이브!$A$5:$A$104,0)))+0,0))</f>
        <v/>
      </c>
      <c r="G102" s="30" t="str">
        <f aca="false">IF(A102="","",IFERROR(IF(B102="상상",INDEX(심사_상상!$Q$5:$Q$104,MATCH($A102,심사_상상!$A$5:$A$104,0)),INDEX(심사_블록바이브!$T$5:$T$104,MATCH($A102,심사_블록바이브!$A$5:$A$104,0)))+0,0))</f>
        <v/>
      </c>
      <c r="H102" s="27" t="str">
        <f aca="false">IF(A102="","",IFERROR(INDEX('좋아요 수'!$J$6:$J$105,MATCH(A102,'좋아요 수'!$E$6:$E$105,0))+0,0))</f>
        <v/>
      </c>
      <c r="I102" s="27" t="str">
        <f aca="false">IF(A102="","",_xlfn.MAXIFS($H$11:$H$110,$B$11:$B$110,B102))</f>
        <v/>
      </c>
      <c r="J102" s="47" t="str">
        <f aca="false">IF(A102="","",IF(N(I102)=0,0,ROUND(H102/I102*50,1)))</f>
        <v/>
      </c>
      <c r="K102" s="29" t="str">
        <f aca="false">IF(A102="","",ROUND(F102+J102,2))</f>
        <v/>
      </c>
      <c r="L102" s="48" t="str">
        <f aca="false">IF(A102="","",K102+G102/10000)</f>
        <v/>
      </c>
      <c r="M102" s="34" t="str">
        <f aca="false">IF(A102="","",COUNTIFS($B$11:$B$110,B102,$L$11:$L$110,"&gt;"&amp;L102)+1)</f>
        <v/>
      </c>
      <c r="N102" s="27" t="str">
        <f aca="false">IF(A102="","",IFERROR(INDEX($D$5:$D$7,MATCH(B102,$A$5:$A$7,0)),0))</f>
        <v/>
      </c>
      <c r="O102" s="34" t="str">
        <f aca="false">IF(A102="","",IF(M102&gt;N102,"",IF(M102=1,"최우수",IF(M102&lt;=3,"우수","장려"))))</f>
        <v/>
      </c>
    </row>
    <row r="103" customFormat="false" ht="15" hidden="false" customHeight="false" outlineLevel="0" collapsed="false">
      <c r="A103" s="34" t="str">
        <f aca="false">IF(작품목록!A96="","",작품목록!A96)</f>
        <v/>
      </c>
      <c r="B103" s="27" t="str">
        <f aca="false">IF($A103="","",작품목록!B96&amp;"")</f>
        <v/>
      </c>
      <c r="C103" s="27" t="str">
        <f aca="false">IF($A103="","",작품목록!C96&amp;IF(작품목록!D96="","",IF(작품목록!D96=작품목록!C96," (2명)"," · "&amp;작품목록!D96)))</f>
        <v/>
      </c>
      <c r="D103" s="27" t="str">
        <f aca="false">IF($A103="","",작품목록!E96&amp;"")</f>
        <v/>
      </c>
      <c r="E103" s="28" t="str">
        <f aca="false">IF($A103="","",작품목록!G96&amp;"")</f>
        <v/>
      </c>
      <c r="F103" s="30" t="str">
        <f aca="false">IF(A103="","",IFERROR(IF(B103="상상",INDEX(심사_상상!$P$5:$P$104,MATCH($A103,심사_상상!$A$5:$A$104,0)),INDEX(심사_블록바이브!$S$5:$S$104,MATCH($A103,심사_블록바이브!$A$5:$A$104,0)))+0,0))</f>
        <v/>
      </c>
      <c r="G103" s="30" t="str">
        <f aca="false">IF(A103="","",IFERROR(IF(B103="상상",INDEX(심사_상상!$Q$5:$Q$104,MATCH($A103,심사_상상!$A$5:$A$104,0)),INDEX(심사_블록바이브!$T$5:$T$104,MATCH($A103,심사_블록바이브!$A$5:$A$104,0)))+0,0))</f>
        <v/>
      </c>
      <c r="H103" s="27" t="str">
        <f aca="false">IF(A103="","",IFERROR(INDEX('좋아요 수'!$J$6:$J$105,MATCH(A103,'좋아요 수'!$E$6:$E$105,0))+0,0))</f>
        <v/>
      </c>
      <c r="I103" s="27" t="str">
        <f aca="false">IF(A103="","",_xlfn.MAXIFS($H$11:$H$110,$B$11:$B$110,B103))</f>
        <v/>
      </c>
      <c r="J103" s="47" t="str">
        <f aca="false">IF(A103="","",IF(N(I103)=0,0,ROUND(H103/I103*50,1)))</f>
        <v/>
      </c>
      <c r="K103" s="29" t="str">
        <f aca="false">IF(A103="","",ROUND(F103+J103,2))</f>
        <v/>
      </c>
      <c r="L103" s="48" t="str">
        <f aca="false">IF(A103="","",K103+G103/10000)</f>
        <v/>
      </c>
      <c r="M103" s="34" t="str">
        <f aca="false">IF(A103="","",COUNTIFS($B$11:$B$110,B103,$L$11:$L$110,"&gt;"&amp;L103)+1)</f>
        <v/>
      </c>
      <c r="N103" s="27" t="str">
        <f aca="false">IF(A103="","",IFERROR(INDEX($D$5:$D$7,MATCH(B103,$A$5:$A$7,0)),0))</f>
        <v/>
      </c>
      <c r="O103" s="34" t="str">
        <f aca="false">IF(A103="","",IF(M103&gt;N103,"",IF(M103=1,"최우수",IF(M103&lt;=3,"우수","장려"))))</f>
        <v/>
      </c>
    </row>
    <row r="104" customFormat="false" ht="15" hidden="false" customHeight="false" outlineLevel="0" collapsed="false">
      <c r="A104" s="34" t="str">
        <f aca="false">IF(작품목록!A97="","",작품목록!A97)</f>
        <v/>
      </c>
      <c r="B104" s="27" t="str">
        <f aca="false">IF($A104="","",작품목록!B97&amp;"")</f>
        <v/>
      </c>
      <c r="C104" s="27" t="str">
        <f aca="false">IF($A104="","",작품목록!C97&amp;IF(작품목록!D97="","",IF(작품목록!D97=작품목록!C97," (2명)"," · "&amp;작품목록!D97)))</f>
        <v/>
      </c>
      <c r="D104" s="27" t="str">
        <f aca="false">IF($A104="","",작품목록!E97&amp;"")</f>
        <v/>
      </c>
      <c r="E104" s="28" t="str">
        <f aca="false">IF($A104="","",작품목록!G97&amp;"")</f>
        <v/>
      </c>
      <c r="F104" s="30" t="str">
        <f aca="false">IF(A104="","",IFERROR(IF(B104="상상",INDEX(심사_상상!$P$5:$P$104,MATCH($A104,심사_상상!$A$5:$A$104,0)),INDEX(심사_블록바이브!$S$5:$S$104,MATCH($A104,심사_블록바이브!$A$5:$A$104,0)))+0,0))</f>
        <v/>
      </c>
      <c r="G104" s="30" t="str">
        <f aca="false">IF(A104="","",IFERROR(IF(B104="상상",INDEX(심사_상상!$Q$5:$Q$104,MATCH($A104,심사_상상!$A$5:$A$104,0)),INDEX(심사_블록바이브!$T$5:$T$104,MATCH($A104,심사_블록바이브!$A$5:$A$104,0)))+0,0))</f>
        <v/>
      </c>
      <c r="H104" s="27" t="str">
        <f aca="false">IF(A104="","",IFERROR(INDEX('좋아요 수'!$J$6:$J$105,MATCH(A104,'좋아요 수'!$E$6:$E$105,0))+0,0))</f>
        <v/>
      </c>
      <c r="I104" s="27" t="str">
        <f aca="false">IF(A104="","",_xlfn.MAXIFS($H$11:$H$110,$B$11:$B$110,B104))</f>
        <v/>
      </c>
      <c r="J104" s="47" t="str">
        <f aca="false">IF(A104="","",IF(N(I104)=0,0,ROUND(H104/I104*50,1)))</f>
        <v/>
      </c>
      <c r="K104" s="29" t="str">
        <f aca="false">IF(A104="","",ROUND(F104+J104,2))</f>
        <v/>
      </c>
      <c r="L104" s="48" t="str">
        <f aca="false">IF(A104="","",K104+G104/10000)</f>
        <v/>
      </c>
      <c r="M104" s="34" t="str">
        <f aca="false">IF(A104="","",COUNTIFS($B$11:$B$110,B104,$L$11:$L$110,"&gt;"&amp;L104)+1)</f>
        <v/>
      </c>
      <c r="N104" s="27" t="str">
        <f aca="false">IF(A104="","",IFERROR(INDEX($D$5:$D$7,MATCH(B104,$A$5:$A$7,0)),0))</f>
        <v/>
      </c>
      <c r="O104" s="34" t="str">
        <f aca="false">IF(A104="","",IF(M104&gt;N104,"",IF(M104=1,"최우수",IF(M104&lt;=3,"우수","장려"))))</f>
        <v/>
      </c>
    </row>
    <row r="105" customFormat="false" ht="15" hidden="false" customHeight="false" outlineLevel="0" collapsed="false">
      <c r="A105" s="34" t="str">
        <f aca="false">IF(작품목록!A98="","",작품목록!A98)</f>
        <v/>
      </c>
      <c r="B105" s="27" t="str">
        <f aca="false">IF($A105="","",작품목록!B98&amp;"")</f>
        <v/>
      </c>
      <c r="C105" s="27" t="str">
        <f aca="false">IF($A105="","",작품목록!C98&amp;IF(작품목록!D98="","",IF(작품목록!D98=작품목록!C98," (2명)"," · "&amp;작품목록!D98)))</f>
        <v/>
      </c>
      <c r="D105" s="27" t="str">
        <f aca="false">IF($A105="","",작품목록!E98&amp;"")</f>
        <v/>
      </c>
      <c r="E105" s="28" t="str">
        <f aca="false">IF($A105="","",작품목록!G98&amp;"")</f>
        <v/>
      </c>
      <c r="F105" s="30" t="str">
        <f aca="false">IF(A105="","",IFERROR(IF(B105="상상",INDEX(심사_상상!$P$5:$P$104,MATCH($A105,심사_상상!$A$5:$A$104,0)),INDEX(심사_블록바이브!$S$5:$S$104,MATCH($A105,심사_블록바이브!$A$5:$A$104,0)))+0,0))</f>
        <v/>
      </c>
      <c r="G105" s="30" t="str">
        <f aca="false">IF(A105="","",IFERROR(IF(B105="상상",INDEX(심사_상상!$Q$5:$Q$104,MATCH($A105,심사_상상!$A$5:$A$104,0)),INDEX(심사_블록바이브!$T$5:$T$104,MATCH($A105,심사_블록바이브!$A$5:$A$104,0)))+0,0))</f>
        <v/>
      </c>
      <c r="H105" s="27" t="str">
        <f aca="false">IF(A105="","",IFERROR(INDEX('좋아요 수'!$J$6:$J$105,MATCH(A105,'좋아요 수'!$E$6:$E$105,0))+0,0))</f>
        <v/>
      </c>
      <c r="I105" s="27" t="str">
        <f aca="false">IF(A105="","",_xlfn.MAXIFS($H$11:$H$110,$B$11:$B$110,B105))</f>
        <v/>
      </c>
      <c r="J105" s="47" t="str">
        <f aca="false">IF(A105="","",IF(N(I105)=0,0,ROUND(H105/I105*50,1)))</f>
        <v/>
      </c>
      <c r="K105" s="29" t="str">
        <f aca="false">IF(A105="","",ROUND(F105+J105,2))</f>
        <v/>
      </c>
      <c r="L105" s="48" t="str">
        <f aca="false">IF(A105="","",K105+G105/10000)</f>
        <v/>
      </c>
      <c r="M105" s="34" t="str">
        <f aca="false">IF(A105="","",COUNTIFS($B$11:$B$110,B105,$L$11:$L$110,"&gt;"&amp;L105)+1)</f>
        <v/>
      </c>
      <c r="N105" s="27" t="str">
        <f aca="false">IF(A105="","",IFERROR(INDEX($D$5:$D$7,MATCH(B105,$A$5:$A$7,0)),0))</f>
        <v/>
      </c>
      <c r="O105" s="34" t="str">
        <f aca="false">IF(A105="","",IF(M105&gt;N105,"",IF(M105=1,"최우수",IF(M105&lt;=3,"우수","장려"))))</f>
        <v/>
      </c>
    </row>
    <row r="106" customFormat="false" ht="15" hidden="false" customHeight="false" outlineLevel="0" collapsed="false">
      <c r="A106" s="34" t="str">
        <f aca="false">IF(작품목록!A99="","",작품목록!A99)</f>
        <v/>
      </c>
      <c r="B106" s="27" t="str">
        <f aca="false">IF($A106="","",작품목록!B99&amp;"")</f>
        <v/>
      </c>
      <c r="C106" s="27" t="str">
        <f aca="false">IF($A106="","",작품목록!C99&amp;IF(작품목록!D99="","",IF(작품목록!D99=작품목록!C99," (2명)"," · "&amp;작품목록!D99)))</f>
        <v/>
      </c>
      <c r="D106" s="27" t="str">
        <f aca="false">IF($A106="","",작품목록!E99&amp;"")</f>
        <v/>
      </c>
      <c r="E106" s="28" t="str">
        <f aca="false">IF($A106="","",작품목록!G99&amp;"")</f>
        <v/>
      </c>
      <c r="F106" s="30" t="str">
        <f aca="false">IF(A106="","",IFERROR(IF(B106="상상",INDEX(심사_상상!$P$5:$P$104,MATCH($A106,심사_상상!$A$5:$A$104,0)),INDEX(심사_블록바이브!$S$5:$S$104,MATCH($A106,심사_블록바이브!$A$5:$A$104,0)))+0,0))</f>
        <v/>
      </c>
      <c r="G106" s="30" t="str">
        <f aca="false">IF(A106="","",IFERROR(IF(B106="상상",INDEX(심사_상상!$Q$5:$Q$104,MATCH($A106,심사_상상!$A$5:$A$104,0)),INDEX(심사_블록바이브!$T$5:$T$104,MATCH($A106,심사_블록바이브!$A$5:$A$104,0)))+0,0))</f>
        <v/>
      </c>
      <c r="H106" s="27" t="str">
        <f aca="false">IF(A106="","",IFERROR(INDEX('좋아요 수'!$J$6:$J$105,MATCH(A106,'좋아요 수'!$E$6:$E$105,0))+0,0))</f>
        <v/>
      </c>
      <c r="I106" s="27" t="str">
        <f aca="false">IF(A106="","",_xlfn.MAXIFS($H$11:$H$110,$B$11:$B$110,B106))</f>
        <v/>
      </c>
      <c r="J106" s="47" t="str">
        <f aca="false">IF(A106="","",IF(N(I106)=0,0,ROUND(H106/I106*50,1)))</f>
        <v/>
      </c>
      <c r="K106" s="29" t="str">
        <f aca="false">IF(A106="","",ROUND(F106+J106,2))</f>
        <v/>
      </c>
      <c r="L106" s="48" t="str">
        <f aca="false">IF(A106="","",K106+G106/10000)</f>
        <v/>
      </c>
      <c r="M106" s="34" t="str">
        <f aca="false">IF(A106="","",COUNTIFS($B$11:$B$110,B106,$L$11:$L$110,"&gt;"&amp;L106)+1)</f>
        <v/>
      </c>
      <c r="N106" s="27" t="str">
        <f aca="false">IF(A106="","",IFERROR(INDEX($D$5:$D$7,MATCH(B106,$A$5:$A$7,0)),0))</f>
        <v/>
      </c>
      <c r="O106" s="34" t="str">
        <f aca="false">IF(A106="","",IF(M106&gt;N106,"",IF(M106=1,"최우수",IF(M106&lt;=3,"우수","장려"))))</f>
        <v/>
      </c>
    </row>
    <row r="107" customFormat="false" ht="15" hidden="false" customHeight="false" outlineLevel="0" collapsed="false">
      <c r="A107" s="34" t="str">
        <f aca="false">IF(작품목록!A100="","",작품목록!A100)</f>
        <v/>
      </c>
      <c r="B107" s="27" t="str">
        <f aca="false">IF($A107="","",작품목록!B100&amp;"")</f>
        <v/>
      </c>
      <c r="C107" s="27" t="str">
        <f aca="false">IF($A107="","",작품목록!C100&amp;IF(작품목록!D100="","",IF(작품목록!D100=작품목록!C100," (2명)"," · "&amp;작품목록!D100)))</f>
        <v/>
      </c>
      <c r="D107" s="27" t="str">
        <f aca="false">IF($A107="","",작품목록!E100&amp;"")</f>
        <v/>
      </c>
      <c r="E107" s="28" t="str">
        <f aca="false">IF($A107="","",작품목록!G100&amp;"")</f>
        <v/>
      </c>
      <c r="F107" s="30" t="str">
        <f aca="false">IF(A107="","",IFERROR(IF(B107="상상",INDEX(심사_상상!$P$5:$P$104,MATCH($A107,심사_상상!$A$5:$A$104,0)),INDEX(심사_블록바이브!$S$5:$S$104,MATCH($A107,심사_블록바이브!$A$5:$A$104,0)))+0,0))</f>
        <v/>
      </c>
      <c r="G107" s="30" t="str">
        <f aca="false">IF(A107="","",IFERROR(IF(B107="상상",INDEX(심사_상상!$Q$5:$Q$104,MATCH($A107,심사_상상!$A$5:$A$104,0)),INDEX(심사_블록바이브!$T$5:$T$104,MATCH($A107,심사_블록바이브!$A$5:$A$104,0)))+0,0))</f>
        <v/>
      </c>
      <c r="H107" s="27" t="str">
        <f aca="false">IF(A107="","",IFERROR(INDEX('좋아요 수'!$J$6:$J$105,MATCH(A107,'좋아요 수'!$E$6:$E$105,0))+0,0))</f>
        <v/>
      </c>
      <c r="I107" s="27" t="str">
        <f aca="false">IF(A107="","",_xlfn.MAXIFS($H$11:$H$110,$B$11:$B$110,B107))</f>
        <v/>
      </c>
      <c r="J107" s="47" t="str">
        <f aca="false">IF(A107="","",IF(N(I107)=0,0,ROUND(H107/I107*50,1)))</f>
        <v/>
      </c>
      <c r="K107" s="29" t="str">
        <f aca="false">IF(A107="","",ROUND(F107+J107,2))</f>
        <v/>
      </c>
      <c r="L107" s="48" t="str">
        <f aca="false">IF(A107="","",K107+G107/10000)</f>
        <v/>
      </c>
      <c r="M107" s="34" t="str">
        <f aca="false">IF(A107="","",COUNTIFS($B$11:$B$110,B107,$L$11:$L$110,"&gt;"&amp;L107)+1)</f>
        <v/>
      </c>
      <c r="N107" s="27" t="str">
        <f aca="false">IF(A107="","",IFERROR(INDEX($D$5:$D$7,MATCH(B107,$A$5:$A$7,0)),0))</f>
        <v/>
      </c>
      <c r="O107" s="34" t="str">
        <f aca="false">IF(A107="","",IF(M107&gt;N107,"",IF(M107=1,"최우수",IF(M107&lt;=3,"우수","장려"))))</f>
        <v/>
      </c>
    </row>
    <row r="108" customFormat="false" ht="15" hidden="false" customHeight="false" outlineLevel="0" collapsed="false">
      <c r="A108" s="34" t="str">
        <f aca="false">IF(작품목록!A101="","",작품목록!A101)</f>
        <v/>
      </c>
      <c r="B108" s="27" t="str">
        <f aca="false">IF($A108="","",작품목록!B101&amp;"")</f>
        <v/>
      </c>
      <c r="C108" s="27" t="str">
        <f aca="false">IF($A108="","",작품목록!C101&amp;IF(작품목록!D101="","",IF(작품목록!D101=작품목록!C101," (2명)"," · "&amp;작품목록!D101)))</f>
        <v/>
      </c>
      <c r="D108" s="27" t="str">
        <f aca="false">IF($A108="","",작품목록!E101&amp;"")</f>
        <v/>
      </c>
      <c r="E108" s="28" t="str">
        <f aca="false">IF($A108="","",작품목록!G101&amp;"")</f>
        <v/>
      </c>
      <c r="F108" s="30" t="str">
        <f aca="false">IF(A108="","",IFERROR(IF(B108="상상",INDEX(심사_상상!$P$5:$P$104,MATCH($A108,심사_상상!$A$5:$A$104,0)),INDEX(심사_블록바이브!$S$5:$S$104,MATCH($A108,심사_블록바이브!$A$5:$A$104,0)))+0,0))</f>
        <v/>
      </c>
      <c r="G108" s="30" t="str">
        <f aca="false">IF(A108="","",IFERROR(IF(B108="상상",INDEX(심사_상상!$Q$5:$Q$104,MATCH($A108,심사_상상!$A$5:$A$104,0)),INDEX(심사_블록바이브!$T$5:$T$104,MATCH($A108,심사_블록바이브!$A$5:$A$104,0)))+0,0))</f>
        <v/>
      </c>
      <c r="H108" s="27" t="str">
        <f aca="false">IF(A108="","",IFERROR(INDEX('좋아요 수'!$J$6:$J$105,MATCH(A108,'좋아요 수'!$E$6:$E$105,0))+0,0))</f>
        <v/>
      </c>
      <c r="I108" s="27" t="str">
        <f aca="false">IF(A108="","",_xlfn.MAXIFS($H$11:$H$110,$B$11:$B$110,B108))</f>
        <v/>
      </c>
      <c r="J108" s="47" t="str">
        <f aca="false">IF(A108="","",IF(N(I108)=0,0,ROUND(H108/I108*50,1)))</f>
        <v/>
      </c>
      <c r="K108" s="29" t="str">
        <f aca="false">IF(A108="","",ROUND(F108+J108,2))</f>
        <v/>
      </c>
      <c r="L108" s="48" t="str">
        <f aca="false">IF(A108="","",K108+G108/10000)</f>
        <v/>
      </c>
      <c r="M108" s="34" t="str">
        <f aca="false">IF(A108="","",COUNTIFS($B$11:$B$110,B108,$L$11:$L$110,"&gt;"&amp;L108)+1)</f>
        <v/>
      </c>
      <c r="N108" s="27" t="str">
        <f aca="false">IF(A108="","",IFERROR(INDEX($D$5:$D$7,MATCH(B108,$A$5:$A$7,0)),0))</f>
        <v/>
      </c>
      <c r="O108" s="34" t="str">
        <f aca="false">IF(A108="","",IF(M108&gt;N108,"",IF(M108=1,"최우수",IF(M108&lt;=3,"우수","장려"))))</f>
        <v/>
      </c>
    </row>
    <row r="109" customFormat="false" ht="15" hidden="false" customHeight="false" outlineLevel="0" collapsed="false">
      <c r="A109" s="34" t="str">
        <f aca="false">IF(작품목록!A102="","",작품목록!A102)</f>
        <v/>
      </c>
      <c r="B109" s="27" t="str">
        <f aca="false">IF($A109="","",작품목록!B102&amp;"")</f>
        <v/>
      </c>
      <c r="C109" s="27" t="str">
        <f aca="false">IF($A109="","",작품목록!C102&amp;IF(작품목록!D102="","",IF(작품목록!D102=작품목록!C102," (2명)"," · "&amp;작품목록!D102)))</f>
        <v/>
      </c>
      <c r="D109" s="27" t="str">
        <f aca="false">IF($A109="","",작품목록!E102&amp;"")</f>
        <v/>
      </c>
      <c r="E109" s="28" t="str">
        <f aca="false">IF($A109="","",작품목록!G102&amp;"")</f>
        <v/>
      </c>
      <c r="F109" s="30" t="str">
        <f aca="false">IF(A109="","",IFERROR(IF(B109="상상",INDEX(심사_상상!$P$5:$P$104,MATCH($A109,심사_상상!$A$5:$A$104,0)),INDEX(심사_블록바이브!$S$5:$S$104,MATCH($A109,심사_블록바이브!$A$5:$A$104,0)))+0,0))</f>
        <v/>
      </c>
      <c r="G109" s="30" t="str">
        <f aca="false">IF(A109="","",IFERROR(IF(B109="상상",INDEX(심사_상상!$Q$5:$Q$104,MATCH($A109,심사_상상!$A$5:$A$104,0)),INDEX(심사_블록바이브!$T$5:$T$104,MATCH($A109,심사_블록바이브!$A$5:$A$104,0)))+0,0))</f>
        <v/>
      </c>
      <c r="H109" s="27" t="str">
        <f aca="false">IF(A109="","",IFERROR(INDEX('좋아요 수'!$J$6:$J$105,MATCH(A109,'좋아요 수'!$E$6:$E$105,0))+0,0))</f>
        <v/>
      </c>
      <c r="I109" s="27" t="str">
        <f aca="false">IF(A109="","",_xlfn.MAXIFS($H$11:$H$110,$B$11:$B$110,B109))</f>
        <v/>
      </c>
      <c r="J109" s="47" t="str">
        <f aca="false">IF(A109="","",IF(N(I109)=0,0,ROUND(H109/I109*50,1)))</f>
        <v/>
      </c>
      <c r="K109" s="29" t="str">
        <f aca="false">IF(A109="","",ROUND(F109+J109,2))</f>
        <v/>
      </c>
      <c r="L109" s="48" t="str">
        <f aca="false">IF(A109="","",K109+G109/10000)</f>
        <v/>
      </c>
      <c r="M109" s="34" t="str">
        <f aca="false">IF(A109="","",COUNTIFS($B$11:$B$110,B109,$L$11:$L$110,"&gt;"&amp;L109)+1)</f>
        <v/>
      </c>
      <c r="N109" s="27" t="str">
        <f aca="false">IF(A109="","",IFERROR(INDEX($D$5:$D$7,MATCH(B109,$A$5:$A$7,0)),0))</f>
        <v/>
      </c>
      <c r="O109" s="34" t="str">
        <f aca="false">IF(A109="","",IF(M109&gt;N109,"",IF(M109=1,"최우수",IF(M109&lt;=3,"우수","장려"))))</f>
        <v/>
      </c>
    </row>
    <row r="110" customFormat="false" ht="15" hidden="false" customHeight="false" outlineLevel="0" collapsed="false">
      <c r="A110" s="34" t="str">
        <f aca="false">IF(작품목록!A103="","",작품목록!A103)</f>
        <v/>
      </c>
      <c r="B110" s="27" t="str">
        <f aca="false">IF($A110="","",작품목록!B103&amp;"")</f>
        <v/>
      </c>
      <c r="C110" s="27" t="str">
        <f aca="false">IF($A110="","",작품목록!C103&amp;IF(작품목록!D103="","",IF(작품목록!D103=작품목록!C103," (2명)"," · "&amp;작품목록!D103)))</f>
        <v/>
      </c>
      <c r="D110" s="27" t="str">
        <f aca="false">IF($A110="","",작품목록!E103&amp;"")</f>
        <v/>
      </c>
      <c r="E110" s="28" t="str">
        <f aca="false">IF($A110="","",작품목록!G103&amp;"")</f>
        <v/>
      </c>
      <c r="F110" s="30" t="str">
        <f aca="false">IF(A110="","",IFERROR(IF(B110="상상",INDEX(심사_상상!$P$5:$P$104,MATCH($A110,심사_상상!$A$5:$A$104,0)),INDEX(심사_블록바이브!$S$5:$S$104,MATCH($A110,심사_블록바이브!$A$5:$A$104,0)))+0,0))</f>
        <v/>
      </c>
      <c r="G110" s="30" t="str">
        <f aca="false">IF(A110="","",IFERROR(IF(B110="상상",INDEX(심사_상상!$Q$5:$Q$104,MATCH($A110,심사_상상!$A$5:$A$104,0)),INDEX(심사_블록바이브!$T$5:$T$104,MATCH($A110,심사_블록바이브!$A$5:$A$104,0)))+0,0))</f>
        <v/>
      </c>
      <c r="H110" s="27" t="str">
        <f aca="false">IF(A110="","",IFERROR(INDEX('좋아요 수'!$J$6:$J$105,MATCH(A110,'좋아요 수'!$E$6:$E$105,0))+0,0))</f>
        <v/>
      </c>
      <c r="I110" s="27" t="str">
        <f aca="false">IF(A110="","",_xlfn.MAXIFS($H$11:$H$110,$B$11:$B$110,B110))</f>
        <v/>
      </c>
      <c r="J110" s="47" t="str">
        <f aca="false">IF(A110="","",IF(N(I110)=0,0,ROUND(H110/I110*50,1)))</f>
        <v/>
      </c>
      <c r="K110" s="29" t="str">
        <f aca="false">IF(A110="","",ROUND(F110+J110,2))</f>
        <v/>
      </c>
      <c r="L110" s="48" t="str">
        <f aca="false">IF(A110="","",K110+G110/10000)</f>
        <v/>
      </c>
      <c r="M110" s="34" t="str">
        <f aca="false">IF(A110="","",COUNTIFS($B$11:$B$110,B110,$L$11:$L$110,"&gt;"&amp;L110)+1)</f>
        <v/>
      </c>
      <c r="N110" s="27" t="str">
        <f aca="false">IF(A110="","",IFERROR(INDEX($D$5:$D$7,MATCH(B110,$A$5:$A$7,0)),0))</f>
        <v/>
      </c>
      <c r="O110" s="34" t="str">
        <f aca="false">IF(A110="","",IF(M110&gt;N110,"",IF(M110=1,"최우수",IF(M110&lt;=3,"우수","장려"))))</f>
        <v/>
      </c>
    </row>
  </sheetData>
  <autoFilter ref="A10:O110"/>
  <conditionalFormatting sqref="A11:O110">
    <cfRule type="expression" priority="2" aboveAverage="0" equalAverage="0" bottom="0" percent="0" rank="0" text="" dxfId="6">
      <formula>$O11="최우수"</formula>
    </cfRule>
    <cfRule type="expression" priority="3" aboveAverage="0" equalAverage="0" bottom="0" percent="0" rank="0" text="" dxfId="12">
      <formula>$O11="우수"</formula>
    </cfRule>
    <cfRule type="expression" priority="4" aboveAverage="0" equalAverage="0" bottom="0" percent="0" rank="0" text="" dxfId="13">
      <formula>$O11="장려"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/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2026-10-22T23:08:58Z</dcterms:created>
  <dc:creator>openpyxl</dc:creator>
  <dc:description/>
  <dc:language>en-US</dc:language>
  <cp:lastModifiedBy/>
  <dcterms:modified xsi:type="dcterms:W3CDTF">2026-10-22T23:08:58Z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