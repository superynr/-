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작품목록" sheetId="2" state="visible" r:id="rId2"/>
    <sheet xmlns:r="http://schemas.openxmlformats.org/officeDocument/2006/relationships" name="심사_블록바이브" sheetId="3" state="visible" r:id="rId3"/>
    <sheet xmlns:r="http://schemas.openxmlformats.org/officeDocument/2006/relationships" name="심사_상상" sheetId="4" state="visible" r:id="rId4"/>
    <sheet xmlns:r="http://schemas.openxmlformats.org/officeDocument/2006/relationships" name="투표집계" sheetId="5" state="visible" r:id="rId5"/>
    <sheet xmlns:r="http://schemas.openxmlformats.org/officeDocument/2006/relationships" name="최종결과" sheetId="6" state="visible" r:id="rId6"/>
  </sheets>
  <definedNames>
    <definedName name="_xlnm._FilterDatabase" localSheetId="1" hidden="1">'작품목록'!$A$3:$G$103</definedName>
    <definedName name="_xlnm.Print_Titles" localSheetId="1">'작품목록'!$3:$3</definedName>
    <definedName name="_xlnm.Print_Titles" localSheetId="2">'심사_블록바이브'!$3:$4</definedName>
    <definedName name="_xlnm.Print_Titles" localSheetId="3">'심사_상상'!$3:$4</definedName>
    <definedName name="_xlnm.Print_Titles" localSheetId="4">'투표집계'!$5:$5</definedName>
    <definedName name="_xlnm._FilterDatabase" localSheetId="5" hidden="1">'최종결과'!$A$10:$O$110</definedName>
    <definedName name="_xlnm.Print_Titles" localSheetId="5">'최종결과'!$10:$10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11">
    <font>
      <name val="Calibri"/>
      <family val="2"/>
      <color theme="1"/>
      <sz val="11"/>
      <scheme val="minor"/>
    </font>
    <font>
      <name val="맑은 고딕"/>
      <b val="1"/>
      <color rgb="001F4E79"/>
      <sz val="16"/>
    </font>
    <font>
      <name val="맑은 고딕"/>
      <color rgb="00595959"/>
      <sz val="10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F4E79"/>
      <sz val="12"/>
    </font>
    <font>
      <name val="맑은 고딕"/>
      <b val="1"/>
      <color rgb="00000000"/>
      <sz val="10"/>
    </font>
    <font>
      <name val="맑은 고딕"/>
      <b val="1"/>
      <color rgb="001F4E79"/>
      <sz val="11"/>
    </font>
    <font>
      <name val="맑은 고딕"/>
      <b val="1"/>
      <color rgb="00C00000"/>
      <sz val="10"/>
    </font>
    <font>
      <name val="맑은 고딕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FD96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D9E1F2"/>
      </patternFill>
    </fill>
  </fills>
  <borders count="9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/>
      <top/>
      <bottom/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4" pivotButton="0" quotePrefix="0" xfId="0"/>
    <xf numFmtId="0" fontId="7" fillId="9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2" fontId="4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ont>
        <name val="맑은 고딕"/>
        <b val="1"/>
      </font>
      <fill>
        <patternFill patternType="solid">
          <fgColor rgb="00FFD966"/>
        </patternFill>
      </fill>
    </dxf>
    <dxf>
      <font>
        <name val="맑은 고딕"/>
        <b val="1"/>
      </font>
      <fill>
        <patternFill patternType="solid">
          <fgColor rgb="00DDEBF7"/>
        </patternFill>
      </fill>
    </dxf>
    <dxf>
      <font>
        <name val="맑은 고딕"/>
        <b val="1"/>
      </font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AI 업무팀</author>
  </authors>
  <commentList>
    <comment ref="G5" authorId="0" shapeId="0">
      <text>
        <t>시상 기준: 부문별 참가 작품 수의 상위 10% 내외 (학업성적관리규정 교내상 비율 범위 내). 필요하면 바꾸세요.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90" customWidth="1" min="3" max="3"/>
  </cols>
  <sheetData>
    <row r="1" ht="28" customHeight="1">
      <c r="A1" s="1" t="inlineStr">
        <is>
          <t>2026 위례 AI 코딩 챌린지 — 심사표 및 투표 합산 (사용법)</t>
        </is>
      </c>
    </row>
    <row r="2">
      <c r="A2" s="2" t="inlineStr">
        <is>
          <t>학생 투표 50점 + 업무팀 심사 50점 = 100점 · 엑셀이 자동으로 합산해요. 노란 칸만 입력하세요.</t>
        </is>
      </c>
    </row>
    <row r="4">
      <c r="A4" s="3" t="inlineStr">
        <is>
          <t>단계</t>
        </is>
      </c>
      <c r="B4" s="3" t="inlineStr">
        <is>
          <t>시트</t>
        </is>
      </c>
      <c r="C4" s="3" t="inlineStr">
        <is>
          <t>할 일</t>
        </is>
      </c>
    </row>
    <row r="5" ht="48" customHeight="1">
      <c r="A5" s="4" t="n">
        <v>1</v>
      </c>
      <c r="B5" s="5" t="inlineStr">
        <is>
          <t>작품목록</t>
        </is>
      </c>
      <c r="C5" s="6" t="inlineStr">
        <is>
          <t>본선 작품을 한 줄에 하나씩 입력해요. 작품번호는 블록코딩 B-01, 바이브코딩 V-01, 상상 S-01처럼 두 자리로 써요. 부문은 '블록 / 바이브 / 상상' 중에서 고르세요(목록 선택). 예시 24개 행은 지우고 실제 작품으로 바꾸세요. (최대 100개)</t>
        </is>
      </c>
    </row>
    <row r="6" ht="48" customHeight="1">
      <c r="A6" s="4" t="n">
        <v>2</v>
      </c>
      <c r="B6" s="5" t="inlineStr">
        <is>
          <t>심사_블록바이브 / 심사_상상</t>
        </is>
      </c>
      <c r="C6" s="6" t="inlineStr">
        <is>
          <t>A열에 작품번호를 쓰면 부문·작품 이름이 자동으로 나와요. 심사위원 3명이 항목별 점수를 입력하면 심사위원별 합계, 평균(50점 만점), 동점 기준 점수(제작 과정 평균 / 아이디어 독창성 평균)가 자동 계산돼요. 배점보다 큰 점수는 입력되지 않아요(데이터 유효성 검사).</t>
        </is>
      </c>
    </row>
    <row r="7" ht="48" customHeight="1">
      <c r="A7" s="4" t="n">
        <v>3</v>
      </c>
      <c r="B7" s="5" t="inlineStr">
        <is>
          <t>투표집계 (왼쪽 A~D열)</t>
        </is>
      </c>
      <c r="C7" s="6" t="inlineStr">
        <is>
          <t>구글 폼 → 응답 → 스프레드시트(구글 시트)에서 응답 전체를 복사해 A6 칸에 '값만 붙여넣기'해요. 열 순서: 타임스탬프 / 이메일 주소 / 블록코딩 투표 / 바이브코딩 투표. 체크박스 응답은 'B-01 구구단 우주선, B-03 씨앗 키우기 순서 게임'처럼 쉼표로 이어져 들어와요. 예시 30행은 지우고 붙여 넣으세요.</t>
        </is>
      </c>
    </row>
    <row r="8" ht="48" customHeight="1">
      <c r="A8" s="4" t="n">
        <v>4</v>
      </c>
      <c r="B8" s="5" t="inlineStr">
        <is>
          <t>투표집계 (오른쪽 O열)</t>
        </is>
      </c>
      <c r="C8" s="6" t="inlineStr">
        <is>
          <t>상상 부문은 스티커 투표이므로 작품별 스티커 수를 O열 노란 칸에 직접 입력해요. 3개를 넘게 고른 응답이나 같은 이메일의 두 번째 응답은 빨간색으로 표시되고 자동으로 집계에서 빠져요(I열 확인 메시지).</t>
        </is>
      </c>
    </row>
    <row r="9" ht="48" customHeight="1">
      <c r="A9" s="4" t="n">
        <v>5</v>
      </c>
      <c r="B9" s="5" t="inlineStr">
        <is>
          <t>최종결과</t>
        </is>
      </c>
      <c r="C9" s="6" t="inlineStr">
        <is>
          <t>위쪽 표에 부문별 '전체 참가 작품 수'(1차 심사 전 제출된 모든 작품 수)를 입력하면 수상 인원(10%, 반올림, 최소 1명)이 계산돼요. 아래 표에서 심사 점수·투표 점수·총점·부문 내 순위·수상 추천을 확인하세요. 필터(▼)로 부문별로 보고 '순위' 기준으로 정렬하면 돼요.</t>
        </is>
      </c>
    </row>
    <row r="10" ht="48" customHeight="1">
      <c r="A10" s="4" t="n">
        <v>6</v>
      </c>
      <c r="B10" s="5" t="inlineStr">
        <is>
          <t>확인 및 결재</t>
        </is>
      </c>
      <c r="C10" s="6" t="inlineStr">
        <is>
          <t>동점·수상 추천 결과를 업무팀이 함께 확인하고, 최종 수상자는 학업성적관리규정의 교내상 비율 범위 안에서 확정해요. 인쇄는 A4 가로로 설정되어 있어요.</t>
        </is>
      </c>
    </row>
    <row r="12">
      <c r="A12" s="7" t="inlineStr">
        <is>
          <t>색깔 안내</t>
        </is>
      </c>
    </row>
    <row r="13">
      <c r="B13" s="8" t="inlineStr"/>
      <c r="C13" s="9" t="inlineStr">
        <is>
          <t>노란 칸 = 입력하는 칸 (작품 정보, 심사 점수, 투표 응답, 스티커 수, 참가 작품 수)</t>
        </is>
      </c>
    </row>
    <row r="14">
      <c r="B14" s="10" t="inlineStr"/>
      <c r="C14" s="9" t="inlineStr">
        <is>
          <t>회색 칸 = 자동 계산 칸 (수식이 들어 있으니 지우거나 고치지 마세요)</t>
        </is>
      </c>
    </row>
    <row r="15">
      <c r="B15" s="11" t="inlineStr"/>
      <c r="C15" s="9" t="inlineStr">
        <is>
          <t>금색 줄 = 최우수 추천</t>
        </is>
      </c>
    </row>
    <row r="16">
      <c r="B16" s="12" t="inlineStr"/>
      <c r="C16" s="9" t="inlineStr">
        <is>
          <t>하늘색 줄 = 우수 추천</t>
        </is>
      </c>
    </row>
    <row r="17">
      <c r="B17" s="13" t="inlineStr"/>
      <c r="C17" s="9" t="inlineStr">
        <is>
          <t>연두색 줄 = 장려 추천</t>
        </is>
      </c>
    </row>
    <row r="18">
      <c r="B18" s="14" t="inlineStr"/>
      <c r="C18" s="9" t="inlineStr">
        <is>
          <t>빨간 줄(투표집계) = 집계에서 빠지는 응답(3개 초과 선택 또는 중복 응답)</t>
        </is>
      </c>
    </row>
    <row r="20">
      <c r="A20" s="7" t="inlineStr">
        <is>
          <t>계산 규칙</t>
        </is>
      </c>
    </row>
    <row r="21" ht="44" customHeight="1">
      <c r="B21" s="5" t="inlineStr">
        <is>
          <t>심사 점수(50)</t>
        </is>
      </c>
      <c r="C21" s="6" t="inlineStr">
        <is>
          <t>심사위원 3명 합계의 평균. 블록·바이브: 교과 연계성 15 + 학습 도움 정도 15 + 제작 과정 15 + 창의성 5 / 상상: 교과 연계성 15 + 아이디어 독창성 20 + 표현력 15. 입력된 심사위원 수만큼만 평균해요.</t>
        </is>
      </c>
    </row>
    <row r="22" ht="44" customHeight="1">
      <c r="B22" s="5" t="inlineStr">
        <is>
          <t>투표 점수(50)</t>
        </is>
      </c>
      <c r="C22" s="6" t="inlineStr">
        <is>
          <t>(작품 득표 수 ÷ 그 부문 최다 득표 수) × 50, 소수 첫째 자리 반올림. 블록·바이브는 구글 폼 득표, 상상은 스티커 수(1인 3장).</t>
        </is>
      </c>
    </row>
    <row r="23" ht="44" customHeight="1">
      <c r="B23" s="5" t="inlineStr">
        <is>
          <t>총점(100)</t>
        </is>
      </c>
      <c r="C23" s="6" t="inlineStr">
        <is>
          <t>심사 점수 + 투표 점수 (소수 둘째 자리 반올림).</t>
        </is>
      </c>
    </row>
    <row r="24" ht="44" customHeight="1">
      <c r="B24" s="5" t="inlineStr">
        <is>
          <t>동점 처리</t>
        </is>
      </c>
      <c r="C24" s="6" t="inlineStr">
        <is>
          <t>총점이 같으면 블록·바이브는 '제작 과정' 평균이, 상상은 '아이디어 독창성' 평균이 높은 작품이 앞 순위. (정렬 기준 = 총점 + 동점 기준 점수 ÷ 10000 — 총점 차이를 뒤집지 않는 아주 작은 값) 그래도 같으면 같은 순위로 표시되니 업무팀이 협의해요.</t>
        </is>
      </c>
    </row>
    <row r="25" ht="44" customHeight="1">
      <c r="B25" s="5" t="inlineStr">
        <is>
          <t>수상 인원</t>
        </is>
      </c>
      <c r="C25" s="6" t="inlineStr">
        <is>
          <t>부문별 전체 참가 작품 수 × 10%(최종결과 시트 노란 칸에서 비율 변경 가능), 반올림, 최소 1명. 참가 작품 수를 비워 두면 본선 작품 수로 계산해요.</t>
        </is>
      </c>
    </row>
    <row r="26" ht="44" customHeight="1">
      <c r="B26" s="5" t="inlineStr">
        <is>
          <t>수상 추천</t>
        </is>
      </c>
      <c r="C26" s="6" t="inlineStr">
        <is>
          <t>수상 인원 안에서 1위 = 최우수, 2~3위 = 우수, 4위부터 = 장려. (예: 수상 인원 5명 → 최우수 1, 우수 2, 장려 2)</t>
        </is>
      </c>
    </row>
    <row r="27" ht="44" customHeight="1">
      <c r="B27" s="5" t="inlineStr">
        <is>
          <t>작품번호 주의</t>
        </is>
      </c>
      <c r="C27" s="6" t="inlineStr">
        <is>
          <t>작품번호는 반드시 'B-01'처럼 두 자리로. 구글 폼 체크박스 선택지 이름은 'B-01 구구단 우주선'처럼 작품번호로 시작하게 하고, 선택지 이름에 쉼표(,)를 넣지 마세요(선택 개수를 쉼표로 세요).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4" customWidth="1" min="4" max="4"/>
    <col width="34" customWidth="1" min="5" max="5"/>
    <col width="30" customWidth="1" min="6" max="6"/>
    <col width="40" customWidth="1" min="7" max="7"/>
  </cols>
  <sheetData>
    <row r="1" ht="28" customHeight="1">
      <c r="A1" s="1" t="inlineStr">
        <is>
          <t>작품목록 (본선 진출작)</t>
        </is>
      </c>
    </row>
    <row r="2">
      <c r="A2" s="2" t="inlineStr">
        <is>
          <t>작품번호: 블록코딩 B-01~, 바이브코딩 V-01~, 상상 S-01~ · 최대 100개 · 예시 행은 지우고 실제 작품을 입력하세요.</t>
        </is>
      </c>
    </row>
    <row r="3">
      <c r="A3" s="3" t="inlineStr">
        <is>
          <t>작품번호</t>
        </is>
      </c>
      <c r="B3" s="3" t="inlineStr">
        <is>
          <t>부문</t>
        </is>
      </c>
      <c r="C3" s="3" t="inlineStr">
        <is>
          <t>학년반</t>
        </is>
      </c>
      <c r="D3" s="3" t="inlineStr">
        <is>
          <t>이름(팀)</t>
        </is>
      </c>
      <c r="E3" s="3" t="inlineStr">
        <is>
          <t>교과·단원</t>
        </is>
      </c>
      <c r="F3" s="3" t="inlineStr">
        <is>
          <t>작품 이름</t>
        </is>
      </c>
      <c r="G3" s="3" t="inlineStr">
        <is>
          <t>링크</t>
        </is>
      </c>
    </row>
    <row r="4">
      <c r="A4" s="15" t="inlineStr">
        <is>
          <t>B-01</t>
        </is>
      </c>
      <c r="B4" s="15" t="inlineStr">
        <is>
          <t>블록</t>
        </is>
      </c>
      <c r="C4" s="15" t="inlineStr">
        <is>
          <t>3학년 2반</t>
        </is>
      </c>
      <c r="D4" s="15" t="inlineStr">
        <is>
          <t>최○○</t>
        </is>
      </c>
      <c r="E4" s="16" t="inlineStr">
        <is>
          <t>수학 「곱셈」</t>
        </is>
      </c>
      <c r="F4" s="16" t="inlineStr">
        <is>
          <t>구구단 우주선</t>
        </is>
      </c>
      <c r="G4" s="16" t="inlineStr">
        <is>
          <t>https://example.com/wirye-ai/B-01</t>
        </is>
      </c>
    </row>
    <row r="5">
      <c r="A5" s="15" t="inlineStr">
        <is>
          <t>B-02</t>
        </is>
      </c>
      <c r="B5" s="15" t="inlineStr">
        <is>
          <t>블록</t>
        </is>
      </c>
      <c r="C5" s="15" t="inlineStr">
        <is>
          <t>6학년 4반</t>
        </is>
      </c>
      <c r="D5" s="15" t="inlineStr">
        <is>
          <t>정○○</t>
        </is>
      </c>
      <c r="E5" s="16" t="inlineStr">
        <is>
          <t>영어 「What's your favorite subject?」</t>
        </is>
      </c>
      <c r="F5" s="16" t="inlineStr">
        <is>
          <t>영어 단어 짝 맞추기</t>
        </is>
      </c>
      <c r="G5" s="16" t="inlineStr">
        <is>
          <t>https://example.com/wirye-ai/B-02</t>
        </is>
      </c>
    </row>
    <row r="6">
      <c r="A6" s="15" t="inlineStr">
        <is>
          <t>B-03</t>
        </is>
      </c>
      <c r="B6" s="15" t="inlineStr">
        <is>
          <t>블록</t>
        </is>
      </c>
      <c r="C6" s="15" t="inlineStr">
        <is>
          <t>4학년 1반</t>
        </is>
      </c>
      <c r="D6" s="15" t="inlineStr">
        <is>
          <t>윤○○</t>
        </is>
      </c>
      <c r="E6" s="16" t="inlineStr">
        <is>
          <t>과학 「식물의 한살이」</t>
        </is>
      </c>
      <c r="F6" s="16" t="inlineStr">
        <is>
          <t>씨앗 키우기 순서 게임</t>
        </is>
      </c>
      <c r="G6" s="16" t="inlineStr">
        <is>
          <t>https://example.com/wirye-ai/B-03</t>
        </is>
      </c>
    </row>
    <row r="7">
      <c r="A7" s="15" t="inlineStr">
        <is>
          <t>B-04</t>
        </is>
      </c>
      <c r="B7" s="15" t="inlineStr">
        <is>
          <t>블록</t>
        </is>
      </c>
      <c r="C7" s="15" t="inlineStr">
        <is>
          <t>5학년 3반</t>
        </is>
      </c>
      <c r="D7" s="15" t="inlineStr">
        <is>
          <t>강○○·조○○</t>
        </is>
      </c>
      <c r="E7" s="16" t="inlineStr">
        <is>
          <t>수학 「약수와 배수」</t>
        </is>
      </c>
      <c r="F7" s="16" t="inlineStr">
        <is>
          <t>배수 사냥꾼</t>
        </is>
      </c>
      <c r="G7" s="16" t="inlineStr">
        <is>
          <t>https://example.com/wirye-ai/B-04</t>
        </is>
      </c>
    </row>
    <row r="8">
      <c r="A8" s="15" t="inlineStr">
        <is>
          <t>B-05</t>
        </is>
      </c>
      <c r="B8" s="15" t="inlineStr">
        <is>
          <t>블록</t>
        </is>
      </c>
      <c r="C8" s="15" t="inlineStr">
        <is>
          <t>3학년 5반</t>
        </is>
      </c>
      <c r="D8" s="15" t="inlineStr">
        <is>
          <t>임○○</t>
        </is>
      </c>
      <c r="E8" s="16" t="inlineStr">
        <is>
          <t>국어 「낱말을 분류해요」</t>
        </is>
      </c>
      <c r="F8" s="16" t="inlineStr">
        <is>
          <t>낱말 바구니 분류하기</t>
        </is>
      </c>
      <c r="G8" s="16" t="inlineStr">
        <is>
          <t>https://example.com/wirye-ai/B-05</t>
        </is>
      </c>
    </row>
    <row r="9">
      <c r="A9" s="15" t="inlineStr">
        <is>
          <t>B-06</t>
        </is>
      </c>
      <c r="B9" s="15" t="inlineStr">
        <is>
          <t>블록</t>
        </is>
      </c>
      <c r="C9" s="15" t="inlineStr">
        <is>
          <t>6학년 2반</t>
        </is>
      </c>
      <c r="D9" s="15" t="inlineStr">
        <is>
          <t>오○○</t>
        </is>
      </c>
      <c r="E9" s="16" t="inlineStr">
        <is>
          <t>과학 「태양계와 별」</t>
        </is>
      </c>
      <c r="F9" s="16" t="inlineStr">
        <is>
          <t>행성 순서 맞히기</t>
        </is>
      </c>
      <c r="G9" s="16" t="inlineStr">
        <is>
          <t>https://example.com/wirye-ai/B-06</t>
        </is>
      </c>
    </row>
    <row r="10">
      <c r="A10" s="15" t="inlineStr">
        <is>
          <t>B-07</t>
        </is>
      </c>
      <c r="B10" s="15" t="inlineStr">
        <is>
          <t>블록</t>
        </is>
      </c>
      <c r="C10" s="15" t="inlineStr">
        <is>
          <t>4학년 6반</t>
        </is>
      </c>
      <c r="D10" s="15" t="inlineStr">
        <is>
          <t>서○○</t>
        </is>
      </c>
      <c r="E10" s="16" t="inlineStr">
        <is>
          <t>사회 「지역의 위치와 특성」</t>
        </is>
      </c>
      <c r="F10" s="16" t="inlineStr">
        <is>
          <t>우리 지역 지도 탐험</t>
        </is>
      </c>
      <c r="G10" s="16" t="inlineStr">
        <is>
          <t>https://example.com/wirye-ai/B-07</t>
        </is>
      </c>
    </row>
    <row r="11">
      <c r="A11" s="15" t="inlineStr">
        <is>
          <t>B-08</t>
        </is>
      </c>
      <c r="B11" s="15" t="inlineStr">
        <is>
          <t>블록</t>
        </is>
      </c>
      <c r="C11" s="15" t="inlineStr">
        <is>
          <t>5학년 2반</t>
        </is>
      </c>
      <c r="D11" s="15" t="inlineStr">
        <is>
          <t>신○○</t>
        </is>
      </c>
      <c r="E11" s="16" t="inlineStr">
        <is>
          <t>수학 「분수의 덧셈과 뺄셈」</t>
        </is>
      </c>
      <c r="F11" s="16" t="inlineStr">
        <is>
          <t>분수 피자 가게</t>
        </is>
      </c>
      <c r="G11" s="16" t="inlineStr">
        <is>
          <t>https://example.com/wirye-ai/B-08</t>
        </is>
      </c>
    </row>
    <row r="12">
      <c r="A12" s="15" t="inlineStr">
        <is>
          <t>V-01</t>
        </is>
      </c>
      <c r="B12" s="15" t="inlineStr">
        <is>
          <t>바이브</t>
        </is>
      </c>
      <c r="C12" s="15" t="inlineStr">
        <is>
          <t>4학년 3반</t>
        </is>
      </c>
      <c r="D12" s="15" t="inlineStr">
        <is>
          <t>김○○</t>
        </is>
      </c>
      <c r="E12" s="16" t="inlineStr">
        <is>
          <t>수학 「각도」</t>
        </is>
      </c>
      <c r="F12" s="16" t="inlineStr">
        <is>
          <t>각도 탐정 게임</t>
        </is>
      </c>
      <c r="G12" s="16" t="inlineStr">
        <is>
          <t>https://example.com/wirye-ai/V-01</t>
        </is>
      </c>
    </row>
    <row r="13">
      <c r="A13" s="15" t="inlineStr">
        <is>
          <t>V-02</t>
        </is>
      </c>
      <c r="B13" s="15" t="inlineStr">
        <is>
          <t>바이브</t>
        </is>
      </c>
      <c r="C13" s="15" t="inlineStr">
        <is>
          <t>5학년 1반</t>
        </is>
      </c>
      <c r="D13" s="15" t="inlineStr">
        <is>
          <t>이○○·박○○</t>
        </is>
      </c>
      <c r="E13" s="16" t="inlineStr">
        <is>
          <t>사회 「국토와 우리 생활」</t>
        </is>
      </c>
      <c r="F13" s="16" t="inlineStr">
        <is>
          <t>우리나라 시·도 퀴즈</t>
        </is>
      </c>
      <c r="G13" s="16" t="inlineStr">
        <is>
          <t>https://example.com/wirye-ai/V-02</t>
        </is>
      </c>
    </row>
    <row r="14">
      <c r="A14" s="15" t="inlineStr">
        <is>
          <t>V-03</t>
        </is>
      </c>
      <c r="B14" s="15" t="inlineStr">
        <is>
          <t>바이브</t>
        </is>
      </c>
      <c r="C14" s="15" t="inlineStr">
        <is>
          <t>6학년 1반</t>
        </is>
      </c>
      <c r="D14" s="15" t="inlineStr">
        <is>
          <t>홍○○</t>
        </is>
      </c>
      <c r="E14" s="16" t="inlineStr">
        <is>
          <t>과학 「산과 염기」</t>
        </is>
      </c>
      <c r="F14" s="16" t="inlineStr">
        <is>
          <t>지시약 색깔 실험실</t>
        </is>
      </c>
      <c r="G14" s="16" t="inlineStr">
        <is>
          <t>https://example.com/wirye-ai/V-03</t>
        </is>
      </c>
    </row>
    <row r="15">
      <c r="A15" s="15" t="inlineStr">
        <is>
          <t>V-04</t>
        </is>
      </c>
      <c r="B15" s="15" t="inlineStr">
        <is>
          <t>바이브</t>
        </is>
      </c>
      <c r="C15" s="15" t="inlineStr">
        <is>
          <t>3학년 4반</t>
        </is>
      </c>
      <c r="D15" s="15" t="inlineStr">
        <is>
          <t>문○○</t>
        </is>
      </c>
      <c r="E15" s="16" t="inlineStr">
        <is>
          <t>국어 「중심 생각을 찾아요」</t>
        </is>
      </c>
      <c r="F15" s="16" t="inlineStr">
        <is>
          <t>중심 문장 찾기 놀이</t>
        </is>
      </c>
      <c r="G15" s="16" t="inlineStr">
        <is>
          <t>https://example.com/wirye-ai/V-04</t>
        </is>
      </c>
    </row>
    <row r="16">
      <c r="A16" s="15" t="inlineStr">
        <is>
          <t>V-05</t>
        </is>
      </c>
      <c r="B16" s="15" t="inlineStr">
        <is>
          <t>바이브</t>
        </is>
      </c>
      <c r="C16" s="15" t="inlineStr">
        <is>
          <t>5학년 4반</t>
        </is>
      </c>
      <c r="D16" s="15" t="inlineStr">
        <is>
          <t>양○○</t>
        </is>
      </c>
      <c r="E16" s="16" t="inlineStr">
        <is>
          <t>영어 「How much is it?」</t>
        </is>
      </c>
      <c r="F16" s="16" t="inlineStr">
        <is>
          <t>영어 시장 놀이</t>
        </is>
      </c>
      <c r="G16" s="16" t="inlineStr">
        <is>
          <t>https://example.com/wirye-ai/V-05</t>
        </is>
      </c>
    </row>
    <row r="17">
      <c r="A17" s="15" t="inlineStr">
        <is>
          <t>V-06</t>
        </is>
      </c>
      <c r="B17" s="15" t="inlineStr">
        <is>
          <t>바이브</t>
        </is>
      </c>
      <c r="C17" s="15" t="inlineStr">
        <is>
          <t>4학년 2반</t>
        </is>
      </c>
      <c r="D17" s="15" t="inlineStr">
        <is>
          <t>배○○·백○○</t>
        </is>
      </c>
      <c r="E17" s="16" t="inlineStr">
        <is>
          <t>과학 「물의 상태 변화」</t>
        </is>
      </c>
      <c r="F17" s="16" t="inlineStr">
        <is>
          <t>얼음·물·수증기 변신 퀴즈</t>
        </is>
      </c>
      <c r="G17" s="16" t="inlineStr">
        <is>
          <t>https://example.com/wirye-ai/V-06</t>
        </is>
      </c>
    </row>
    <row r="18">
      <c r="A18" s="15" t="inlineStr">
        <is>
          <t>V-07</t>
        </is>
      </c>
      <c r="B18" s="15" t="inlineStr">
        <is>
          <t>바이브</t>
        </is>
      </c>
      <c r="C18" s="15" t="inlineStr">
        <is>
          <t>6학년 3반</t>
        </is>
      </c>
      <c r="D18" s="15" t="inlineStr">
        <is>
          <t>송○○</t>
        </is>
      </c>
      <c r="E18" s="16" t="inlineStr">
        <is>
          <t>수학 「비와 비율」</t>
        </is>
      </c>
      <c r="F18" s="16" t="inlineStr">
        <is>
          <t>비율 요리사</t>
        </is>
      </c>
      <c r="G18" s="16" t="inlineStr">
        <is>
          <t>https://example.com/wirye-ai/V-07</t>
        </is>
      </c>
    </row>
    <row r="19">
      <c r="A19" s="15" t="inlineStr">
        <is>
          <t>V-08</t>
        </is>
      </c>
      <c r="B19" s="15" t="inlineStr">
        <is>
          <t>바이브</t>
        </is>
      </c>
      <c r="C19" s="15" t="inlineStr">
        <is>
          <t>3학년 1반</t>
        </is>
      </c>
      <c r="D19" s="15" t="inlineStr">
        <is>
          <t>유○○</t>
        </is>
      </c>
      <c r="E19" s="16" t="inlineStr">
        <is>
          <t>사회 「우리 고장의 모습」</t>
        </is>
      </c>
      <c r="F19" s="16" t="inlineStr">
        <is>
          <t>고장 지도 기호 카드</t>
        </is>
      </c>
      <c r="G19" s="16" t="inlineStr">
        <is>
          <t>https://example.com/wirye-ai/V-08</t>
        </is>
      </c>
    </row>
    <row r="20">
      <c r="A20" s="15" t="inlineStr">
        <is>
          <t>S-01</t>
        </is>
      </c>
      <c r="B20" s="15" t="inlineStr">
        <is>
          <t>상상</t>
        </is>
      </c>
      <c r="C20" s="15" t="inlineStr">
        <is>
          <t>2학년 1반</t>
        </is>
      </c>
      <c r="D20" s="15" t="inlineStr">
        <is>
          <t>한○○</t>
        </is>
      </c>
      <c r="E20" s="16" t="inlineStr">
        <is>
          <t>국어 「받침 친구」</t>
        </is>
      </c>
      <c r="F20" s="16" t="inlineStr">
        <is>
          <t>받침 친구 로봇 '받침이'</t>
        </is>
      </c>
      <c r="G20" s="16" t="inlineStr">
        <is>
          <t>(실물 활동지 전시)</t>
        </is>
      </c>
    </row>
    <row r="21">
      <c r="A21" s="15" t="inlineStr">
        <is>
          <t>S-02</t>
        </is>
      </c>
      <c r="B21" s="15" t="inlineStr">
        <is>
          <t>상상</t>
        </is>
      </c>
      <c r="C21" s="15" t="inlineStr">
        <is>
          <t>1학년 3반</t>
        </is>
      </c>
      <c r="D21" s="15" t="inlineStr">
        <is>
          <t>장○○</t>
        </is>
      </c>
      <c r="E21" s="16" t="inlineStr">
        <is>
          <t>수학 「덧셈과 뺄셈」</t>
        </is>
      </c>
      <c r="F21" s="16" t="inlineStr">
        <is>
          <t>덧셈 요정 '더하리'</t>
        </is>
      </c>
      <c r="G21" s="16" t="inlineStr">
        <is>
          <t>(실물 활동지 전시)</t>
        </is>
      </c>
    </row>
    <row r="22">
      <c r="A22" s="15" t="inlineStr">
        <is>
          <t>S-03</t>
        </is>
      </c>
      <c r="B22" s="15" t="inlineStr">
        <is>
          <t>상상</t>
        </is>
      </c>
      <c r="C22" s="15" t="inlineStr">
        <is>
          <t>2학년 4반</t>
        </is>
      </c>
      <c r="D22" s="15" t="inlineStr">
        <is>
          <t>권○○</t>
        </is>
      </c>
      <c r="E22" s="16" t="inlineStr">
        <is>
          <t>통합 「가을」</t>
        </is>
      </c>
      <c r="F22" s="16" t="inlineStr">
        <is>
          <t>낙엽 이름 알려 주는 다람쥐 AI</t>
        </is>
      </c>
      <c r="G22" s="16" t="inlineStr">
        <is>
          <t>(실물 활동지 전시)</t>
        </is>
      </c>
    </row>
    <row r="23">
      <c r="A23" s="15" t="inlineStr">
        <is>
          <t>S-04</t>
        </is>
      </c>
      <c r="B23" s="15" t="inlineStr">
        <is>
          <t>상상</t>
        </is>
      </c>
      <c r="C23" s="15" t="inlineStr">
        <is>
          <t>1학년 1반</t>
        </is>
      </c>
      <c r="D23" s="15" t="inlineStr">
        <is>
          <t>황○○</t>
        </is>
      </c>
      <c r="E23" s="16" t="inlineStr">
        <is>
          <t>국어 「글자를 만들어요」</t>
        </is>
      </c>
      <c r="F23" s="16" t="inlineStr">
        <is>
          <t>자음 모음 블록 친구</t>
        </is>
      </c>
      <c r="G23" s="16" t="inlineStr">
        <is>
          <t>(실물 활동지 전시)</t>
        </is>
      </c>
    </row>
    <row r="24">
      <c r="A24" s="15" t="inlineStr">
        <is>
          <t>S-05</t>
        </is>
      </c>
      <c r="B24" s="15" t="inlineStr">
        <is>
          <t>상상</t>
        </is>
      </c>
      <c r="C24" s="15" t="inlineStr">
        <is>
          <t>2학년 2반</t>
        </is>
      </c>
      <c r="D24" s="15" t="inlineStr">
        <is>
          <t>안○○</t>
        </is>
      </c>
      <c r="E24" s="16" t="inlineStr">
        <is>
          <t>수학 「시각과 시간」</t>
        </is>
      </c>
      <c r="F24" s="16" t="inlineStr">
        <is>
          <t>시계 읽어 주는 부엉이</t>
        </is>
      </c>
      <c r="G24" s="16" t="inlineStr">
        <is>
          <t>(실물 활동지 전시)</t>
        </is>
      </c>
    </row>
    <row r="25">
      <c r="A25" s="15" t="inlineStr">
        <is>
          <t>S-06</t>
        </is>
      </c>
      <c r="B25" s="15" t="inlineStr">
        <is>
          <t>상상</t>
        </is>
      </c>
      <c r="C25" s="15" t="inlineStr">
        <is>
          <t>1학년 5반</t>
        </is>
      </c>
      <c r="D25" s="15" t="inlineStr">
        <is>
          <t>전○○</t>
        </is>
      </c>
      <c r="E25" s="16" t="inlineStr">
        <is>
          <t>통합 「학교」</t>
        </is>
      </c>
      <c r="F25" s="16" t="inlineStr">
        <is>
          <t>학교 길 안내 로봇 '길동이'</t>
        </is>
      </c>
      <c r="G25" s="16" t="inlineStr">
        <is>
          <t>(실물 활동지 전시)</t>
        </is>
      </c>
    </row>
    <row r="26">
      <c r="A26" s="15" t="inlineStr">
        <is>
          <t>S-07</t>
        </is>
      </c>
      <c r="B26" s="15" t="inlineStr">
        <is>
          <t>상상</t>
        </is>
      </c>
      <c r="C26" s="15" t="inlineStr">
        <is>
          <t>2학년 3반</t>
        </is>
      </c>
      <c r="D26" s="15" t="inlineStr">
        <is>
          <t>고○○</t>
        </is>
      </c>
      <c r="E26" s="16" t="inlineStr">
        <is>
          <t>수학 「곱셈구구」</t>
        </is>
      </c>
      <c r="F26" s="16" t="inlineStr">
        <is>
          <t>구구단 노래 상자</t>
        </is>
      </c>
      <c r="G26" s="16" t="inlineStr">
        <is>
          <t>(실물 활동지 전시)</t>
        </is>
      </c>
    </row>
    <row r="27">
      <c r="A27" s="15" t="inlineStr">
        <is>
          <t>S-08</t>
        </is>
      </c>
      <c r="B27" s="15" t="inlineStr">
        <is>
          <t>상상</t>
        </is>
      </c>
      <c r="C27" s="15" t="inlineStr">
        <is>
          <t>1학년 2반</t>
        </is>
      </c>
      <c r="D27" s="15" t="inlineStr">
        <is>
          <t>류○○</t>
        </is>
      </c>
      <c r="E27" s="16" t="inlineStr">
        <is>
          <t>국어 「바른 자세로 읽어요」</t>
        </is>
      </c>
      <c r="F27" s="16" t="inlineStr">
        <is>
          <t>또박또박 읽기 마이크</t>
        </is>
      </c>
      <c r="G27" s="16" t="inlineStr">
        <is>
          <t>(실물 활동지 전시)</t>
        </is>
      </c>
    </row>
    <row r="28">
      <c r="A28" s="15" t="n"/>
      <c r="B28" s="15" t="n"/>
      <c r="C28" s="15" t="n"/>
      <c r="D28" s="15" t="n"/>
      <c r="E28" s="16" t="n"/>
      <c r="F28" s="16" t="n"/>
      <c r="G28" s="16" t="n"/>
    </row>
    <row r="29">
      <c r="A29" s="15" t="n"/>
      <c r="B29" s="15" t="n"/>
      <c r="C29" s="15" t="n"/>
      <c r="D29" s="15" t="n"/>
      <c r="E29" s="16" t="n"/>
      <c r="F29" s="16" t="n"/>
      <c r="G29" s="16" t="n"/>
    </row>
    <row r="30">
      <c r="A30" s="15" t="n"/>
      <c r="B30" s="15" t="n"/>
      <c r="C30" s="15" t="n"/>
      <c r="D30" s="15" t="n"/>
      <c r="E30" s="16" t="n"/>
      <c r="F30" s="16" t="n"/>
      <c r="G30" s="16" t="n"/>
    </row>
    <row r="31">
      <c r="A31" s="15" t="n"/>
      <c r="B31" s="15" t="n"/>
      <c r="C31" s="15" t="n"/>
      <c r="D31" s="15" t="n"/>
      <c r="E31" s="16" t="n"/>
      <c r="F31" s="16" t="n"/>
      <c r="G31" s="16" t="n"/>
    </row>
    <row r="32">
      <c r="A32" s="15" t="n"/>
      <c r="B32" s="15" t="n"/>
      <c r="C32" s="15" t="n"/>
      <c r="D32" s="15" t="n"/>
      <c r="E32" s="16" t="n"/>
      <c r="F32" s="16" t="n"/>
      <c r="G32" s="16" t="n"/>
    </row>
    <row r="33">
      <c r="A33" s="15" t="n"/>
      <c r="B33" s="15" t="n"/>
      <c r="C33" s="15" t="n"/>
      <c r="D33" s="15" t="n"/>
      <c r="E33" s="16" t="n"/>
      <c r="F33" s="16" t="n"/>
      <c r="G33" s="16" t="n"/>
    </row>
    <row r="34">
      <c r="A34" s="15" t="n"/>
      <c r="B34" s="15" t="n"/>
      <c r="C34" s="15" t="n"/>
      <c r="D34" s="15" t="n"/>
      <c r="E34" s="16" t="n"/>
      <c r="F34" s="16" t="n"/>
      <c r="G34" s="16" t="n"/>
    </row>
    <row r="35">
      <c r="A35" s="15" t="n"/>
      <c r="B35" s="15" t="n"/>
      <c r="C35" s="15" t="n"/>
      <c r="D35" s="15" t="n"/>
      <c r="E35" s="16" t="n"/>
      <c r="F35" s="16" t="n"/>
      <c r="G35" s="16" t="n"/>
    </row>
    <row r="36">
      <c r="A36" s="15" t="n"/>
      <c r="B36" s="15" t="n"/>
      <c r="C36" s="15" t="n"/>
      <c r="D36" s="15" t="n"/>
      <c r="E36" s="16" t="n"/>
      <c r="F36" s="16" t="n"/>
      <c r="G36" s="16" t="n"/>
    </row>
    <row r="37">
      <c r="A37" s="15" t="n"/>
      <c r="B37" s="15" t="n"/>
      <c r="C37" s="15" t="n"/>
      <c r="D37" s="15" t="n"/>
      <c r="E37" s="16" t="n"/>
      <c r="F37" s="16" t="n"/>
      <c r="G37" s="16" t="n"/>
    </row>
    <row r="38">
      <c r="A38" s="15" t="n"/>
      <c r="B38" s="15" t="n"/>
      <c r="C38" s="15" t="n"/>
      <c r="D38" s="15" t="n"/>
      <c r="E38" s="16" t="n"/>
      <c r="F38" s="16" t="n"/>
      <c r="G38" s="16" t="n"/>
    </row>
    <row r="39">
      <c r="A39" s="15" t="n"/>
      <c r="B39" s="15" t="n"/>
      <c r="C39" s="15" t="n"/>
      <c r="D39" s="15" t="n"/>
      <c r="E39" s="16" t="n"/>
      <c r="F39" s="16" t="n"/>
      <c r="G39" s="16" t="n"/>
    </row>
    <row r="40">
      <c r="A40" s="15" t="n"/>
      <c r="B40" s="15" t="n"/>
      <c r="C40" s="15" t="n"/>
      <c r="D40" s="15" t="n"/>
      <c r="E40" s="16" t="n"/>
      <c r="F40" s="16" t="n"/>
      <c r="G40" s="16" t="n"/>
    </row>
    <row r="41">
      <c r="A41" s="15" t="n"/>
      <c r="B41" s="15" t="n"/>
      <c r="C41" s="15" t="n"/>
      <c r="D41" s="15" t="n"/>
      <c r="E41" s="16" t="n"/>
      <c r="F41" s="16" t="n"/>
      <c r="G41" s="16" t="n"/>
    </row>
    <row r="42">
      <c r="A42" s="15" t="n"/>
      <c r="B42" s="15" t="n"/>
      <c r="C42" s="15" t="n"/>
      <c r="D42" s="15" t="n"/>
      <c r="E42" s="16" t="n"/>
      <c r="F42" s="16" t="n"/>
      <c r="G42" s="16" t="n"/>
    </row>
    <row r="43">
      <c r="A43" s="15" t="n"/>
      <c r="B43" s="15" t="n"/>
      <c r="C43" s="15" t="n"/>
      <c r="D43" s="15" t="n"/>
      <c r="E43" s="16" t="n"/>
      <c r="F43" s="16" t="n"/>
      <c r="G43" s="16" t="n"/>
    </row>
    <row r="44">
      <c r="A44" s="15" t="n"/>
      <c r="B44" s="15" t="n"/>
      <c r="C44" s="15" t="n"/>
      <c r="D44" s="15" t="n"/>
      <c r="E44" s="16" t="n"/>
      <c r="F44" s="16" t="n"/>
      <c r="G44" s="16" t="n"/>
    </row>
    <row r="45">
      <c r="A45" s="15" t="n"/>
      <c r="B45" s="15" t="n"/>
      <c r="C45" s="15" t="n"/>
      <c r="D45" s="15" t="n"/>
      <c r="E45" s="16" t="n"/>
      <c r="F45" s="16" t="n"/>
      <c r="G45" s="16" t="n"/>
    </row>
    <row r="46">
      <c r="A46" s="15" t="n"/>
      <c r="B46" s="15" t="n"/>
      <c r="C46" s="15" t="n"/>
      <c r="D46" s="15" t="n"/>
      <c r="E46" s="16" t="n"/>
      <c r="F46" s="16" t="n"/>
      <c r="G46" s="16" t="n"/>
    </row>
    <row r="47">
      <c r="A47" s="15" t="n"/>
      <c r="B47" s="15" t="n"/>
      <c r="C47" s="15" t="n"/>
      <c r="D47" s="15" t="n"/>
      <c r="E47" s="16" t="n"/>
      <c r="F47" s="16" t="n"/>
      <c r="G47" s="16" t="n"/>
    </row>
    <row r="48">
      <c r="A48" s="15" t="n"/>
      <c r="B48" s="15" t="n"/>
      <c r="C48" s="15" t="n"/>
      <c r="D48" s="15" t="n"/>
      <c r="E48" s="16" t="n"/>
      <c r="F48" s="16" t="n"/>
      <c r="G48" s="16" t="n"/>
    </row>
    <row r="49">
      <c r="A49" s="15" t="n"/>
      <c r="B49" s="15" t="n"/>
      <c r="C49" s="15" t="n"/>
      <c r="D49" s="15" t="n"/>
      <c r="E49" s="16" t="n"/>
      <c r="F49" s="16" t="n"/>
      <c r="G49" s="16" t="n"/>
    </row>
    <row r="50">
      <c r="A50" s="15" t="n"/>
      <c r="B50" s="15" t="n"/>
      <c r="C50" s="15" t="n"/>
      <c r="D50" s="15" t="n"/>
      <c r="E50" s="16" t="n"/>
      <c r="F50" s="16" t="n"/>
      <c r="G50" s="16" t="n"/>
    </row>
    <row r="51">
      <c r="A51" s="15" t="n"/>
      <c r="B51" s="15" t="n"/>
      <c r="C51" s="15" t="n"/>
      <c r="D51" s="15" t="n"/>
      <c r="E51" s="16" t="n"/>
      <c r="F51" s="16" t="n"/>
      <c r="G51" s="16" t="n"/>
    </row>
    <row r="52">
      <c r="A52" s="15" t="n"/>
      <c r="B52" s="15" t="n"/>
      <c r="C52" s="15" t="n"/>
      <c r="D52" s="15" t="n"/>
      <c r="E52" s="16" t="n"/>
      <c r="F52" s="16" t="n"/>
      <c r="G52" s="16" t="n"/>
    </row>
    <row r="53">
      <c r="A53" s="15" t="n"/>
      <c r="B53" s="15" t="n"/>
      <c r="C53" s="15" t="n"/>
      <c r="D53" s="15" t="n"/>
      <c r="E53" s="16" t="n"/>
      <c r="F53" s="16" t="n"/>
      <c r="G53" s="16" t="n"/>
    </row>
    <row r="54">
      <c r="A54" s="15" t="n"/>
      <c r="B54" s="15" t="n"/>
      <c r="C54" s="15" t="n"/>
      <c r="D54" s="15" t="n"/>
      <c r="E54" s="16" t="n"/>
      <c r="F54" s="16" t="n"/>
      <c r="G54" s="16" t="n"/>
    </row>
    <row r="55">
      <c r="A55" s="15" t="n"/>
      <c r="B55" s="15" t="n"/>
      <c r="C55" s="15" t="n"/>
      <c r="D55" s="15" t="n"/>
      <c r="E55" s="16" t="n"/>
      <c r="F55" s="16" t="n"/>
      <c r="G55" s="16" t="n"/>
    </row>
    <row r="56">
      <c r="A56" s="15" t="n"/>
      <c r="B56" s="15" t="n"/>
      <c r="C56" s="15" t="n"/>
      <c r="D56" s="15" t="n"/>
      <c r="E56" s="16" t="n"/>
      <c r="F56" s="16" t="n"/>
      <c r="G56" s="16" t="n"/>
    </row>
    <row r="57">
      <c r="A57" s="15" t="n"/>
      <c r="B57" s="15" t="n"/>
      <c r="C57" s="15" t="n"/>
      <c r="D57" s="15" t="n"/>
      <c r="E57" s="16" t="n"/>
      <c r="F57" s="16" t="n"/>
      <c r="G57" s="16" t="n"/>
    </row>
    <row r="58">
      <c r="A58" s="15" t="n"/>
      <c r="B58" s="15" t="n"/>
      <c r="C58" s="15" t="n"/>
      <c r="D58" s="15" t="n"/>
      <c r="E58" s="16" t="n"/>
      <c r="F58" s="16" t="n"/>
      <c r="G58" s="16" t="n"/>
    </row>
    <row r="59">
      <c r="A59" s="15" t="n"/>
      <c r="B59" s="15" t="n"/>
      <c r="C59" s="15" t="n"/>
      <c r="D59" s="15" t="n"/>
      <c r="E59" s="16" t="n"/>
      <c r="F59" s="16" t="n"/>
      <c r="G59" s="16" t="n"/>
    </row>
    <row r="60">
      <c r="A60" s="15" t="n"/>
      <c r="B60" s="15" t="n"/>
      <c r="C60" s="15" t="n"/>
      <c r="D60" s="15" t="n"/>
      <c r="E60" s="16" t="n"/>
      <c r="F60" s="16" t="n"/>
      <c r="G60" s="16" t="n"/>
    </row>
    <row r="61">
      <c r="A61" s="15" t="n"/>
      <c r="B61" s="15" t="n"/>
      <c r="C61" s="15" t="n"/>
      <c r="D61" s="15" t="n"/>
      <c r="E61" s="16" t="n"/>
      <c r="F61" s="16" t="n"/>
      <c r="G61" s="16" t="n"/>
    </row>
    <row r="62">
      <c r="A62" s="15" t="n"/>
      <c r="B62" s="15" t="n"/>
      <c r="C62" s="15" t="n"/>
      <c r="D62" s="15" t="n"/>
      <c r="E62" s="16" t="n"/>
      <c r="F62" s="16" t="n"/>
      <c r="G62" s="16" t="n"/>
    </row>
    <row r="63">
      <c r="A63" s="15" t="n"/>
      <c r="B63" s="15" t="n"/>
      <c r="C63" s="15" t="n"/>
      <c r="D63" s="15" t="n"/>
      <c r="E63" s="16" t="n"/>
      <c r="F63" s="16" t="n"/>
      <c r="G63" s="16" t="n"/>
    </row>
    <row r="64">
      <c r="A64" s="15" t="n"/>
      <c r="B64" s="15" t="n"/>
      <c r="C64" s="15" t="n"/>
      <c r="D64" s="15" t="n"/>
      <c r="E64" s="16" t="n"/>
      <c r="F64" s="16" t="n"/>
      <c r="G64" s="16" t="n"/>
    </row>
    <row r="65">
      <c r="A65" s="15" t="n"/>
      <c r="B65" s="15" t="n"/>
      <c r="C65" s="15" t="n"/>
      <c r="D65" s="15" t="n"/>
      <c r="E65" s="16" t="n"/>
      <c r="F65" s="16" t="n"/>
      <c r="G65" s="16" t="n"/>
    </row>
    <row r="66">
      <c r="A66" s="15" t="n"/>
      <c r="B66" s="15" t="n"/>
      <c r="C66" s="15" t="n"/>
      <c r="D66" s="15" t="n"/>
      <c r="E66" s="16" t="n"/>
      <c r="F66" s="16" t="n"/>
      <c r="G66" s="16" t="n"/>
    </row>
    <row r="67">
      <c r="A67" s="15" t="n"/>
      <c r="B67" s="15" t="n"/>
      <c r="C67" s="15" t="n"/>
      <c r="D67" s="15" t="n"/>
      <c r="E67" s="16" t="n"/>
      <c r="F67" s="16" t="n"/>
      <c r="G67" s="16" t="n"/>
    </row>
    <row r="68">
      <c r="A68" s="15" t="n"/>
      <c r="B68" s="15" t="n"/>
      <c r="C68" s="15" t="n"/>
      <c r="D68" s="15" t="n"/>
      <c r="E68" s="16" t="n"/>
      <c r="F68" s="16" t="n"/>
      <c r="G68" s="16" t="n"/>
    </row>
    <row r="69">
      <c r="A69" s="15" t="n"/>
      <c r="B69" s="15" t="n"/>
      <c r="C69" s="15" t="n"/>
      <c r="D69" s="15" t="n"/>
      <c r="E69" s="16" t="n"/>
      <c r="F69" s="16" t="n"/>
      <c r="G69" s="16" t="n"/>
    </row>
    <row r="70">
      <c r="A70" s="15" t="n"/>
      <c r="B70" s="15" t="n"/>
      <c r="C70" s="15" t="n"/>
      <c r="D70" s="15" t="n"/>
      <c r="E70" s="16" t="n"/>
      <c r="F70" s="16" t="n"/>
      <c r="G70" s="16" t="n"/>
    </row>
    <row r="71">
      <c r="A71" s="15" t="n"/>
      <c r="B71" s="15" t="n"/>
      <c r="C71" s="15" t="n"/>
      <c r="D71" s="15" t="n"/>
      <c r="E71" s="16" t="n"/>
      <c r="F71" s="16" t="n"/>
      <c r="G71" s="16" t="n"/>
    </row>
    <row r="72">
      <c r="A72" s="15" t="n"/>
      <c r="B72" s="15" t="n"/>
      <c r="C72" s="15" t="n"/>
      <c r="D72" s="15" t="n"/>
      <c r="E72" s="16" t="n"/>
      <c r="F72" s="16" t="n"/>
      <c r="G72" s="16" t="n"/>
    </row>
    <row r="73">
      <c r="A73" s="15" t="n"/>
      <c r="B73" s="15" t="n"/>
      <c r="C73" s="15" t="n"/>
      <c r="D73" s="15" t="n"/>
      <c r="E73" s="16" t="n"/>
      <c r="F73" s="16" t="n"/>
      <c r="G73" s="16" t="n"/>
    </row>
    <row r="74">
      <c r="A74" s="15" t="n"/>
      <c r="B74" s="15" t="n"/>
      <c r="C74" s="15" t="n"/>
      <c r="D74" s="15" t="n"/>
      <c r="E74" s="16" t="n"/>
      <c r="F74" s="16" t="n"/>
      <c r="G74" s="16" t="n"/>
    </row>
    <row r="75">
      <c r="A75" s="15" t="n"/>
      <c r="B75" s="15" t="n"/>
      <c r="C75" s="15" t="n"/>
      <c r="D75" s="15" t="n"/>
      <c r="E75" s="16" t="n"/>
      <c r="F75" s="16" t="n"/>
      <c r="G75" s="16" t="n"/>
    </row>
    <row r="76">
      <c r="A76" s="15" t="n"/>
      <c r="B76" s="15" t="n"/>
      <c r="C76" s="15" t="n"/>
      <c r="D76" s="15" t="n"/>
      <c r="E76" s="16" t="n"/>
      <c r="F76" s="16" t="n"/>
      <c r="G76" s="16" t="n"/>
    </row>
    <row r="77">
      <c r="A77" s="15" t="n"/>
      <c r="B77" s="15" t="n"/>
      <c r="C77" s="15" t="n"/>
      <c r="D77" s="15" t="n"/>
      <c r="E77" s="16" t="n"/>
      <c r="F77" s="16" t="n"/>
      <c r="G77" s="16" t="n"/>
    </row>
    <row r="78">
      <c r="A78" s="15" t="n"/>
      <c r="B78" s="15" t="n"/>
      <c r="C78" s="15" t="n"/>
      <c r="D78" s="15" t="n"/>
      <c r="E78" s="16" t="n"/>
      <c r="F78" s="16" t="n"/>
      <c r="G78" s="16" t="n"/>
    </row>
    <row r="79">
      <c r="A79" s="15" t="n"/>
      <c r="B79" s="15" t="n"/>
      <c r="C79" s="15" t="n"/>
      <c r="D79" s="15" t="n"/>
      <c r="E79" s="16" t="n"/>
      <c r="F79" s="16" t="n"/>
      <c r="G79" s="16" t="n"/>
    </row>
    <row r="80">
      <c r="A80" s="15" t="n"/>
      <c r="B80" s="15" t="n"/>
      <c r="C80" s="15" t="n"/>
      <c r="D80" s="15" t="n"/>
      <c r="E80" s="16" t="n"/>
      <c r="F80" s="16" t="n"/>
      <c r="G80" s="16" t="n"/>
    </row>
    <row r="81">
      <c r="A81" s="15" t="n"/>
      <c r="B81" s="15" t="n"/>
      <c r="C81" s="15" t="n"/>
      <c r="D81" s="15" t="n"/>
      <c r="E81" s="16" t="n"/>
      <c r="F81" s="16" t="n"/>
      <c r="G81" s="16" t="n"/>
    </row>
    <row r="82">
      <c r="A82" s="15" t="n"/>
      <c r="B82" s="15" t="n"/>
      <c r="C82" s="15" t="n"/>
      <c r="D82" s="15" t="n"/>
      <c r="E82" s="16" t="n"/>
      <c r="F82" s="16" t="n"/>
      <c r="G82" s="16" t="n"/>
    </row>
    <row r="83">
      <c r="A83" s="15" t="n"/>
      <c r="B83" s="15" t="n"/>
      <c r="C83" s="15" t="n"/>
      <c r="D83" s="15" t="n"/>
      <c r="E83" s="16" t="n"/>
      <c r="F83" s="16" t="n"/>
      <c r="G83" s="16" t="n"/>
    </row>
    <row r="84">
      <c r="A84" s="15" t="n"/>
      <c r="B84" s="15" t="n"/>
      <c r="C84" s="15" t="n"/>
      <c r="D84" s="15" t="n"/>
      <c r="E84" s="16" t="n"/>
      <c r="F84" s="16" t="n"/>
      <c r="G84" s="16" t="n"/>
    </row>
    <row r="85">
      <c r="A85" s="15" t="n"/>
      <c r="B85" s="15" t="n"/>
      <c r="C85" s="15" t="n"/>
      <c r="D85" s="15" t="n"/>
      <c r="E85" s="16" t="n"/>
      <c r="F85" s="16" t="n"/>
      <c r="G85" s="16" t="n"/>
    </row>
    <row r="86">
      <c r="A86" s="15" t="n"/>
      <c r="B86" s="15" t="n"/>
      <c r="C86" s="15" t="n"/>
      <c r="D86" s="15" t="n"/>
      <c r="E86" s="16" t="n"/>
      <c r="F86" s="16" t="n"/>
      <c r="G86" s="16" t="n"/>
    </row>
    <row r="87">
      <c r="A87" s="15" t="n"/>
      <c r="B87" s="15" t="n"/>
      <c r="C87" s="15" t="n"/>
      <c r="D87" s="15" t="n"/>
      <c r="E87" s="16" t="n"/>
      <c r="F87" s="16" t="n"/>
      <c r="G87" s="16" t="n"/>
    </row>
    <row r="88">
      <c r="A88" s="15" t="n"/>
      <c r="B88" s="15" t="n"/>
      <c r="C88" s="15" t="n"/>
      <c r="D88" s="15" t="n"/>
      <c r="E88" s="16" t="n"/>
      <c r="F88" s="16" t="n"/>
      <c r="G88" s="16" t="n"/>
    </row>
    <row r="89">
      <c r="A89" s="15" t="n"/>
      <c r="B89" s="15" t="n"/>
      <c r="C89" s="15" t="n"/>
      <c r="D89" s="15" t="n"/>
      <c r="E89" s="16" t="n"/>
      <c r="F89" s="16" t="n"/>
      <c r="G89" s="16" t="n"/>
    </row>
    <row r="90">
      <c r="A90" s="15" t="n"/>
      <c r="B90" s="15" t="n"/>
      <c r="C90" s="15" t="n"/>
      <c r="D90" s="15" t="n"/>
      <c r="E90" s="16" t="n"/>
      <c r="F90" s="16" t="n"/>
      <c r="G90" s="16" t="n"/>
    </row>
    <row r="91">
      <c r="A91" s="15" t="n"/>
      <c r="B91" s="15" t="n"/>
      <c r="C91" s="15" t="n"/>
      <c r="D91" s="15" t="n"/>
      <c r="E91" s="16" t="n"/>
      <c r="F91" s="16" t="n"/>
      <c r="G91" s="16" t="n"/>
    </row>
    <row r="92">
      <c r="A92" s="15" t="n"/>
      <c r="B92" s="15" t="n"/>
      <c r="C92" s="15" t="n"/>
      <c r="D92" s="15" t="n"/>
      <c r="E92" s="16" t="n"/>
      <c r="F92" s="16" t="n"/>
      <c r="G92" s="16" t="n"/>
    </row>
    <row r="93">
      <c r="A93" s="15" t="n"/>
      <c r="B93" s="15" t="n"/>
      <c r="C93" s="15" t="n"/>
      <c r="D93" s="15" t="n"/>
      <c r="E93" s="16" t="n"/>
      <c r="F93" s="16" t="n"/>
      <c r="G93" s="16" t="n"/>
    </row>
    <row r="94">
      <c r="A94" s="15" t="n"/>
      <c r="B94" s="15" t="n"/>
      <c r="C94" s="15" t="n"/>
      <c r="D94" s="15" t="n"/>
      <c r="E94" s="16" t="n"/>
      <c r="F94" s="16" t="n"/>
      <c r="G94" s="16" t="n"/>
    </row>
    <row r="95">
      <c r="A95" s="15" t="n"/>
      <c r="B95" s="15" t="n"/>
      <c r="C95" s="15" t="n"/>
      <c r="D95" s="15" t="n"/>
      <c r="E95" s="16" t="n"/>
      <c r="F95" s="16" t="n"/>
      <c r="G95" s="16" t="n"/>
    </row>
    <row r="96">
      <c r="A96" s="15" t="n"/>
      <c r="B96" s="15" t="n"/>
      <c r="C96" s="15" t="n"/>
      <c r="D96" s="15" t="n"/>
      <c r="E96" s="16" t="n"/>
      <c r="F96" s="16" t="n"/>
      <c r="G96" s="16" t="n"/>
    </row>
    <row r="97">
      <c r="A97" s="15" t="n"/>
      <c r="B97" s="15" t="n"/>
      <c r="C97" s="15" t="n"/>
      <c r="D97" s="15" t="n"/>
      <c r="E97" s="16" t="n"/>
      <c r="F97" s="16" t="n"/>
      <c r="G97" s="16" t="n"/>
    </row>
    <row r="98">
      <c r="A98" s="15" t="n"/>
      <c r="B98" s="15" t="n"/>
      <c r="C98" s="15" t="n"/>
      <c r="D98" s="15" t="n"/>
      <c r="E98" s="16" t="n"/>
      <c r="F98" s="16" t="n"/>
      <c r="G98" s="16" t="n"/>
    </row>
    <row r="99">
      <c r="A99" s="15" t="n"/>
      <c r="B99" s="15" t="n"/>
      <c r="C99" s="15" t="n"/>
      <c r="D99" s="15" t="n"/>
      <c r="E99" s="16" t="n"/>
      <c r="F99" s="16" t="n"/>
      <c r="G99" s="16" t="n"/>
    </row>
    <row r="100">
      <c r="A100" s="15" t="n"/>
      <c r="B100" s="15" t="n"/>
      <c r="C100" s="15" t="n"/>
      <c r="D100" s="15" t="n"/>
      <c r="E100" s="16" t="n"/>
      <c r="F100" s="16" t="n"/>
      <c r="G100" s="16" t="n"/>
    </row>
    <row r="101">
      <c r="A101" s="15" t="n"/>
      <c r="B101" s="15" t="n"/>
      <c r="C101" s="15" t="n"/>
      <c r="D101" s="15" t="n"/>
      <c r="E101" s="16" t="n"/>
      <c r="F101" s="16" t="n"/>
      <c r="G101" s="16" t="n"/>
    </row>
    <row r="102">
      <c r="A102" s="15" t="n"/>
      <c r="B102" s="15" t="n"/>
      <c r="C102" s="15" t="n"/>
      <c r="D102" s="15" t="n"/>
      <c r="E102" s="16" t="n"/>
      <c r="F102" s="16" t="n"/>
      <c r="G102" s="16" t="n"/>
    </row>
    <row r="103">
      <c r="A103" s="15" t="n"/>
      <c r="B103" s="15" t="n"/>
      <c r="C103" s="15" t="n"/>
      <c r="D103" s="15" t="n"/>
      <c r="E103" s="16" t="n"/>
      <c r="F103" s="16" t="n"/>
      <c r="G103" s="16" t="n"/>
    </row>
  </sheetData>
  <autoFilter ref="A3:G103"/>
  <dataValidations count="1">
    <dataValidation sqref="B4:B103" showDropDown="0" showInputMessage="0" showErrorMessage="0" allowBlank="1" error="블록 / 바이브 / 상상 중에서 고르세요." type="list">
      <formula1>"블록,바이브,상상"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24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11" customWidth="1" min="19" max="19"/>
    <col width="13" customWidth="1" min="20" max="20"/>
  </cols>
  <sheetData>
    <row r="1" ht="28" customHeight="1">
      <c r="A1" s="1" t="inlineStr">
        <is>
          <t>업무팀 심사표 — 블록코딩 · 바이브코딩 (50점)</t>
        </is>
      </c>
    </row>
    <row r="2">
      <c r="A2" s="2" t="inlineStr">
        <is>
          <t>A열에 작품번호를 입력하면 부문·작품 이름이 자동으로 나와요. 노란 칸에 심사위원별 점수를 입력하세요(배점 초과 입력 불가).</t>
        </is>
      </c>
    </row>
    <row r="3">
      <c r="A3" s="3" t="inlineStr">
        <is>
          <t>작품번호</t>
        </is>
      </c>
      <c r="B3" s="3" t="inlineStr">
        <is>
          <t>부문</t>
        </is>
      </c>
      <c r="C3" s="3" t="inlineStr">
        <is>
          <t>작품 이름</t>
        </is>
      </c>
      <c r="D3" s="3" t="inlineStr">
        <is>
          <t>심사위원 1</t>
        </is>
      </c>
      <c r="E3" s="17" t="n"/>
      <c r="F3" s="17" t="n"/>
      <c r="G3" s="17" t="n"/>
      <c r="H3" s="18" t="n"/>
      <c r="I3" s="3" t="inlineStr">
        <is>
          <t>심사위원 2</t>
        </is>
      </c>
      <c r="J3" s="17" t="n"/>
      <c r="K3" s="17" t="n"/>
      <c r="L3" s="17" t="n"/>
      <c r="M3" s="18" t="n"/>
      <c r="N3" s="3" t="inlineStr">
        <is>
          <t>심사위원 3</t>
        </is>
      </c>
      <c r="O3" s="17" t="n"/>
      <c r="P3" s="17" t="n"/>
      <c r="Q3" s="17" t="n"/>
      <c r="R3" s="18" t="n"/>
      <c r="S3" s="3" t="inlineStr">
        <is>
          <t>심사 점수
평균(50)</t>
        </is>
      </c>
      <c r="T3" s="3" t="inlineStr">
        <is>
          <t>제작 과정
평균(동점 기준)</t>
        </is>
      </c>
    </row>
    <row r="4" ht="42" customHeight="1">
      <c r="A4" s="19" t="n"/>
      <c r="B4" s="19" t="n"/>
      <c r="C4" s="19" t="n"/>
      <c r="D4" s="20" t="inlineStr">
        <is>
          <t>교과
연계성
(15)</t>
        </is>
      </c>
      <c r="E4" s="20" t="inlineStr">
        <is>
          <t>학습
도움
(15)</t>
        </is>
      </c>
      <c r="F4" s="20" t="inlineStr">
        <is>
          <t>제작
과정
(15)</t>
        </is>
      </c>
      <c r="G4" s="20" t="inlineStr">
        <is>
          <t>창의성
(5)</t>
        </is>
      </c>
      <c r="H4" s="20" t="inlineStr">
        <is>
          <t>합계
(50)</t>
        </is>
      </c>
      <c r="I4" s="20" t="inlineStr">
        <is>
          <t>교과
연계성
(15)</t>
        </is>
      </c>
      <c r="J4" s="20" t="inlineStr">
        <is>
          <t>학습
도움
(15)</t>
        </is>
      </c>
      <c r="K4" s="20" t="inlineStr">
        <is>
          <t>제작
과정
(15)</t>
        </is>
      </c>
      <c r="L4" s="20" t="inlineStr">
        <is>
          <t>창의성
(5)</t>
        </is>
      </c>
      <c r="M4" s="20" t="inlineStr">
        <is>
          <t>합계
(50)</t>
        </is>
      </c>
      <c r="N4" s="20" t="inlineStr">
        <is>
          <t>교과
연계성
(15)</t>
        </is>
      </c>
      <c r="O4" s="20" t="inlineStr">
        <is>
          <t>학습
도움
(15)</t>
        </is>
      </c>
      <c r="P4" s="20" t="inlineStr">
        <is>
          <t>제작
과정
(15)</t>
        </is>
      </c>
      <c r="Q4" s="20" t="inlineStr">
        <is>
          <t>창의성
(5)</t>
        </is>
      </c>
      <c r="R4" s="20" t="inlineStr">
        <is>
          <t>합계
(50)</t>
        </is>
      </c>
      <c r="S4" s="19" t="n"/>
      <c r="T4" s="19" t="n"/>
    </row>
    <row r="5">
      <c r="A5" s="15" t="inlineStr">
        <is>
          <t>B-01</t>
        </is>
      </c>
      <c r="B5" s="21">
        <f>IF(A5="","",IFERROR(INDEX(작품목록!$B$4:$B$103,MATCH(A5,작품목록!$A$4:$A$103,0)),"번호 확인"))</f>
        <v/>
      </c>
      <c r="C5" s="22">
        <f>IF(A5="","",IFERROR(INDEX(작품목록!$F$4:$F$103,MATCH(A5,작품목록!$A$4:$A$103,0)),"작품목록에 없음"))</f>
        <v/>
      </c>
      <c r="D5" s="15" t="n">
        <v>13</v>
      </c>
      <c r="E5" s="15" t="n">
        <v>14</v>
      </c>
      <c r="F5" s="15" t="n">
        <v>14</v>
      </c>
      <c r="G5" s="15" t="n">
        <v>5</v>
      </c>
      <c r="H5" s="21">
        <f>IF(COUNT(D5:G5)=0,"",SUM(D5:G5))</f>
        <v/>
      </c>
      <c r="I5" s="15" t="n">
        <v>13</v>
      </c>
      <c r="J5" s="15" t="n">
        <v>13</v>
      </c>
      <c r="K5" s="15" t="n">
        <v>14</v>
      </c>
      <c r="L5" s="15" t="n">
        <v>5</v>
      </c>
      <c r="M5" s="21">
        <f>IF(COUNT(I5:L5)=0,"",SUM(I5:L5))</f>
        <v/>
      </c>
      <c r="N5" s="15" t="n">
        <v>14</v>
      </c>
      <c r="O5" s="15" t="n">
        <v>14</v>
      </c>
      <c r="P5" s="15" t="n">
        <v>14</v>
      </c>
      <c r="Q5" s="15" t="n">
        <v>5</v>
      </c>
      <c r="R5" s="21">
        <f>IF(COUNT(N5:Q5)=0,"",SUM(N5:Q5))</f>
        <v/>
      </c>
      <c r="S5" s="23">
        <f>IF(COUNT(H5,M5,R5)=0,"",ROUND(AVERAGE(H5,M5,R5),2))</f>
        <v/>
      </c>
      <c r="T5" s="24">
        <f>IF(COUNT(F5,K5,P5)=0,"",ROUND(AVERAGE(F5,K5,P5),2))</f>
        <v/>
      </c>
    </row>
    <row r="6">
      <c r="A6" s="15" t="inlineStr">
        <is>
          <t>B-02</t>
        </is>
      </c>
      <c r="B6" s="21">
        <f>IF(A6="","",IFERROR(INDEX(작품목록!$B$4:$B$103,MATCH(A6,작품목록!$A$4:$A$103,0)),"번호 확인"))</f>
        <v/>
      </c>
      <c r="C6" s="22">
        <f>IF(A6="","",IFERROR(INDEX(작품목록!$F$4:$F$103,MATCH(A6,작품목록!$A$4:$A$103,0)),"작품목록에 없음"))</f>
        <v/>
      </c>
      <c r="D6" s="15" t="n">
        <v>13</v>
      </c>
      <c r="E6" s="15" t="n">
        <v>12</v>
      </c>
      <c r="F6" s="15" t="n">
        <v>11</v>
      </c>
      <c r="G6" s="15" t="n">
        <v>4</v>
      </c>
      <c r="H6" s="21">
        <f>IF(COUNT(D6:G6)=0,"",SUM(D6:G6))</f>
        <v/>
      </c>
      <c r="I6" s="15" t="n">
        <v>11</v>
      </c>
      <c r="J6" s="15" t="n">
        <v>13</v>
      </c>
      <c r="K6" s="15" t="n">
        <v>12</v>
      </c>
      <c r="L6" s="15" t="n">
        <v>4</v>
      </c>
      <c r="M6" s="21">
        <f>IF(COUNT(I6:L6)=0,"",SUM(I6:L6))</f>
        <v/>
      </c>
      <c r="N6" s="15" t="n">
        <v>12</v>
      </c>
      <c r="O6" s="15" t="n">
        <v>12</v>
      </c>
      <c r="P6" s="15" t="n">
        <v>11</v>
      </c>
      <c r="Q6" s="15" t="n">
        <v>4</v>
      </c>
      <c r="R6" s="21">
        <f>IF(COUNT(N6:Q6)=0,"",SUM(N6:Q6))</f>
        <v/>
      </c>
      <c r="S6" s="23">
        <f>IF(COUNT(H6,M6,R6)=0,"",ROUND(AVERAGE(H6,M6,R6),2))</f>
        <v/>
      </c>
      <c r="T6" s="24">
        <f>IF(COUNT(F6,K6,P6)=0,"",ROUND(AVERAGE(F6,K6,P6),2))</f>
        <v/>
      </c>
    </row>
    <row r="7">
      <c r="A7" s="15" t="inlineStr">
        <is>
          <t>B-03</t>
        </is>
      </c>
      <c r="B7" s="21">
        <f>IF(A7="","",IFERROR(INDEX(작품목록!$B$4:$B$103,MATCH(A7,작품목록!$A$4:$A$103,0)),"번호 확인"))</f>
        <v/>
      </c>
      <c r="C7" s="22">
        <f>IF(A7="","",IFERROR(INDEX(작품목록!$F$4:$F$103,MATCH(A7,작품목록!$A$4:$A$103,0)),"작품목록에 없음"))</f>
        <v/>
      </c>
      <c r="D7" s="15" t="n">
        <v>12</v>
      </c>
      <c r="E7" s="15" t="n">
        <v>12</v>
      </c>
      <c r="F7" s="15" t="n">
        <v>11</v>
      </c>
      <c r="G7" s="15" t="n">
        <v>4</v>
      </c>
      <c r="H7" s="21">
        <f>IF(COUNT(D7:G7)=0,"",SUM(D7:G7))</f>
        <v/>
      </c>
      <c r="I7" s="15" t="n">
        <v>11</v>
      </c>
      <c r="J7" s="15" t="n">
        <v>9</v>
      </c>
      <c r="K7" s="15" t="n">
        <v>10</v>
      </c>
      <c r="L7" s="15" t="n">
        <v>4</v>
      </c>
      <c r="M7" s="21">
        <f>IF(COUNT(I7:L7)=0,"",SUM(I7:L7))</f>
        <v/>
      </c>
      <c r="N7" s="15" t="n">
        <v>10</v>
      </c>
      <c r="O7" s="15" t="n">
        <v>10</v>
      </c>
      <c r="P7" s="15" t="n">
        <v>11</v>
      </c>
      <c r="Q7" s="15" t="n">
        <v>4</v>
      </c>
      <c r="R7" s="21">
        <f>IF(COUNT(N7:Q7)=0,"",SUM(N7:Q7))</f>
        <v/>
      </c>
      <c r="S7" s="23">
        <f>IF(COUNT(H7,M7,R7)=0,"",ROUND(AVERAGE(H7,M7,R7),2))</f>
        <v/>
      </c>
      <c r="T7" s="24">
        <f>IF(COUNT(F7,K7,P7)=0,"",ROUND(AVERAGE(F7,K7,P7),2))</f>
        <v/>
      </c>
    </row>
    <row r="8">
      <c r="A8" s="15" t="inlineStr">
        <is>
          <t>B-04</t>
        </is>
      </c>
      <c r="B8" s="21">
        <f>IF(A8="","",IFERROR(INDEX(작품목록!$B$4:$B$103,MATCH(A8,작품목록!$A$4:$A$103,0)),"번호 확인"))</f>
        <v/>
      </c>
      <c r="C8" s="22">
        <f>IF(A8="","",IFERROR(INDEX(작품목록!$F$4:$F$103,MATCH(A8,작품목록!$A$4:$A$103,0)),"작품목록에 없음"))</f>
        <v/>
      </c>
      <c r="D8" s="15" t="n">
        <v>13</v>
      </c>
      <c r="E8" s="15" t="n">
        <v>12</v>
      </c>
      <c r="F8" s="15" t="n">
        <v>13</v>
      </c>
      <c r="G8" s="15" t="n">
        <v>4</v>
      </c>
      <c r="H8" s="21">
        <f>IF(COUNT(D8:G8)=0,"",SUM(D8:G8))</f>
        <v/>
      </c>
      <c r="I8" s="15" t="n">
        <v>13</v>
      </c>
      <c r="J8" s="15" t="n">
        <v>13</v>
      </c>
      <c r="K8" s="15" t="n">
        <v>13</v>
      </c>
      <c r="L8" s="15" t="n">
        <v>4</v>
      </c>
      <c r="M8" s="21">
        <f>IF(COUNT(I8:L8)=0,"",SUM(I8:L8))</f>
        <v/>
      </c>
      <c r="N8" s="15" t="n">
        <v>12</v>
      </c>
      <c r="O8" s="15" t="n">
        <v>13</v>
      </c>
      <c r="P8" s="15" t="n">
        <v>14</v>
      </c>
      <c r="Q8" s="15" t="n">
        <v>4</v>
      </c>
      <c r="R8" s="21">
        <f>IF(COUNT(N8:Q8)=0,"",SUM(N8:Q8))</f>
        <v/>
      </c>
      <c r="S8" s="23">
        <f>IF(COUNT(H8,M8,R8)=0,"",ROUND(AVERAGE(H8,M8,R8),2))</f>
        <v/>
      </c>
      <c r="T8" s="24">
        <f>IF(COUNT(F8,K8,P8)=0,"",ROUND(AVERAGE(F8,K8,P8),2))</f>
        <v/>
      </c>
    </row>
    <row r="9">
      <c r="A9" s="15" t="inlineStr">
        <is>
          <t>B-05</t>
        </is>
      </c>
      <c r="B9" s="21">
        <f>IF(A9="","",IFERROR(INDEX(작품목록!$B$4:$B$103,MATCH(A9,작품목록!$A$4:$A$103,0)),"번호 확인"))</f>
        <v/>
      </c>
      <c r="C9" s="22">
        <f>IF(A9="","",IFERROR(INDEX(작품목록!$F$4:$F$103,MATCH(A9,작품목록!$A$4:$A$103,0)),"작품목록에 없음"))</f>
        <v/>
      </c>
      <c r="D9" s="15" t="n">
        <v>9</v>
      </c>
      <c r="E9" s="15" t="n">
        <v>10</v>
      </c>
      <c r="F9" s="15" t="n">
        <v>9</v>
      </c>
      <c r="G9" s="15" t="n">
        <v>3</v>
      </c>
      <c r="H9" s="21">
        <f>IF(COUNT(D9:G9)=0,"",SUM(D9:G9))</f>
        <v/>
      </c>
      <c r="I9" s="15" t="n">
        <v>10</v>
      </c>
      <c r="J9" s="15" t="n">
        <v>9</v>
      </c>
      <c r="K9" s="15" t="n">
        <v>9</v>
      </c>
      <c r="L9" s="15" t="n">
        <v>3</v>
      </c>
      <c r="M9" s="21">
        <f>IF(COUNT(I9:L9)=0,"",SUM(I9:L9))</f>
        <v/>
      </c>
      <c r="N9" s="15" t="n">
        <v>9</v>
      </c>
      <c r="O9" s="15" t="n">
        <v>8</v>
      </c>
      <c r="P9" s="15" t="n">
        <v>8</v>
      </c>
      <c r="Q9" s="15" t="n">
        <v>3</v>
      </c>
      <c r="R9" s="21">
        <f>IF(COUNT(N9:Q9)=0,"",SUM(N9:Q9))</f>
        <v/>
      </c>
      <c r="S9" s="23">
        <f>IF(COUNT(H9,M9,R9)=0,"",ROUND(AVERAGE(H9,M9,R9),2))</f>
        <v/>
      </c>
      <c r="T9" s="24">
        <f>IF(COUNT(F9,K9,P9)=0,"",ROUND(AVERAGE(F9,K9,P9),2))</f>
        <v/>
      </c>
    </row>
    <row r="10">
      <c r="A10" s="15" t="inlineStr">
        <is>
          <t>B-06</t>
        </is>
      </c>
      <c r="B10" s="21">
        <f>IF(A10="","",IFERROR(INDEX(작품목록!$B$4:$B$103,MATCH(A10,작품목록!$A$4:$A$103,0)),"번호 확인"))</f>
        <v/>
      </c>
      <c r="C10" s="22">
        <f>IF(A10="","",IFERROR(INDEX(작품목록!$F$4:$F$103,MATCH(A10,작품목록!$A$4:$A$103,0)),"작품목록에 없음"))</f>
        <v/>
      </c>
      <c r="D10" s="15" t="n">
        <v>13</v>
      </c>
      <c r="E10" s="15" t="n">
        <v>11</v>
      </c>
      <c r="F10" s="15" t="n">
        <v>12</v>
      </c>
      <c r="G10" s="15" t="n">
        <v>4</v>
      </c>
      <c r="H10" s="21">
        <f>IF(COUNT(D10:G10)=0,"",SUM(D10:G10))</f>
        <v/>
      </c>
      <c r="I10" s="15" t="n">
        <v>12</v>
      </c>
      <c r="J10" s="15" t="n">
        <v>11</v>
      </c>
      <c r="K10" s="15" t="n">
        <v>13</v>
      </c>
      <c r="L10" s="15" t="n">
        <v>4</v>
      </c>
      <c r="M10" s="21">
        <f>IF(COUNT(I10:L10)=0,"",SUM(I10:L10))</f>
        <v/>
      </c>
      <c r="N10" s="15" t="n">
        <v>12</v>
      </c>
      <c r="O10" s="15" t="n">
        <v>12</v>
      </c>
      <c r="P10" s="15" t="n">
        <v>13</v>
      </c>
      <c r="Q10" s="15" t="n">
        <v>4</v>
      </c>
      <c r="R10" s="21">
        <f>IF(COUNT(N10:Q10)=0,"",SUM(N10:Q10))</f>
        <v/>
      </c>
      <c r="S10" s="23">
        <f>IF(COUNT(H10,M10,R10)=0,"",ROUND(AVERAGE(H10,M10,R10),2))</f>
        <v/>
      </c>
      <c r="T10" s="24">
        <f>IF(COUNT(F10,K10,P10)=0,"",ROUND(AVERAGE(F10,K10,P10),2))</f>
        <v/>
      </c>
    </row>
    <row r="11">
      <c r="A11" s="15" t="inlineStr">
        <is>
          <t>B-07</t>
        </is>
      </c>
      <c r="B11" s="21">
        <f>IF(A11="","",IFERROR(INDEX(작품목록!$B$4:$B$103,MATCH(A11,작품목록!$A$4:$A$103,0)),"번호 확인"))</f>
        <v/>
      </c>
      <c r="C11" s="22">
        <f>IF(A11="","",IFERROR(INDEX(작품목록!$F$4:$F$103,MATCH(A11,작품목록!$A$4:$A$103,0)),"작품목록에 없음"))</f>
        <v/>
      </c>
      <c r="D11" s="15" t="n">
        <v>10</v>
      </c>
      <c r="E11" s="15" t="n">
        <v>10</v>
      </c>
      <c r="F11" s="15" t="n">
        <v>10</v>
      </c>
      <c r="G11" s="15" t="n">
        <v>3</v>
      </c>
      <c r="H11" s="21">
        <f>IF(COUNT(D11:G11)=0,"",SUM(D11:G11))</f>
        <v/>
      </c>
      <c r="I11" s="15" t="n">
        <v>11</v>
      </c>
      <c r="J11" s="15" t="n">
        <v>10</v>
      </c>
      <c r="K11" s="15" t="n">
        <v>10</v>
      </c>
      <c r="L11" s="15" t="n">
        <v>4</v>
      </c>
      <c r="M11" s="21">
        <f>IF(COUNT(I11:L11)=0,"",SUM(I11:L11))</f>
        <v/>
      </c>
      <c r="N11" s="15" t="n">
        <v>10</v>
      </c>
      <c r="O11" s="15" t="n">
        <v>9</v>
      </c>
      <c r="P11" s="15" t="n">
        <v>9</v>
      </c>
      <c r="Q11" s="15" t="n">
        <v>3</v>
      </c>
      <c r="R11" s="21">
        <f>IF(COUNT(N11:Q11)=0,"",SUM(N11:Q11))</f>
        <v/>
      </c>
      <c r="S11" s="23">
        <f>IF(COUNT(H11,M11,R11)=0,"",ROUND(AVERAGE(H11,M11,R11),2))</f>
        <v/>
      </c>
      <c r="T11" s="24">
        <f>IF(COUNT(F11,K11,P11)=0,"",ROUND(AVERAGE(F11,K11,P11),2))</f>
        <v/>
      </c>
    </row>
    <row r="12">
      <c r="A12" s="15" t="inlineStr">
        <is>
          <t>B-08</t>
        </is>
      </c>
      <c r="B12" s="21">
        <f>IF(A12="","",IFERROR(INDEX(작품목록!$B$4:$B$103,MATCH(A12,작품목록!$A$4:$A$103,0)),"번호 확인"))</f>
        <v/>
      </c>
      <c r="C12" s="22">
        <f>IF(A12="","",IFERROR(INDEX(작품목록!$F$4:$F$103,MATCH(A12,작품목록!$A$4:$A$103,0)),"작품목록에 없음"))</f>
        <v/>
      </c>
      <c r="D12" s="15" t="n">
        <v>13</v>
      </c>
      <c r="E12" s="15" t="n">
        <v>13</v>
      </c>
      <c r="F12" s="15" t="n">
        <v>12</v>
      </c>
      <c r="G12" s="15" t="n">
        <v>4</v>
      </c>
      <c r="H12" s="21">
        <f>IF(COUNT(D12:G12)=0,"",SUM(D12:G12))</f>
        <v/>
      </c>
      <c r="I12" s="15" t="n">
        <v>13</v>
      </c>
      <c r="J12" s="15" t="n">
        <v>14</v>
      </c>
      <c r="K12" s="15" t="n">
        <v>12</v>
      </c>
      <c r="L12" s="15" t="n">
        <v>4</v>
      </c>
      <c r="M12" s="21">
        <f>IF(COUNT(I12:L12)=0,"",SUM(I12:L12))</f>
        <v/>
      </c>
      <c r="N12" s="15" t="n">
        <v>13</v>
      </c>
      <c r="O12" s="15" t="n">
        <v>13</v>
      </c>
      <c r="P12" s="15" t="n">
        <v>13</v>
      </c>
      <c r="Q12" s="15" t="n">
        <v>4</v>
      </c>
      <c r="R12" s="21">
        <f>IF(COUNT(N12:Q12)=0,"",SUM(N12:Q12))</f>
        <v/>
      </c>
      <c r="S12" s="23">
        <f>IF(COUNT(H12,M12,R12)=0,"",ROUND(AVERAGE(H12,M12,R12),2))</f>
        <v/>
      </c>
      <c r="T12" s="24">
        <f>IF(COUNT(F12,K12,P12)=0,"",ROUND(AVERAGE(F12,K12,P12),2))</f>
        <v/>
      </c>
    </row>
    <row r="13">
      <c r="A13" s="15" t="inlineStr">
        <is>
          <t>V-01</t>
        </is>
      </c>
      <c r="B13" s="21">
        <f>IF(A13="","",IFERROR(INDEX(작품목록!$B$4:$B$103,MATCH(A13,작품목록!$A$4:$A$103,0)),"번호 확인"))</f>
        <v/>
      </c>
      <c r="C13" s="22">
        <f>IF(A13="","",IFERROR(INDEX(작품목록!$F$4:$F$103,MATCH(A13,작품목록!$A$4:$A$103,0)),"작품목록에 없음"))</f>
        <v/>
      </c>
      <c r="D13" s="15" t="n">
        <v>14</v>
      </c>
      <c r="E13" s="15" t="n">
        <v>14</v>
      </c>
      <c r="F13" s="15" t="n">
        <v>13</v>
      </c>
      <c r="G13" s="15" t="n">
        <v>5</v>
      </c>
      <c r="H13" s="21">
        <f>IF(COUNT(D13:G13)=0,"",SUM(D13:G13))</f>
        <v/>
      </c>
      <c r="I13" s="15" t="n">
        <v>13</v>
      </c>
      <c r="J13" s="15" t="n">
        <v>14</v>
      </c>
      <c r="K13" s="15" t="n">
        <v>14</v>
      </c>
      <c r="L13" s="15" t="n">
        <v>5</v>
      </c>
      <c r="M13" s="21">
        <f>IF(COUNT(I13:L13)=0,"",SUM(I13:L13))</f>
        <v/>
      </c>
      <c r="N13" s="15" t="n">
        <v>13</v>
      </c>
      <c r="O13" s="15" t="n">
        <v>15</v>
      </c>
      <c r="P13" s="15" t="n">
        <v>15</v>
      </c>
      <c r="Q13" s="15" t="n">
        <v>5</v>
      </c>
      <c r="R13" s="21">
        <f>IF(COUNT(N13:Q13)=0,"",SUM(N13:Q13))</f>
        <v/>
      </c>
      <c r="S13" s="23">
        <f>IF(COUNT(H13,M13,R13)=0,"",ROUND(AVERAGE(H13,M13,R13),2))</f>
        <v/>
      </c>
      <c r="T13" s="24">
        <f>IF(COUNT(F13,K13,P13)=0,"",ROUND(AVERAGE(F13,K13,P13),2))</f>
        <v/>
      </c>
    </row>
    <row r="14">
      <c r="A14" s="15" t="inlineStr">
        <is>
          <t>V-02</t>
        </is>
      </c>
      <c r="B14" s="21">
        <f>IF(A14="","",IFERROR(INDEX(작품목록!$B$4:$B$103,MATCH(A14,작품목록!$A$4:$A$103,0)),"번호 확인"))</f>
        <v/>
      </c>
      <c r="C14" s="22">
        <f>IF(A14="","",IFERROR(INDEX(작품목록!$F$4:$F$103,MATCH(A14,작품목록!$A$4:$A$103,0)),"작품목록에 없음"))</f>
        <v/>
      </c>
      <c r="D14" s="15" t="n">
        <v>13</v>
      </c>
      <c r="E14" s="15" t="n">
        <v>12</v>
      </c>
      <c r="F14" s="15" t="n">
        <v>12</v>
      </c>
      <c r="G14" s="15" t="n">
        <v>4</v>
      </c>
      <c r="H14" s="21">
        <f>IF(COUNT(D14:G14)=0,"",SUM(D14:G14))</f>
        <v/>
      </c>
      <c r="I14" s="15" t="n">
        <v>12</v>
      </c>
      <c r="J14" s="15" t="n">
        <v>13</v>
      </c>
      <c r="K14" s="15" t="n">
        <v>12</v>
      </c>
      <c r="L14" s="15" t="n">
        <v>4</v>
      </c>
      <c r="M14" s="21">
        <f>IF(COUNT(I14:L14)=0,"",SUM(I14:L14))</f>
        <v/>
      </c>
      <c r="N14" s="15" t="n">
        <v>11</v>
      </c>
      <c r="O14" s="15" t="n">
        <v>11</v>
      </c>
      <c r="P14" s="15" t="n">
        <v>13</v>
      </c>
      <c r="Q14" s="15" t="n">
        <v>5</v>
      </c>
      <c r="R14" s="21">
        <f>IF(COUNT(N14:Q14)=0,"",SUM(N14:Q14))</f>
        <v/>
      </c>
      <c r="S14" s="23">
        <f>IF(COUNT(H14,M14,R14)=0,"",ROUND(AVERAGE(H14,M14,R14),2))</f>
        <v/>
      </c>
      <c r="T14" s="24">
        <f>IF(COUNT(F14,K14,P14)=0,"",ROUND(AVERAGE(F14,K14,P14),2))</f>
        <v/>
      </c>
    </row>
    <row r="15">
      <c r="A15" s="15" t="inlineStr">
        <is>
          <t>V-03</t>
        </is>
      </c>
      <c r="B15" s="21">
        <f>IF(A15="","",IFERROR(INDEX(작품목록!$B$4:$B$103,MATCH(A15,작품목록!$A$4:$A$103,0)),"번호 확인"))</f>
        <v/>
      </c>
      <c r="C15" s="22">
        <f>IF(A15="","",IFERROR(INDEX(작품목록!$F$4:$F$103,MATCH(A15,작품목록!$A$4:$A$103,0)),"작품목록에 없음"))</f>
        <v/>
      </c>
      <c r="D15" s="15" t="n">
        <v>10</v>
      </c>
      <c r="E15" s="15" t="n">
        <v>12</v>
      </c>
      <c r="F15" s="15" t="n">
        <v>11</v>
      </c>
      <c r="G15" s="15" t="n">
        <v>4</v>
      </c>
      <c r="H15" s="21">
        <f>IF(COUNT(D15:G15)=0,"",SUM(D15:G15))</f>
        <v/>
      </c>
      <c r="I15" s="15" t="n">
        <v>12</v>
      </c>
      <c r="J15" s="15" t="n">
        <v>12</v>
      </c>
      <c r="K15" s="15" t="n">
        <v>12</v>
      </c>
      <c r="L15" s="15" t="n">
        <v>4</v>
      </c>
      <c r="M15" s="21">
        <f>IF(COUNT(I15:L15)=0,"",SUM(I15:L15))</f>
        <v/>
      </c>
      <c r="N15" s="15" t="n">
        <v>11</v>
      </c>
      <c r="O15" s="15" t="n">
        <v>11</v>
      </c>
      <c r="P15" s="15" t="n">
        <v>12</v>
      </c>
      <c r="Q15" s="15" t="n">
        <v>4</v>
      </c>
      <c r="R15" s="21">
        <f>IF(COUNT(N15:Q15)=0,"",SUM(N15:Q15))</f>
        <v/>
      </c>
      <c r="S15" s="23">
        <f>IF(COUNT(H15,M15,R15)=0,"",ROUND(AVERAGE(H15,M15,R15),2))</f>
        <v/>
      </c>
      <c r="T15" s="24">
        <f>IF(COUNT(F15,K15,P15)=0,"",ROUND(AVERAGE(F15,K15,P15),2))</f>
        <v/>
      </c>
    </row>
    <row r="16">
      <c r="A16" s="15" t="inlineStr">
        <is>
          <t>V-04</t>
        </is>
      </c>
      <c r="B16" s="21">
        <f>IF(A16="","",IFERROR(INDEX(작품목록!$B$4:$B$103,MATCH(A16,작품목록!$A$4:$A$103,0)),"번호 확인"))</f>
        <v/>
      </c>
      <c r="C16" s="22">
        <f>IF(A16="","",IFERROR(INDEX(작품목록!$F$4:$F$103,MATCH(A16,작품목록!$A$4:$A$103,0)),"작품목록에 없음"))</f>
        <v/>
      </c>
      <c r="D16" s="15" t="n">
        <v>11</v>
      </c>
      <c r="E16" s="15" t="n">
        <v>10</v>
      </c>
      <c r="F16" s="15" t="n">
        <v>10</v>
      </c>
      <c r="G16" s="15" t="n">
        <v>3</v>
      </c>
      <c r="H16" s="21">
        <f>IF(COUNT(D16:G16)=0,"",SUM(D16:G16))</f>
        <v/>
      </c>
      <c r="I16" s="15" t="n">
        <v>9</v>
      </c>
      <c r="J16" s="15" t="n">
        <v>10</v>
      </c>
      <c r="K16" s="15" t="n">
        <v>11</v>
      </c>
      <c r="L16" s="15" t="n">
        <v>4</v>
      </c>
      <c r="M16" s="21">
        <f>IF(COUNT(I16:L16)=0,"",SUM(I16:L16))</f>
        <v/>
      </c>
      <c r="N16" s="15" t="n">
        <v>10</v>
      </c>
      <c r="O16" s="15" t="n">
        <v>9</v>
      </c>
      <c r="P16" s="15" t="n">
        <v>10</v>
      </c>
      <c r="Q16" s="15" t="n">
        <v>4</v>
      </c>
      <c r="R16" s="21">
        <f>IF(COUNT(N16:Q16)=0,"",SUM(N16:Q16))</f>
        <v/>
      </c>
      <c r="S16" s="23">
        <f>IF(COUNT(H16,M16,R16)=0,"",ROUND(AVERAGE(H16,M16,R16),2))</f>
        <v/>
      </c>
      <c r="T16" s="24">
        <f>IF(COUNT(F16,K16,P16)=0,"",ROUND(AVERAGE(F16,K16,P16),2))</f>
        <v/>
      </c>
    </row>
    <row r="17">
      <c r="A17" s="15" t="inlineStr">
        <is>
          <t>V-05</t>
        </is>
      </c>
      <c r="B17" s="21">
        <f>IF(A17="","",IFERROR(INDEX(작품목록!$B$4:$B$103,MATCH(A17,작품목록!$A$4:$A$103,0)),"번호 확인"))</f>
        <v/>
      </c>
      <c r="C17" s="22">
        <f>IF(A17="","",IFERROR(INDEX(작품목록!$F$4:$F$103,MATCH(A17,작품목록!$A$4:$A$103,0)),"작품목록에 없음"))</f>
        <v/>
      </c>
      <c r="D17" s="15" t="n">
        <v>13</v>
      </c>
      <c r="E17" s="15" t="n">
        <v>13</v>
      </c>
      <c r="F17" s="15" t="n">
        <v>12</v>
      </c>
      <c r="G17" s="15" t="n">
        <v>4</v>
      </c>
      <c r="H17" s="21">
        <f>IF(COUNT(D17:G17)=0,"",SUM(D17:G17))</f>
        <v/>
      </c>
      <c r="I17" s="15" t="n">
        <v>13</v>
      </c>
      <c r="J17" s="15" t="n">
        <v>12</v>
      </c>
      <c r="K17" s="15" t="n">
        <v>11</v>
      </c>
      <c r="L17" s="15" t="n">
        <v>4</v>
      </c>
      <c r="M17" s="21">
        <f>IF(COUNT(I17:L17)=0,"",SUM(I17:L17))</f>
        <v/>
      </c>
      <c r="N17" s="15" t="n">
        <v>11</v>
      </c>
      <c r="O17" s="15" t="n">
        <v>13</v>
      </c>
      <c r="P17" s="15" t="n">
        <v>11</v>
      </c>
      <c r="Q17" s="15" t="n">
        <v>4</v>
      </c>
      <c r="R17" s="21">
        <f>IF(COUNT(N17:Q17)=0,"",SUM(N17:Q17))</f>
        <v/>
      </c>
      <c r="S17" s="23">
        <f>IF(COUNT(H17,M17,R17)=0,"",ROUND(AVERAGE(H17,M17,R17),2))</f>
        <v/>
      </c>
      <c r="T17" s="24">
        <f>IF(COUNT(F17,K17,P17)=0,"",ROUND(AVERAGE(F17,K17,P17),2))</f>
        <v/>
      </c>
    </row>
    <row r="18">
      <c r="A18" s="15" t="inlineStr">
        <is>
          <t>V-06</t>
        </is>
      </c>
      <c r="B18" s="21">
        <f>IF(A18="","",IFERROR(INDEX(작품목록!$B$4:$B$103,MATCH(A18,작품목록!$A$4:$A$103,0)),"번호 확인"))</f>
        <v/>
      </c>
      <c r="C18" s="22">
        <f>IF(A18="","",IFERROR(INDEX(작품목록!$F$4:$F$103,MATCH(A18,작품목록!$A$4:$A$103,0)),"작품목록에 없음"))</f>
        <v/>
      </c>
      <c r="D18" s="15" t="n">
        <v>10</v>
      </c>
      <c r="E18" s="15" t="n">
        <v>11</v>
      </c>
      <c r="F18" s="15" t="n">
        <v>10</v>
      </c>
      <c r="G18" s="15" t="n">
        <v>4</v>
      </c>
      <c r="H18" s="21">
        <f>IF(COUNT(D18:G18)=0,"",SUM(D18:G18))</f>
        <v/>
      </c>
      <c r="I18" s="15" t="n">
        <v>10</v>
      </c>
      <c r="J18" s="15" t="n">
        <v>10</v>
      </c>
      <c r="K18" s="15" t="n">
        <v>10</v>
      </c>
      <c r="L18" s="15" t="n">
        <v>3</v>
      </c>
      <c r="M18" s="21">
        <f>IF(COUNT(I18:L18)=0,"",SUM(I18:L18))</f>
        <v/>
      </c>
      <c r="N18" s="15" t="n">
        <v>12</v>
      </c>
      <c r="O18" s="15" t="n">
        <v>11</v>
      </c>
      <c r="P18" s="15" t="n">
        <v>12</v>
      </c>
      <c r="Q18" s="15" t="n">
        <v>3</v>
      </c>
      <c r="R18" s="21">
        <f>IF(COUNT(N18:Q18)=0,"",SUM(N18:Q18))</f>
        <v/>
      </c>
      <c r="S18" s="23">
        <f>IF(COUNT(H18,M18,R18)=0,"",ROUND(AVERAGE(H18,M18,R18),2))</f>
        <v/>
      </c>
      <c r="T18" s="24">
        <f>IF(COUNT(F18,K18,P18)=0,"",ROUND(AVERAGE(F18,K18,P18),2))</f>
        <v/>
      </c>
    </row>
    <row r="19">
      <c r="A19" s="15" t="inlineStr">
        <is>
          <t>V-07</t>
        </is>
      </c>
      <c r="B19" s="21">
        <f>IF(A19="","",IFERROR(INDEX(작품목록!$B$4:$B$103,MATCH(A19,작품목록!$A$4:$A$103,0)),"번호 확인"))</f>
        <v/>
      </c>
      <c r="C19" s="22">
        <f>IF(A19="","",IFERROR(INDEX(작품목록!$F$4:$F$103,MATCH(A19,작품목록!$A$4:$A$103,0)),"작품목록에 없음"))</f>
        <v/>
      </c>
      <c r="D19" s="15" t="n">
        <v>13</v>
      </c>
      <c r="E19" s="15" t="n">
        <v>12</v>
      </c>
      <c r="F19" s="15" t="n">
        <v>12</v>
      </c>
      <c r="G19" s="15" t="n">
        <v>4</v>
      </c>
      <c r="H19" s="21">
        <f>IF(COUNT(D19:G19)=0,"",SUM(D19:G19))</f>
        <v/>
      </c>
      <c r="I19" s="15" t="n">
        <v>13</v>
      </c>
      <c r="J19" s="15" t="n">
        <v>12</v>
      </c>
      <c r="K19" s="15" t="n">
        <v>12</v>
      </c>
      <c r="L19" s="15" t="n">
        <v>4</v>
      </c>
      <c r="M19" s="21">
        <f>IF(COUNT(I19:L19)=0,"",SUM(I19:L19))</f>
        <v/>
      </c>
      <c r="N19" s="15" t="n">
        <v>14</v>
      </c>
      <c r="O19" s="15" t="n">
        <v>12</v>
      </c>
      <c r="P19" s="15" t="n">
        <v>13</v>
      </c>
      <c r="Q19" s="15" t="n">
        <v>4</v>
      </c>
      <c r="R19" s="21">
        <f>IF(COUNT(N19:Q19)=0,"",SUM(N19:Q19))</f>
        <v/>
      </c>
      <c r="S19" s="23">
        <f>IF(COUNT(H19,M19,R19)=0,"",ROUND(AVERAGE(H19,M19,R19),2))</f>
        <v/>
      </c>
      <c r="T19" s="24">
        <f>IF(COUNT(F19,K19,P19)=0,"",ROUND(AVERAGE(F19,K19,P19),2))</f>
        <v/>
      </c>
    </row>
    <row r="20">
      <c r="A20" s="15" t="inlineStr">
        <is>
          <t>V-08</t>
        </is>
      </c>
      <c r="B20" s="21">
        <f>IF(A20="","",IFERROR(INDEX(작품목록!$B$4:$B$103,MATCH(A20,작품목록!$A$4:$A$103,0)),"번호 확인"))</f>
        <v/>
      </c>
      <c r="C20" s="22">
        <f>IF(A20="","",IFERROR(INDEX(작품목록!$F$4:$F$103,MATCH(A20,작품목록!$A$4:$A$103,0)),"작품목록에 없음"))</f>
        <v/>
      </c>
      <c r="D20" s="15" t="n">
        <v>9</v>
      </c>
      <c r="E20" s="15" t="n">
        <v>10</v>
      </c>
      <c r="F20" s="15" t="n">
        <v>8</v>
      </c>
      <c r="G20" s="15" t="n">
        <v>3</v>
      </c>
      <c r="H20" s="21">
        <f>IF(COUNT(D20:G20)=0,"",SUM(D20:G20))</f>
        <v/>
      </c>
      <c r="I20" s="15" t="n">
        <v>10</v>
      </c>
      <c r="J20" s="15" t="n">
        <v>8</v>
      </c>
      <c r="K20" s="15" t="n">
        <v>9</v>
      </c>
      <c r="L20" s="15" t="n">
        <v>3</v>
      </c>
      <c r="M20" s="21">
        <f>IF(COUNT(I20:L20)=0,"",SUM(I20:L20))</f>
        <v/>
      </c>
      <c r="N20" s="15" t="n">
        <v>9</v>
      </c>
      <c r="O20" s="15" t="n">
        <v>10</v>
      </c>
      <c r="P20" s="15" t="n">
        <v>8</v>
      </c>
      <c r="Q20" s="15" t="n">
        <v>3</v>
      </c>
      <c r="R20" s="21">
        <f>IF(COUNT(N20:Q20)=0,"",SUM(N20:Q20))</f>
        <v/>
      </c>
      <c r="S20" s="23">
        <f>IF(COUNT(H20,M20,R20)=0,"",ROUND(AVERAGE(H20,M20,R20),2))</f>
        <v/>
      </c>
      <c r="T20" s="24">
        <f>IF(COUNT(F20,K20,P20)=0,"",ROUND(AVERAGE(F20,K20,P20),2))</f>
        <v/>
      </c>
    </row>
    <row r="21">
      <c r="A21" s="15" t="n"/>
      <c r="B21" s="21">
        <f>IF(A21="","",IFERROR(INDEX(작품목록!$B$4:$B$103,MATCH(A21,작품목록!$A$4:$A$103,0)),"번호 확인"))</f>
        <v/>
      </c>
      <c r="C21" s="22">
        <f>IF(A21="","",IFERROR(INDEX(작품목록!$F$4:$F$103,MATCH(A21,작품목록!$A$4:$A$103,0)),"작품목록에 없음"))</f>
        <v/>
      </c>
      <c r="D21" s="15" t="n"/>
      <c r="E21" s="15" t="n"/>
      <c r="F21" s="15" t="n"/>
      <c r="G21" s="15" t="n"/>
      <c r="H21" s="21">
        <f>IF(COUNT(D21:G21)=0,"",SUM(D21:G21))</f>
        <v/>
      </c>
      <c r="I21" s="15" t="n"/>
      <c r="J21" s="15" t="n"/>
      <c r="K21" s="15" t="n"/>
      <c r="L21" s="15" t="n"/>
      <c r="M21" s="21">
        <f>IF(COUNT(I21:L21)=0,"",SUM(I21:L21))</f>
        <v/>
      </c>
      <c r="N21" s="15" t="n"/>
      <c r="O21" s="15" t="n"/>
      <c r="P21" s="15" t="n"/>
      <c r="Q21" s="15" t="n"/>
      <c r="R21" s="21">
        <f>IF(COUNT(N21:Q21)=0,"",SUM(N21:Q21))</f>
        <v/>
      </c>
      <c r="S21" s="23">
        <f>IF(COUNT(H21,M21,R21)=0,"",ROUND(AVERAGE(H21,M21,R21),2))</f>
        <v/>
      </c>
      <c r="T21" s="24">
        <f>IF(COUNT(F21,K21,P21)=0,"",ROUND(AVERAGE(F21,K21,P21),2))</f>
        <v/>
      </c>
    </row>
    <row r="22">
      <c r="A22" s="15" t="n"/>
      <c r="B22" s="21">
        <f>IF(A22="","",IFERROR(INDEX(작품목록!$B$4:$B$103,MATCH(A22,작품목록!$A$4:$A$103,0)),"번호 확인"))</f>
        <v/>
      </c>
      <c r="C22" s="22">
        <f>IF(A22="","",IFERROR(INDEX(작품목록!$F$4:$F$103,MATCH(A22,작품목록!$A$4:$A$103,0)),"작품목록에 없음"))</f>
        <v/>
      </c>
      <c r="D22" s="15" t="n"/>
      <c r="E22" s="15" t="n"/>
      <c r="F22" s="15" t="n"/>
      <c r="G22" s="15" t="n"/>
      <c r="H22" s="21">
        <f>IF(COUNT(D22:G22)=0,"",SUM(D22:G22))</f>
        <v/>
      </c>
      <c r="I22" s="15" t="n"/>
      <c r="J22" s="15" t="n"/>
      <c r="K22" s="15" t="n"/>
      <c r="L22" s="15" t="n"/>
      <c r="M22" s="21">
        <f>IF(COUNT(I22:L22)=0,"",SUM(I22:L22))</f>
        <v/>
      </c>
      <c r="N22" s="15" t="n"/>
      <c r="O22" s="15" t="n"/>
      <c r="P22" s="15" t="n"/>
      <c r="Q22" s="15" t="n"/>
      <c r="R22" s="21">
        <f>IF(COUNT(N22:Q22)=0,"",SUM(N22:Q22))</f>
        <v/>
      </c>
      <c r="S22" s="23">
        <f>IF(COUNT(H22,M22,R22)=0,"",ROUND(AVERAGE(H22,M22,R22),2))</f>
        <v/>
      </c>
      <c r="T22" s="24">
        <f>IF(COUNT(F22,K22,P22)=0,"",ROUND(AVERAGE(F22,K22,P22),2))</f>
        <v/>
      </c>
    </row>
    <row r="23">
      <c r="A23" s="15" t="n"/>
      <c r="B23" s="21">
        <f>IF(A23="","",IFERROR(INDEX(작품목록!$B$4:$B$103,MATCH(A23,작품목록!$A$4:$A$103,0)),"번호 확인"))</f>
        <v/>
      </c>
      <c r="C23" s="22">
        <f>IF(A23="","",IFERROR(INDEX(작품목록!$F$4:$F$103,MATCH(A23,작품목록!$A$4:$A$103,0)),"작품목록에 없음"))</f>
        <v/>
      </c>
      <c r="D23" s="15" t="n"/>
      <c r="E23" s="15" t="n"/>
      <c r="F23" s="15" t="n"/>
      <c r="G23" s="15" t="n"/>
      <c r="H23" s="21">
        <f>IF(COUNT(D23:G23)=0,"",SUM(D23:G23))</f>
        <v/>
      </c>
      <c r="I23" s="15" t="n"/>
      <c r="J23" s="15" t="n"/>
      <c r="K23" s="15" t="n"/>
      <c r="L23" s="15" t="n"/>
      <c r="M23" s="21">
        <f>IF(COUNT(I23:L23)=0,"",SUM(I23:L23))</f>
        <v/>
      </c>
      <c r="N23" s="15" t="n"/>
      <c r="O23" s="15" t="n"/>
      <c r="P23" s="15" t="n"/>
      <c r="Q23" s="15" t="n"/>
      <c r="R23" s="21">
        <f>IF(COUNT(N23:Q23)=0,"",SUM(N23:Q23))</f>
        <v/>
      </c>
      <c r="S23" s="23">
        <f>IF(COUNT(H23,M23,R23)=0,"",ROUND(AVERAGE(H23,M23,R23),2))</f>
        <v/>
      </c>
      <c r="T23" s="24">
        <f>IF(COUNT(F23,K23,P23)=0,"",ROUND(AVERAGE(F23,K23,P23),2))</f>
        <v/>
      </c>
    </row>
    <row r="24">
      <c r="A24" s="15" t="n"/>
      <c r="B24" s="21">
        <f>IF(A24="","",IFERROR(INDEX(작품목록!$B$4:$B$103,MATCH(A24,작품목록!$A$4:$A$103,0)),"번호 확인"))</f>
        <v/>
      </c>
      <c r="C24" s="22">
        <f>IF(A24="","",IFERROR(INDEX(작품목록!$F$4:$F$103,MATCH(A24,작품목록!$A$4:$A$103,0)),"작품목록에 없음"))</f>
        <v/>
      </c>
      <c r="D24" s="15" t="n"/>
      <c r="E24" s="15" t="n"/>
      <c r="F24" s="15" t="n"/>
      <c r="G24" s="15" t="n"/>
      <c r="H24" s="21">
        <f>IF(COUNT(D24:G24)=0,"",SUM(D24:G24))</f>
        <v/>
      </c>
      <c r="I24" s="15" t="n"/>
      <c r="J24" s="15" t="n"/>
      <c r="K24" s="15" t="n"/>
      <c r="L24" s="15" t="n"/>
      <c r="M24" s="21">
        <f>IF(COUNT(I24:L24)=0,"",SUM(I24:L24))</f>
        <v/>
      </c>
      <c r="N24" s="15" t="n"/>
      <c r="O24" s="15" t="n"/>
      <c r="P24" s="15" t="n"/>
      <c r="Q24" s="15" t="n"/>
      <c r="R24" s="21">
        <f>IF(COUNT(N24:Q24)=0,"",SUM(N24:Q24))</f>
        <v/>
      </c>
      <c r="S24" s="23">
        <f>IF(COUNT(H24,M24,R24)=0,"",ROUND(AVERAGE(H24,M24,R24),2))</f>
        <v/>
      </c>
      <c r="T24" s="24">
        <f>IF(COUNT(F24,K24,P24)=0,"",ROUND(AVERAGE(F24,K24,P24),2))</f>
        <v/>
      </c>
    </row>
    <row r="25">
      <c r="A25" s="15" t="n"/>
      <c r="B25" s="21">
        <f>IF(A25="","",IFERROR(INDEX(작품목록!$B$4:$B$103,MATCH(A25,작품목록!$A$4:$A$103,0)),"번호 확인"))</f>
        <v/>
      </c>
      <c r="C25" s="22">
        <f>IF(A25="","",IFERROR(INDEX(작품목록!$F$4:$F$103,MATCH(A25,작품목록!$A$4:$A$103,0)),"작품목록에 없음"))</f>
        <v/>
      </c>
      <c r="D25" s="15" t="n"/>
      <c r="E25" s="15" t="n"/>
      <c r="F25" s="15" t="n"/>
      <c r="G25" s="15" t="n"/>
      <c r="H25" s="21">
        <f>IF(COUNT(D25:G25)=0,"",SUM(D25:G25))</f>
        <v/>
      </c>
      <c r="I25" s="15" t="n"/>
      <c r="J25" s="15" t="n"/>
      <c r="K25" s="15" t="n"/>
      <c r="L25" s="15" t="n"/>
      <c r="M25" s="21">
        <f>IF(COUNT(I25:L25)=0,"",SUM(I25:L25))</f>
        <v/>
      </c>
      <c r="N25" s="15" t="n"/>
      <c r="O25" s="15" t="n"/>
      <c r="P25" s="15" t="n"/>
      <c r="Q25" s="15" t="n"/>
      <c r="R25" s="21">
        <f>IF(COUNT(N25:Q25)=0,"",SUM(N25:Q25))</f>
        <v/>
      </c>
      <c r="S25" s="23">
        <f>IF(COUNT(H25,M25,R25)=0,"",ROUND(AVERAGE(H25,M25,R25),2))</f>
        <v/>
      </c>
      <c r="T25" s="24">
        <f>IF(COUNT(F25,K25,P25)=0,"",ROUND(AVERAGE(F25,K25,P25),2))</f>
        <v/>
      </c>
    </row>
    <row r="26">
      <c r="A26" s="15" t="n"/>
      <c r="B26" s="21">
        <f>IF(A26="","",IFERROR(INDEX(작품목록!$B$4:$B$103,MATCH(A26,작품목록!$A$4:$A$103,0)),"번호 확인"))</f>
        <v/>
      </c>
      <c r="C26" s="22">
        <f>IF(A26="","",IFERROR(INDEX(작품목록!$F$4:$F$103,MATCH(A26,작품목록!$A$4:$A$103,0)),"작품목록에 없음"))</f>
        <v/>
      </c>
      <c r="D26" s="15" t="n"/>
      <c r="E26" s="15" t="n"/>
      <c r="F26" s="15" t="n"/>
      <c r="G26" s="15" t="n"/>
      <c r="H26" s="21">
        <f>IF(COUNT(D26:G26)=0,"",SUM(D26:G26))</f>
        <v/>
      </c>
      <c r="I26" s="15" t="n"/>
      <c r="J26" s="15" t="n"/>
      <c r="K26" s="15" t="n"/>
      <c r="L26" s="15" t="n"/>
      <c r="M26" s="21">
        <f>IF(COUNT(I26:L26)=0,"",SUM(I26:L26))</f>
        <v/>
      </c>
      <c r="N26" s="15" t="n"/>
      <c r="O26" s="15" t="n"/>
      <c r="P26" s="15" t="n"/>
      <c r="Q26" s="15" t="n"/>
      <c r="R26" s="21">
        <f>IF(COUNT(N26:Q26)=0,"",SUM(N26:Q26))</f>
        <v/>
      </c>
      <c r="S26" s="23">
        <f>IF(COUNT(H26,M26,R26)=0,"",ROUND(AVERAGE(H26,M26,R26),2))</f>
        <v/>
      </c>
      <c r="T26" s="24">
        <f>IF(COUNT(F26,K26,P26)=0,"",ROUND(AVERAGE(F26,K26,P26),2))</f>
        <v/>
      </c>
    </row>
    <row r="27">
      <c r="A27" s="15" t="n"/>
      <c r="B27" s="21">
        <f>IF(A27="","",IFERROR(INDEX(작품목록!$B$4:$B$103,MATCH(A27,작품목록!$A$4:$A$103,0)),"번호 확인"))</f>
        <v/>
      </c>
      <c r="C27" s="22">
        <f>IF(A27="","",IFERROR(INDEX(작품목록!$F$4:$F$103,MATCH(A27,작품목록!$A$4:$A$103,0)),"작품목록에 없음"))</f>
        <v/>
      </c>
      <c r="D27" s="15" t="n"/>
      <c r="E27" s="15" t="n"/>
      <c r="F27" s="15" t="n"/>
      <c r="G27" s="15" t="n"/>
      <c r="H27" s="21">
        <f>IF(COUNT(D27:G27)=0,"",SUM(D27:G27))</f>
        <v/>
      </c>
      <c r="I27" s="15" t="n"/>
      <c r="J27" s="15" t="n"/>
      <c r="K27" s="15" t="n"/>
      <c r="L27" s="15" t="n"/>
      <c r="M27" s="21">
        <f>IF(COUNT(I27:L27)=0,"",SUM(I27:L27))</f>
        <v/>
      </c>
      <c r="N27" s="15" t="n"/>
      <c r="O27" s="15" t="n"/>
      <c r="P27" s="15" t="n"/>
      <c r="Q27" s="15" t="n"/>
      <c r="R27" s="21">
        <f>IF(COUNT(N27:Q27)=0,"",SUM(N27:Q27))</f>
        <v/>
      </c>
      <c r="S27" s="23">
        <f>IF(COUNT(H27,M27,R27)=0,"",ROUND(AVERAGE(H27,M27,R27),2))</f>
        <v/>
      </c>
      <c r="T27" s="24">
        <f>IF(COUNT(F27,K27,P27)=0,"",ROUND(AVERAGE(F27,K27,P27),2))</f>
        <v/>
      </c>
    </row>
    <row r="28">
      <c r="A28" s="15" t="n"/>
      <c r="B28" s="21">
        <f>IF(A28="","",IFERROR(INDEX(작품목록!$B$4:$B$103,MATCH(A28,작품목록!$A$4:$A$103,0)),"번호 확인"))</f>
        <v/>
      </c>
      <c r="C28" s="22">
        <f>IF(A28="","",IFERROR(INDEX(작품목록!$F$4:$F$103,MATCH(A28,작품목록!$A$4:$A$103,0)),"작품목록에 없음"))</f>
        <v/>
      </c>
      <c r="D28" s="15" t="n"/>
      <c r="E28" s="15" t="n"/>
      <c r="F28" s="15" t="n"/>
      <c r="G28" s="15" t="n"/>
      <c r="H28" s="21">
        <f>IF(COUNT(D28:G28)=0,"",SUM(D28:G28))</f>
        <v/>
      </c>
      <c r="I28" s="15" t="n"/>
      <c r="J28" s="15" t="n"/>
      <c r="K28" s="15" t="n"/>
      <c r="L28" s="15" t="n"/>
      <c r="M28" s="21">
        <f>IF(COUNT(I28:L28)=0,"",SUM(I28:L28))</f>
        <v/>
      </c>
      <c r="N28" s="15" t="n"/>
      <c r="O28" s="15" t="n"/>
      <c r="P28" s="15" t="n"/>
      <c r="Q28" s="15" t="n"/>
      <c r="R28" s="21">
        <f>IF(COUNT(N28:Q28)=0,"",SUM(N28:Q28))</f>
        <v/>
      </c>
      <c r="S28" s="23">
        <f>IF(COUNT(H28,M28,R28)=0,"",ROUND(AVERAGE(H28,M28,R28),2))</f>
        <v/>
      </c>
      <c r="T28" s="24">
        <f>IF(COUNT(F28,K28,P28)=0,"",ROUND(AVERAGE(F28,K28,P28),2))</f>
        <v/>
      </c>
    </row>
    <row r="29">
      <c r="A29" s="15" t="n"/>
      <c r="B29" s="21">
        <f>IF(A29="","",IFERROR(INDEX(작품목록!$B$4:$B$103,MATCH(A29,작품목록!$A$4:$A$103,0)),"번호 확인"))</f>
        <v/>
      </c>
      <c r="C29" s="22">
        <f>IF(A29="","",IFERROR(INDEX(작품목록!$F$4:$F$103,MATCH(A29,작품목록!$A$4:$A$103,0)),"작품목록에 없음"))</f>
        <v/>
      </c>
      <c r="D29" s="15" t="n"/>
      <c r="E29" s="15" t="n"/>
      <c r="F29" s="15" t="n"/>
      <c r="G29" s="15" t="n"/>
      <c r="H29" s="21">
        <f>IF(COUNT(D29:G29)=0,"",SUM(D29:G29))</f>
        <v/>
      </c>
      <c r="I29" s="15" t="n"/>
      <c r="J29" s="15" t="n"/>
      <c r="K29" s="15" t="n"/>
      <c r="L29" s="15" t="n"/>
      <c r="M29" s="21">
        <f>IF(COUNT(I29:L29)=0,"",SUM(I29:L29))</f>
        <v/>
      </c>
      <c r="N29" s="15" t="n"/>
      <c r="O29" s="15" t="n"/>
      <c r="P29" s="15" t="n"/>
      <c r="Q29" s="15" t="n"/>
      <c r="R29" s="21">
        <f>IF(COUNT(N29:Q29)=0,"",SUM(N29:Q29))</f>
        <v/>
      </c>
      <c r="S29" s="23">
        <f>IF(COUNT(H29,M29,R29)=0,"",ROUND(AVERAGE(H29,M29,R29),2))</f>
        <v/>
      </c>
      <c r="T29" s="24">
        <f>IF(COUNT(F29,K29,P29)=0,"",ROUND(AVERAGE(F29,K29,P29),2))</f>
        <v/>
      </c>
    </row>
    <row r="30">
      <c r="A30" s="15" t="n"/>
      <c r="B30" s="21">
        <f>IF(A30="","",IFERROR(INDEX(작품목록!$B$4:$B$103,MATCH(A30,작품목록!$A$4:$A$103,0)),"번호 확인"))</f>
        <v/>
      </c>
      <c r="C30" s="22">
        <f>IF(A30="","",IFERROR(INDEX(작품목록!$F$4:$F$103,MATCH(A30,작품목록!$A$4:$A$103,0)),"작품목록에 없음"))</f>
        <v/>
      </c>
      <c r="D30" s="15" t="n"/>
      <c r="E30" s="15" t="n"/>
      <c r="F30" s="15" t="n"/>
      <c r="G30" s="15" t="n"/>
      <c r="H30" s="21">
        <f>IF(COUNT(D30:G30)=0,"",SUM(D30:G30))</f>
        <v/>
      </c>
      <c r="I30" s="15" t="n"/>
      <c r="J30" s="15" t="n"/>
      <c r="K30" s="15" t="n"/>
      <c r="L30" s="15" t="n"/>
      <c r="M30" s="21">
        <f>IF(COUNT(I30:L30)=0,"",SUM(I30:L30))</f>
        <v/>
      </c>
      <c r="N30" s="15" t="n"/>
      <c r="O30" s="15" t="n"/>
      <c r="P30" s="15" t="n"/>
      <c r="Q30" s="15" t="n"/>
      <c r="R30" s="21">
        <f>IF(COUNT(N30:Q30)=0,"",SUM(N30:Q30))</f>
        <v/>
      </c>
      <c r="S30" s="23">
        <f>IF(COUNT(H30,M30,R30)=0,"",ROUND(AVERAGE(H30,M30,R30),2))</f>
        <v/>
      </c>
      <c r="T30" s="24">
        <f>IF(COUNT(F30,K30,P30)=0,"",ROUND(AVERAGE(F30,K30,P30),2))</f>
        <v/>
      </c>
    </row>
    <row r="31">
      <c r="A31" s="15" t="n"/>
      <c r="B31" s="21">
        <f>IF(A31="","",IFERROR(INDEX(작품목록!$B$4:$B$103,MATCH(A31,작품목록!$A$4:$A$103,0)),"번호 확인"))</f>
        <v/>
      </c>
      <c r="C31" s="22">
        <f>IF(A31="","",IFERROR(INDEX(작품목록!$F$4:$F$103,MATCH(A31,작품목록!$A$4:$A$103,0)),"작품목록에 없음"))</f>
        <v/>
      </c>
      <c r="D31" s="15" t="n"/>
      <c r="E31" s="15" t="n"/>
      <c r="F31" s="15" t="n"/>
      <c r="G31" s="15" t="n"/>
      <c r="H31" s="21">
        <f>IF(COUNT(D31:G31)=0,"",SUM(D31:G31))</f>
        <v/>
      </c>
      <c r="I31" s="15" t="n"/>
      <c r="J31" s="15" t="n"/>
      <c r="K31" s="15" t="n"/>
      <c r="L31" s="15" t="n"/>
      <c r="M31" s="21">
        <f>IF(COUNT(I31:L31)=0,"",SUM(I31:L31))</f>
        <v/>
      </c>
      <c r="N31" s="15" t="n"/>
      <c r="O31" s="15" t="n"/>
      <c r="P31" s="15" t="n"/>
      <c r="Q31" s="15" t="n"/>
      <c r="R31" s="21">
        <f>IF(COUNT(N31:Q31)=0,"",SUM(N31:Q31))</f>
        <v/>
      </c>
      <c r="S31" s="23">
        <f>IF(COUNT(H31,M31,R31)=0,"",ROUND(AVERAGE(H31,M31,R31),2))</f>
        <v/>
      </c>
      <c r="T31" s="24">
        <f>IF(COUNT(F31,K31,P31)=0,"",ROUND(AVERAGE(F31,K31,P31),2))</f>
        <v/>
      </c>
    </row>
    <row r="32">
      <c r="A32" s="15" t="n"/>
      <c r="B32" s="21">
        <f>IF(A32="","",IFERROR(INDEX(작품목록!$B$4:$B$103,MATCH(A32,작품목록!$A$4:$A$103,0)),"번호 확인"))</f>
        <v/>
      </c>
      <c r="C32" s="22">
        <f>IF(A32="","",IFERROR(INDEX(작품목록!$F$4:$F$103,MATCH(A32,작품목록!$A$4:$A$103,0)),"작품목록에 없음"))</f>
        <v/>
      </c>
      <c r="D32" s="15" t="n"/>
      <c r="E32" s="15" t="n"/>
      <c r="F32" s="15" t="n"/>
      <c r="G32" s="15" t="n"/>
      <c r="H32" s="21">
        <f>IF(COUNT(D32:G32)=0,"",SUM(D32:G32))</f>
        <v/>
      </c>
      <c r="I32" s="15" t="n"/>
      <c r="J32" s="15" t="n"/>
      <c r="K32" s="15" t="n"/>
      <c r="L32" s="15" t="n"/>
      <c r="M32" s="21">
        <f>IF(COUNT(I32:L32)=0,"",SUM(I32:L32))</f>
        <v/>
      </c>
      <c r="N32" s="15" t="n"/>
      <c r="O32" s="15" t="n"/>
      <c r="P32" s="15" t="n"/>
      <c r="Q32" s="15" t="n"/>
      <c r="R32" s="21">
        <f>IF(COUNT(N32:Q32)=0,"",SUM(N32:Q32))</f>
        <v/>
      </c>
      <c r="S32" s="23">
        <f>IF(COUNT(H32,M32,R32)=0,"",ROUND(AVERAGE(H32,M32,R32),2))</f>
        <v/>
      </c>
      <c r="T32" s="24">
        <f>IF(COUNT(F32,K32,P32)=0,"",ROUND(AVERAGE(F32,K32,P32),2))</f>
        <v/>
      </c>
    </row>
    <row r="33">
      <c r="A33" s="15" t="n"/>
      <c r="B33" s="21">
        <f>IF(A33="","",IFERROR(INDEX(작품목록!$B$4:$B$103,MATCH(A33,작품목록!$A$4:$A$103,0)),"번호 확인"))</f>
        <v/>
      </c>
      <c r="C33" s="22">
        <f>IF(A33="","",IFERROR(INDEX(작품목록!$F$4:$F$103,MATCH(A33,작품목록!$A$4:$A$103,0)),"작품목록에 없음"))</f>
        <v/>
      </c>
      <c r="D33" s="15" t="n"/>
      <c r="E33" s="15" t="n"/>
      <c r="F33" s="15" t="n"/>
      <c r="G33" s="15" t="n"/>
      <c r="H33" s="21">
        <f>IF(COUNT(D33:G33)=0,"",SUM(D33:G33))</f>
        <v/>
      </c>
      <c r="I33" s="15" t="n"/>
      <c r="J33" s="15" t="n"/>
      <c r="K33" s="15" t="n"/>
      <c r="L33" s="15" t="n"/>
      <c r="M33" s="21">
        <f>IF(COUNT(I33:L33)=0,"",SUM(I33:L33))</f>
        <v/>
      </c>
      <c r="N33" s="15" t="n"/>
      <c r="O33" s="15" t="n"/>
      <c r="P33" s="15" t="n"/>
      <c r="Q33" s="15" t="n"/>
      <c r="R33" s="21">
        <f>IF(COUNT(N33:Q33)=0,"",SUM(N33:Q33))</f>
        <v/>
      </c>
      <c r="S33" s="23">
        <f>IF(COUNT(H33,M33,R33)=0,"",ROUND(AVERAGE(H33,M33,R33),2))</f>
        <v/>
      </c>
      <c r="T33" s="24">
        <f>IF(COUNT(F33,K33,P33)=0,"",ROUND(AVERAGE(F33,K33,P33),2))</f>
        <v/>
      </c>
    </row>
    <row r="34">
      <c r="A34" s="15" t="n"/>
      <c r="B34" s="21">
        <f>IF(A34="","",IFERROR(INDEX(작품목록!$B$4:$B$103,MATCH(A34,작품목록!$A$4:$A$103,0)),"번호 확인"))</f>
        <v/>
      </c>
      <c r="C34" s="22">
        <f>IF(A34="","",IFERROR(INDEX(작품목록!$F$4:$F$103,MATCH(A34,작품목록!$A$4:$A$103,0)),"작품목록에 없음"))</f>
        <v/>
      </c>
      <c r="D34" s="15" t="n"/>
      <c r="E34" s="15" t="n"/>
      <c r="F34" s="15" t="n"/>
      <c r="G34" s="15" t="n"/>
      <c r="H34" s="21">
        <f>IF(COUNT(D34:G34)=0,"",SUM(D34:G34))</f>
        <v/>
      </c>
      <c r="I34" s="15" t="n"/>
      <c r="J34" s="15" t="n"/>
      <c r="K34" s="15" t="n"/>
      <c r="L34" s="15" t="n"/>
      <c r="M34" s="21">
        <f>IF(COUNT(I34:L34)=0,"",SUM(I34:L34))</f>
        <v/>
      </c>
      <c r="N34" s="15" t="n"/>
      <c r="O34" s="15" t="n"/>
      <c r="P34" s="15" t="n"/>
      <c r="Q34" s="15" t="n"/>
      <c r="R34" s="21">
        <f>IF(COUNT(N34:Q34)=0,"",SUM(N34:Q34))</f>
        <v/>
      </c>
      <c r="S34" s="23">
        <f>IF(COUNT(H34,M34,R34)=0,"",ROUND(AVERAGE(H34,M34,R34),2))</f>
        <v/>
      </c>
      <c r="T34" s="24">
        <f>IF(COUNT(F34,K34,P34)=0,"",ROUND(AVERAGE(F34,K34,P34),2))</f>
        <v/>
      </c>
    </row>
    <row r="35">
      <c r="A35" s="15" t="n"/>
      <c r="B35" s="21">
        <f>IF(A35="","",IFERROR(INDEX(작품목록!$B$4:$B$103,MATCH(A35,작품목록!$A$4:$A$103,0)),"번호 확인"))</f>
        <v/>
      </c>
      <c r="C35" s="22">
        <f>IF(A35="","",IFERROR(INDEX(작품목록!$F$4:$F$103,MATCH(A35,작품목록!$A$4:$A$103,0)),"작품목록에 없음"))</f>
        <v/>
      </c>
      <c r="D35" s="15" t="n"/>
      <c r="E35" s="15" t="n"/>
      <c r="F35" s="15" t="n"/>
      <c r="G35" s="15" t="n"/>
      <c r="H35" s="21">
        <f>IF(COUNT(D35:G35)=0,"",SUM(D35:G35))</f>
        <v/>
      </c>
      <c r="I35" s="15" t="n"/>
      <c r="J35" s="15" t="n"/>
      <c r="K35" s="15" t="n"/>
      <c r="L35" s="15" t="n"/>
      <c r="M35" s="21">
        <f>IF(COUNT(I35:L35)=0,"",SUM(I35:L35))</f>
        <v/>
      </c>
      <c r="N35" s="15" t="n"/>
      <c r="O35" s="15" t="n"/>
      <c r="P35" s="15" t="n"/>
      <c r="Q35" s="15" t="n"/>
      <c r="R35" s="21">
        <f>IF(COUNT(N35:Q35)=0,"",SUM(N35:Q35))</f>
        <v/>
      </c>
      <c r="S35" s="23">
        <f>IF(COUNT(H35,M35,R35)=0,"",ROUND(AVERAGE(H35,M35,R35),2))</f>
        <v/>
      </c>
      <c r="T35" s="24">
        <f>IF(COUNT(F35,K35,P35)=0,"",ROUND(AVERAGE(F35,K35,P35),2))</f>
        <v/>
      </c>
    </row>
    <row r="36">
      <c r="A36" s="15" t="n"/>
      <c r="B36" s="21">
        <f>IF(A36="","",IFERROR(INDEX(작품목록!$B$4:$B$103,MATCH(A36,작품목록!$A$4:$A$103,0)),"번호 확인"))</f>
        <v/>
      </c>
      <c r="C36" s="22">
        <f>IF(A36="","",IFERROR(INDEX(작품목록!$F$4:$F$103,MATCH(A36,작품목록!$A$4:$A$103,0)),"작품목록에 없음"))</f>
        <v/>
      </c>
      <c r="D36" s="15" t="n"/>
      <c r="E36" s="15" t="n"/>
      <c r="F36" s="15" t="n"/>
      <c r="G36" s="15" t="n"/>
      <c r="H36" s="21">
        <f>IF(COUNT(D36:G36)=0,"",SUM(D36:G36))</f>
        <v/>
      </c>
      <c r="I36" s="15" t="n"/>
      <c r="J36" s="15" t="n"/>
      <c r="K36" s="15" t="n"/>
      <c r="L36" s="15" t="n"/>
      <c r="M36" s="21">
        <f>IF(COUNT(I36:L36)=0,"",SUM(I36:L36))</f>
        <v/>
      </c>
      <c r="N36" s="15" t="n"/>
      <c r="O36" s="15" t="n"/>
      <c r="P36" s="15" t="n"/>
      <c r="Q36" s="15" t="n"/>
      <c r="R36" s="21">
        <f>IF(COUNT(N36:Q36)=0,"",SUM(N36:Q36))</f>
        <v/>
      </c>
      <c r="S36" s="23">
        <f>IF(COUNT(H36,M36,R36)=0,"",ROUND(AVERAGE(H36,M36,R36),2))</f>
        <v/>
      </c>
      <c r="T36" s="24">
        <f>IF(COUNT(F36,K36,P36)=0,"",ROUND(AVERAGE(F36,K36,P36),2))</f>
        <v/>
      </c>
    </row>
    <row r="37">
      <c r="A37" s="15" t="n"/>
      <c r="B37" s="21">
        <f>IF(A37="","",IFERROR(INDEX(작품목록!$B$4:$B$103,MATCH(A37,작품목록!$A$4:$A$103,0)),"번호 확인"))</f>
        <v/>
      </c>
      <c r="C37" s="22">
        <f>IF(A37="","",IFERROR(INDEX(작품목록!$F$4:$F$103,MATCH(A37,작품목록!$A$4:$A$103,0)),"작품목록에 없음"))</f>
        <v/>
      </c>
      <c r="D37" s="15" t="n"/>
      <c r="E37" s="15" t="n"/>
      <c r="F37" s="15" t="n"/>
      <c r="G37" s="15" t="n"/>
      <c r="H37" s="21">
        <f>IF(COUNT(D37:G37)=0,"",SUM(D37:G37))</f>
        <v/>
      </c>
      <c r="I37" s="15" t="n"/>
      <c r="J37" s="15" t="n"/>
      <c r="K37" s="15" t="n"/>
      <c r="L37" s="15" t="n"/>
      <c r="M37" s="21">
        <f>IF(COUNT(I37:L37)=0,"",SUM(I37:L37))</f>
        <v/>
      </c>
      <c r="N37" s="15" t="n"/>
      <c r="O37" s="15" t="n"/>
      <c r="P37" s="15" t="n"/>
      <c r="Q37" s="15" t="n"/>
      <c r="R37" s="21">
        <f>IF(COUNT(N37:Q37)=0,"",SUM(N37:Q37))</f>
        <v/>
      </c>
      <c r="S37" s="23">
        <f>IF(COUNT(H37,M37,R37)=0,"",ROUND(AVERAGE(H37,M37,R37),2))</f>
        <v/>
      </c>
      <c r="T37" s="24">
        <f>IF(COUNT(F37,K37,P37)=0,"",ROUND(AVERAGE(F37,K37,P37),2))</f>
        <v/>
      </c>
    </row>
    <row r="38">
      <c r="A38" s="15" t="n"/>
      <c r="B38" s="21">
        <f>IF(A38="","",IFERROR(INDEX(작품목록!$B$4:$B$103,MATCH(A38,작품목록!$A$4:$A$103,0)),"번호 확인"))</f>
        <v/>
      </c>
      <c r="C38" s="22">
        <f>IF(A38="","",IFERROR(INDEX(작품목록!$F$4:$F$103,MATCH(A38,작품목록!$A$4:$A$103,0)),"작품목록에 없음"))</f>
        <v/>
      </c>
      <c r="D38" s="15" t="n"/>
      <c r="E38" s="15" t="n"/>
      <c r="F38" s="15" t="n"/>
      <c r="G38" s="15" t="n"/>
      <c r="H38" s="21">
        <f>IF(COUNT(D38:G38)=0,"",SUM(D38:G38))</f>
        <v/>
      </c>
      <c r="I38" s="15" t="n"/>
      <c r="J38" s="15" t="n"/>
      <c r="K38" s="15" t="n"/>
      <c r="L38" s="15" t="n"/>
      <c r="M38" s="21">
        <f>IF(COUNT(I38:L38)=0,"",SUM(I38:L38))</f>
        <v/>
      </c>
      <c r="N38" s="15" t="n"/>
      <c r="O38" s="15" t="n"/>
      <c r="P38" s="15" t="n"/>
      <c r="Q38" s="15" t="n"/>
      <c r="R38" s="21">
        <f>IF(COUNT(N38:Q38)=0,"",SUM(N38:Q38))</f>
        <v/>
      </c>
      <c r="S38" s="23">
        <f>IF(COUNT(H38,M38,R38)=0,"",ROUND(AVERAGE(H38,M38,R38),2))</f>
        <v/>
      </c>
      <c r="T38" s="24">
        <f>IF(COUNT(F38,K38,P38)=0,"",ROUND(AVERAGE(F38,K38,P38),2))</f>
        <v/>
      </c>
    </row>
    <row r="39">
      <c r="A39" s="15" t="n"/>
      <c r="B39" s="21">
        <f>IF(A39="","",IFERROR(INDEX(작품목록!$B$4:$B$103,MATCH(A39,작품목록!$A$4:$A$103,0)),"번호 확인"))</f>
        <v/>
      </c>
      <c r="C39" s="22">
        <f>IF(A39="","",IFERROR(INDEX(작품목록!$F$4:$F$103,MATCH(A39,작품목록!$A$4:$A$103,0)),"작품목록에 없음"))</f>
        <v/>
      </c>
      <c r="D39" s="15" t="n"/>
      <c r="E39" s="15" t="n"/>
      <c r="F39" s="15" t="n"/>
      <c r="G39" s="15" t="n"/>
      <c r="H39" s="21">
        <f>IF(COUNT(D39:G39)=0,"",SUM(D39:G39))</f>
        <v/>
      </c>
      <c r="I39" s="15" t="n"/>
      <c r="J39" s="15" t="n"/>
      <c r="K39" s="15" t="n"/>
      <c r="L39" s="15" t="n"/>
      <c r="M39" s="21">
        <f>IF(COUNT(I39:L39)=0,"",SUM(I39:L39))</f>
        <v/>
      </c>
      <c r="N39" s="15" t="n"/>
      <c r="O39" s="15" t="n"/>
      <c r="P39" s="15" t="n"/>
      <c r="Q39" s="15" t="n"/>
      <c r="R39" s="21">
        <f>IF(COUNT(N39:Q39)=0,"",SUM(N39:Q39))</f>
        <v/>
      </c>
      <c r="S39" s="23">
        <f>IF(COUNT(H39,M39,R39)=0,"",ROUND(AVERAGE(H39,M39,R39),2))</f>
        <v/>
      </c>
      <c r="T39" s="24">
        <f>IF(COUNT(F39,K39,P39)=0,"",ROUND(AVERAGE(F39,K39,P39),2))</f>
        <v/>
      </c>
    </row>
    <row r="40">
      <c r="A40" s="15" t="n"/>
      <c r="B40" s="21">
        <f>IF(A40="","",IFERROR(INDEX(작품목록!$B$4:$B$103,MATCH(A40,작품목록!$A$4:$A$103,0)),"번호 확인"))</f>
        <v/>
      </c>
      <c r="C40" s="22">
        <f>IF(A40="","",IFERROR(INDEX(작품목록!$F$4:$F$103,MATCH(A40,작품목록!$A$4:$A$103,0)),"작품목록에 없음"))</f>
        <v/>
      </c>
      <c r="D40" s="15" t="n"/>
      <c r="E40" s="15" t="n"/>
      <c r="F40" s="15" t="n"/>
      <c r="G40" s="15" t="n"/>
      <c r="H40" s="21">
        <f>IF(COUNT(D40:G40)=0,"",SUM(D40:G40))</f>
        <v/>
      </c>
      <c r="I40" s="15" t="n"/>
      <c r="J40" s="15" t="n"/>
      <c r="K40" s="15" t="n"/>
      <c r="L40" s="15" t="n"/>
      <c r="M40" s="21">
        <f>IF(COUNT(I40:L40)=0,"",SUM(I40:L40))</f>
        <v/>
      </c>
      <c r="N40" s="15" t="n"/>
      <c r="O40" s="15" t="n"/>
      <c r="P40" s="15" t="n"/>
      <c r="Q40" s="15" t="n"/>
      <c r="R40" s="21">
        <f>IF(COUNT(N40:Q40)=0,"",SUM(N40:Q40))</f>
        <v/>
      </c>
      <c r="S40" s="23">
        <f>IF(COUNT(H40,M40,R40)=0,"",ROUND(AVERAGE(H40,M40,R40),2))</f>
        <v/>
      </c>
      <c r="T40" s="24">
        <f>IF(COUNT(F40,K40,P40)=0,"",ROUND(AVERAGE(F40,K40,P40),2))</f>
        <v/>
      </c>
    </row>
    <row r="41">
      <c r="A41" s="15" t="n"/>
      <c r="B41" s="21">
        <f>IF(A41="","",IFERROR(INDEX(작품목록!$B$4:$B$103,MATCH(A41,작품목록!$A$4:$A$103,0)),"번호 확인"))</f>
        <v/>
      </c>
      <c r="C41" s="22">
        <f>IF(A41="","",IFERROR(INDEX(작품목록!$F$4:$F$103,MATCH(A41,작품목록!$A$4:$A$103,0)),"작품목록에 없음"))</f>
        <v/>
      </c>
      <c r="D41" s="15" t="n"/>
      <c r="E41" s="15" t="n"/>
      <c r="F41" s="15" t="n"/>
      <c r="G41" s="15" t="n"/>
      <c r="H41" s="21">
        <f>IF(COUNT(D41:G41)=0,"",SUM(D41:G41))</f>
        <v/>
      </c>
      <c r="I41" s="15" t="n"/>
      <c r="J41" s="15" t="n"/>
      <c r="K41" s="15" t="n"/>
      <c r="L41" s="15" t="n"/>
      <c r="M41" s="21">
        <f>IF(COUNT(I41:L41)=0,"",SUM(I41:L41))</f>
        <v/>
      </c>
      <c r="N41" s="15" t="n"/>
      <c r="O41" s="15" t="n"/>
      <c r="P41" s="15" t="n"/>
      <c r="Q41" s="15" t="n"/>
      <c r="R41" s="21">
        <f>IF(COUNT(N41:Q41)=0,"",SUM(N41:Q41))</f>
        <v/>
      </c>
      <c r="S41" s="23">
        <f>IF(COUNT(H41,M41,R41)=0,"",ROUND(AVERAGE(H41,M41,R41),2))</f>
        <v/>
      </c>
      <c r="T41" s="24">
        <f>IF(COUNT(F41,K41,P41)=0,"",ROUND(AVERAGE(F41,K41,P41),2))</f>
        <v/>
      </c>
    </row>
    <row r="42">
      <c r="A42" s="15" t="n"/>
      <c r="B42" s="21">
        <f>IF(A42="","",IFERROR(INDEX(작품목록!$B$4:$B$103,MATCH(A42,작품목록!$A$4:$A$103,0)),"번호 확인"))</f>
        <v/>
      </c>
      <c r="C42" s="22">
        <f>IF(A42="","",IFERROR(INDEX(작품목록!$F$4:$F$103,MATCH(A42,작품목록!$A$4:$A$103,0)),"작품목록에 없음"))</f>
        <v/>
      </c>
      <c r="D42" s="15" t="n"/>
      <c r="E42" s="15" t="n"/>
      <c r="F42" s="15" t="n"/>
      <c r="G42" s="15" t="n"/>
      <c r="H42" s="21">
        <f>IF(COUNT(D42:G42)=0,"",SUM(D42:G42))</f>
        <v/>
      </c>
      <c r="I42" s="15" t="n"/>
      <c r="J42" s="15" t="n"/>
      <c r="K42" s="15" t="n"/>
      <c r="L42" s="15" t="n"/>
      <c r="M42" s="21">
        <f>IF(COUNT(I42:L42)=0,"",SUM(I42:L42))</f>
        <v/>
      </c>
      <c r="N42" s="15" t="n"/>
      <c r="O42" s="15" t="n"/>
      <c r="P42" s="15" t="n"/>
      <c r="Q42" s="15" t="n"/>
      <c r="R42" s="21">
        <f>IF(COUNT(N42:Q42)=0,"",SUM(N42:Q42))</f>
        <v/>
      </c>
      <c r="S42" s="23">
        <f>IF(COUNT(H42,M42,R42)=0,"",ROUND(AVERAGE(H42,M42,R42),2))</f>
        <v/>
      </c>
      <c r="T42" s="24">
        <f>IF(COUNT(F42,K42,P42)=0,"",ROUND(AVERAGE(F42,K42,P42),2))</f>
        <v/>
      </c>
    </row>
    <row r="43">
      <c r="A43" s="15" t="n"/>
      <c r="B43" s="21">
        <f>IF(A43="","",IFERROR(INDEX(작품목록!$B$4:$B$103,MATCH(A43,작품목록!$A$4:$A$103,0)),"번호 확인"))</f>
        <v/>
      </c>
      <c r="C43" s="22">
        <f>IF(A43="","",IFERROR(INDEX(작품목록!$F$4:$F$103,MATCH(A43,작품목록!$A$4:$A$103,0)),"작품목록에 없음"))</f>
        <v/>
      </c>
      <c r="D43" s="15" t="n"/>
      <c r="E43" s="15" t="n"/>
      <c r="F43" s="15" t="n"/>
      <c r="G43" s="15" t="n"/>
      <c r="H43" s="21">
        <f>IF(COUNT(D43:G43)=0,"",SUM(D43:G43))</f>
        <v/>
      </c>
      <c r="I43" s="15" t="n"/>
      <c r="J43" s="15" t="n"/>
      <c r="K43" s="15" t="n"/>
      <c r="L43" s="15" t="n"/>
      <c r="M43" s="21">
        <f>IF(COUNT(I43:L43)=0,"",SUM(I43:L43))</f>
        <v/>
      </c>
      <c r="N43" s="15" t="n"/>
      <c r="O43" s="15" t="n"/>
      <c r="P43" s="15" t="n"/>
      <c r="Q43" s="15" t="n"/>
      <c r="R43" s="21">
        <f>IF(COUNT(N43:Q43)=0,"",SUM(N43:Q43))</f>
        <v/>
      </c>
      <c r="S43" s="23">
        <f>IF(COUNT(H43,M43,R43)=0,"",ROUND(AVERAGE(H43,M43,R43),2))</f>
        <v/>
      </c>
      <c r="T43" s="24">
        <f>IF(COUNT(F43,K43,P43)=0,"",ROUND(AVERAGE(F43,K43,P43),2))</f>
        <v/>
      </c>
    </row>
    <row r="44">
      <c r="A44" s="15" t="n"/>
      <c r="B44" s="21">
        <f>IF(A44="","",IFERROR(INDEX(작품목록!$B$4:$B$103,MATCH(A44,작품목록!$A$4:$A$103,0)),"번호 확인"))</f>
        <v/>
      </c>
      <c r="C44" s="22">
        <f>IF(A44="","",IFERROR(INDEX(작품목록!$F$4:$F$103,MATCH(A44,작품목록!$A$4:$A$103,0)),"작품목록에 없음"))</f>
        <v/>
      </c>
      <c r="D44" s="15" t="n"/>
      <c r="E44" s="15" t="n"/>
      <c r="F44" s="15" t="n"/>
      <c r="G44" s="15" t="n"/>
      <c r="H44" s="21">
        <f>IF(COUNT(D44:G44)=0,"",SUM(D44:G44))</f>
        <v/>
      </c>
      <c r="I44" s="15" t="n"/>
      <c r="J44" s="15" t="n"/>
      <c r="K44" s="15" t="n"/>
      <c r="L44" s="15" t="n"/>
      <c r="M44" s="21">
        <f>IF(COUNT(I44:L44)=0,"",SUM(I44:L44))</f>
        <v/>
      </c>
      <c r="N44" s="15" t="n"/>
      <c r="O44" s="15" t="n"/>
      <c r="P44" s="15" t="n"/>
      <c r="Q44" s="15" t="n"/>
      <c r="R44" s="21">
        <f>IF(COUNT(N44:Q44)=0,"",SUM(N44:Q44))</f>
        <v/>
      </c>
      <c r="S44" s="23">
        <f>IF(COUNT(H44,M44,R44)=0,"",ROUND(AVERAGE(H44,M44,R44),2))</f>
        <v/>
      </c>
      <c r="T44" s="24">
        <f>IF(COUNT(F44,K44,P44)=0,"",ROUND(AVERAGE(F44,K44,P44),2))</f>
        <v/>
      </c>
    </row>
    <row r="45">
      <c r="A45" s="15" t="n"/>
      <c r="B45" s="21">
        <f>IF(A45="","",IFERROR(INDEX(작품목록!$B$4:$B$103,MATCH(A45,작품목록!$A$4:$A$103,0)),"번호 확인"))</f>
        <v/>
      </c>
      <c r="C45" s="22">
        <f>IF(A45="","",IFERROR(INDEX(작품목록!$F$4:$F$103,MATCH(A45,작품목록!$A$4:$A$103,0)),"작품목록에 없음"))</f>
        <v/>
      </c>
      <c r="D45" s="15" t="n"/>
      <c r="E45" s="15" t="n"/>
      <c r="F45" s="15" t="n"/>
      <c r="G45" s="15" t="n"/>
      <c r="H45" s="21">
        <f>IF(COUNT(D45:G45)=0,"",SUM(D45:G45))</f>
        <v/>
      </c>
      <c r="I45" s="15" t="n"/>
      <c r="J45" s="15" t="n"/>
      <c r="K45" s="15" t="n"/>
      <c r="L45" s="15" t="n"/>
      <c r="M45" s="21">
        <f>IF(COUNT(I45:L45)=0,"",SUM(I45:L45))</f>
        <v/>
      </c>
      <c r="N45" s="15" t="n"/>
      <c r="O45" s="15" t="n"/>
      <c r="P45" s="15" t="n"/>
      <c r="Q45" s="15" t="n"/>
      <c r="R45" s="21">
        <f>IF(COUNT(N45:Q45)=0,"",SUM(N45:Q45))</f>
        <v/>
      </c>
      <c r="S45" s="23">
        <f>IF(COUNT(H45,M45,R45)=0,"",ROUND(AVERAGE(H45,M45,R45),2))</f>
        <v/>
      </c>
      <c r="T45" s="24">
        <f>IF(COUNT(F45,K45,P45)=0,"",ROUND(AVERAGE(F45,K45,P45),2))</f>
        <v/>
      </c>
    </row>
    <row r="46">
      <c r="A46" s="15" t="n"/>
      <c r="B46" s="21">
        <f>IF(A46="","",IFERROR(INDEX(작품목록!$B$4:$B$103,MATCH(A46,작품목록!$A$4:$A$103,0)),"번호 확인"))</f>
        <v/>
      </c>
      <c r="C46" s="22">
        <f>IF(A46="","",IFERROR(INDEX(작품목록!$F$4:$F$103,MATCH(A46,작품목록!$A$4:$A$103,0)),"작품목록에 없음"))</f>
        <v/>
      </c>
      <c r="D46" s="15" t="n"/>
      <c r="E46" s="15" t="n"/>
      <c r="F46" s="15" t="n"/>
      <c r="G46" s="15" t="n"/>
      <c r="H46" s="21">
        <f>IF(COUNT(D46:G46)=0,"",SUM(D46:G46))</f>
        <v/>
      </c>
      <c r="I46" s="15" t="n"/>
      <c r="J46" s="15" t="n"/>
      <c r="K46" s="15" t="n"/>
      <c r="L46" s="15" t="n"/>
      <c r="M46" s="21">
        <f>IF(COUNT(I46:L46)=0,"",SUM(I46:L46))</f>
        <v/>
      </c>
      <c r="N46" s="15" t="n"/>
      <c r="O46" s="15" t="n"/>
      <c r="P46" s="15" t="n"/>
      <c r="Q46" s="15" t="n"/>
      <c r="R46" s="21">
        <f>IF(COUNT(N46:Q46)=0,"",SUM(N46:Q46))</f>
        <v/>
      </c>
      <c r="S46" s="23">
        <f>IF(COUNT(H46,M46,R46)=0,"",ROUND(AVERAGE(H46,M46,R46),2))</f>
        <v/>
      </c>
      <c r="T46" s="24">
        <f>IF(COUNT(F46,K46,P46)=0,"",ROUND(AVERAGE(F46,K46,P46),2))</f>
        <v/>
      </c>
    </row>
    <row r="47">
      <c r="A47" s="15" t="n"/>
      <c r="B47" s="21">
        <f>IF(A47="","",IFERROR(INDEX(작품목록!$B$4:$B$103,MATCH(A47,작품목록!$A$4:$A$103,0)),"번호 확인"))</f>
        <v/>
      </c>
      <c r="C47" s="22">
        <f>IF(A47="","",IFERROR(INDEX(작품목록!$F$4:$F$103,MATCH(A47,작품목록!$A$4:$A$103,0)),"작품목록에 없음"))</f>
        <v/>
      </c>
      <c r="D47" s="15" t="n"/>
      <c r="E47" s="15" t="n"/>
      <c r="F47" s="15" t="n"/>
      <c r="G47" s="15" t="n"/>
      <c r="H47" s="21">
        <f>IF(COUNT(D47:G47)=0,"",SUM(D47:G47))</f>
        <v/>
      </c>
      <c r="I47" s="15" t="n"/>
      <c r="J47" s="15" t="n"/>
      <c r="K47" s="15" t="n"/>
      <c r="L47" s="15" t="n"/>
      <c r="M47" s="21">
        <f>IF(COUNT(I47:L47)=0,"",SUM(I47:L47))</f>
        <v/>
      </c>
      <c r="N47" s="15" t="n"/>
      <c r="O47" s="15" t="n"/>
      <c r="P47" s="15" t="n"/>
      <c r="Q47" s="15" t="n"/>
      <c r="R47" s="21">
        <f>IF(COUNT(N47:Q47)=0,"",SUM(N47:Q47))</f>
        <v/>
      </c>
      <c r="S47" s="23">
        <f>IF(COUNT(H47,M47,R47)=0,"",ROUND(AVERAGE(H47,M47,R47),2))</f>
        <v/>
      </c>
      <c r="T47" s="24">
        <f>IF(COUNT(F47,K47,P47)=0,"",ROUND(AVERAGE(F47,K47,P47),2))</f>
        <v/>
      </c>
    </row>
    <row r="48">
      <c r="A48" s="15" t="n"/>
      <c r="B48" s="21">
        <f>IF(A48="","",IFERROR(INDEX(작품목록!$B$4:$B$103,MATCH(A48,작품목록!$A$4:$A$103,0)),"번호 확인"))</f>
        <v/>
      </c>
      <c r="C48" s="22">
        <f>IF(A48="","",IFERROR(INDEX(작품목록!$F$4:$F$103,MATCH(A48,작품목록!$A$4:$A$103,0)),"작품목록에 없음"))</f>
        <v/>
      </c>
      <c r="D48" s="15" t="n"/>
      <c r="E48" s="15" t="n"/>
      <c r="F48" s="15" t="n"/>
      <c r="G48" s="15" t="n"/>
      <c r="H48" s="21">
        <f>IF(COUNT(D48:G48)=0,"",SUM(D48:G48))</f>
        <v/>
      </c>
      <c r="I48" s="15" t="n"/>
      <c r="J48" s="15" t="n"/>
      <c r="K48" s="15" t="n"/>
      <c r="L48" s="15" t="n"/>
      <c r="M48" s="21">
        <f>IF(COUNT(I48:L48)=0,"",SUM(I48:L48))</f>
        <v/>
      </c>
      <c r="N48" s="15" t="n"/>
      <c r="O48" s="15" t="n"/>
      <c r="P48" s="15" t="n"/>
      <c r="Q48" s="15" t="n"/>
      <c r="R48" s="21">
        <f>IF(COUNT(N48:Q48)=0,"",SUM(N48:Q48))</f>
        <v/>
      </c>
      <c r="S48" s="23">
        <f>IF(COUNT(H48,M48,R48)=0,"",ROUND(AVERAGE(H48,M48,R48),2))</f>
        <v/>
      </c>
      <c r="T48" s="24">
        <f>IF(COUNT(F48,K48,P48)=0,"",ROUND(AVERAGE(F48,K48,P48),2))</f>
        <v/>
      </c>
    </row>
    <row r="49">
      <c r="A49" s="15" t="n"/>
      <c r="B49" s="21">
        <f>IF(A49="","",IFERROR(INDEX(작품목록!$B$4:$B$103,MATCH(A49,작품목록!$A$4:$A$103,0)),"번호 확인"))</f>
        <v/>
      </c>
      <c r="C49" s="22">
        <f>IF(A49="","",IFERROR(INDEX(작품목록!$F$4:$F$103,MATCH(A49,작품목록!$A$4:$A$103,0)),"작품목록에 없음"))</f>
        <v/>
      </c>
      <c r="D49" s="15" t="n"/>
      <c r="E49" s="15" t="n"/>
      <c r="F49" s="15" t="n"/>
      <c r="G49" s="15" t="n"/>
      <c r="H49" s="21">
        <f>IF(COUNT(D49:G49)=0,"",SUM(D49:G49))</f>
        <v/>
      </c>
      <c r="I49" s="15" t="n"/>
      <c r="J49" s="15" t="n"/>
      <c r="K49" s="15" t="n"/>
      <c r="L49" s="15" t="n"/>
      <c r="M49" s="21">
        <f>IF(COUNT(I49:L49)=0,"",SUM(I49:L49))</f>
        <v/>
      </c>
      <c r="N49" s="15" t="n"/>
      <c r="O49" s="15" t="n"/>
      <c r="P49" s="15" t="n"/>
      <c r="Q49" s="15" t="n"/>
      <c r="R49" s="21">
        <f>IF(COUNT(N49:Q49)=0,"",SUM(N49:Q49))</f>
        <v/>
      </c>
      <c r="S49" s="23">
        <f>IF(COUNT(H49,M49,R49)=0,"",ROUND(AVERAGE(H49,M49,R49),2))</f>
        <v/>
      </c>
      <c r="T49" s="24">
        <f>IF(COUNT(F49,K49,P49)=0,"",ROUND(AVERAGE(F49,K49,P49),2))</f>
        <v/>
      </c>
    </row>
    <row r="50">
      <c r="A50" s="15" t="n"/>
      <c r="B50" s="21">
        <f>IF(A50="","",IFERROR(INDEX(작품목록!$B$4:$B$103,MATCH(A50,작품목록!$A$4:$A$103,0)),"번호 확인"))</f>
        <v/>
      </c>
      <c r="C50" s="22">
        <f>IF(A50="","",IFERROR(INDEX(작품목록!$F$4:$F$103,MATCH(A50,작품목록!$A$4:$A$103,0)),"작품목록에 없음"))</f>
        <v/>
      </c>
      <c r="D50" s="15" t="n"/>
      <c r="E50" s="15" t="n"/>
      <c r="F50" s="15" t="n"/>
      <c r="G50" s="15" t="n"/>
      <c r="H50" s="21">
        <f>IF(COUNT(D50:G50)=0,"",SUM(D50:G50))</f>
        <v/>
      </c>
      <c r="I50" s="15" t="n"/>
      <c r="J50" s="15" t="n"/>
      <c r="K50" s="15" t="n"/>
      <c r="L50" s="15" t="n"/>
      <c r="M50" s="21">
        <f>IF(COUNT(I50:L50)=0,"",SUM(I50:L50))</f>
        <v/>
      </c>
      <c r="N50" s="15" t="n"/>
      <c r="O50" s="15" t="n"/>
      <c r="P50" s="15" t="n"/>
      <c r="Q50" s="15" t="n"/>
      <c r="R50" s="21">
        <f>IF(COUNT(N50:Q50)=0,"",SUM(N50:Q50))</f>
        <v/>
      </c>
      <c r="S50" s="23">
        <f>IF(COUNT(H50,M50,R50)=0,"",ROUND(AVERAGE(H50,M50,R50),2))</f>
        <v/>
      </c>
      <c r="T50" s="24">
        <f>IF(COUNT(F50,K50,P50)=0,"",ROUND(AVERAGE(F50,K50,P50),2))</f>
        <v/>
      </c>
    </row>
    <row r="51">
      <c r="A51" s="15" t="n"/>
      <c r="B51" s="21">
        <f>IF(A51="","",IFERROR(INDEX(작품목록!$B$4:$B$103,MATCH(A51,작품목록!$A$4:$A$103,0)),"번호 확인"))</f>
        <v/>
      </c>
      <c r="C51" s="22">
        <f>IF(A51="","",IFERROR(INDEX(작품목록!$F$4:$F$103,MATCH(A51,작품목록!$A$4:$A$103,0)),"작품목록에 없음"))</f>
        <v/>
      </c>
      <c r="D51" s="15" t="n"/>
      <c r="E51" s="15" t="n"/>
      <c r="F51" s="15" t="n"/>
      <c r="G51" s="15" t="n"/>
      <c r="H51" s="21">
        <f>IF(COUNT(D51:G51)=0,"",SUM(D51:G51))</f>
        <v/>
      </c>
      <c r="I51" s="15" t="n"/>
      <c r="J51" s="15" t="n"/>
      <c r="K51" s="15" t="n"/>
      <c r="L51" s="15" t="n"/>
      <c r="M51" s="21">
        <f>IF(COUNT(I51:L51)=0,"",SUM(I51:L51))</f>
        <v/>
      </c>
      <c r="N51" s="15" t="n"/>
      <c r="O51" s="15" t="n"/>
      <c r="P51" s="15" t="n"/>
      <c r="Q51" s="15" t="n"/>
      <c r="R51" s="21">
        <f>IF(COUNT(N51:Q51)=0,"",SUM(N51:Q51))</f>
        <v/>
      </c>
      <c r="S51" s="23">
        <f>IF(COUNT(H51,M51,R51)=0,"",ROUND(AVERAGE(H51,M51,R51),2))</f>
        <v/>
      </c>
      <c r="T51" s="24">
        <f>IF(COUNT(F51,K51,P51)=0,"",ROUND(AVERAGE(F51,K51,P51),2))</f>
        <v/>
      </c>
    </row>
    <row r="52">
      <c r="A52" s="15" t="n"/>
      <c r="B52" s="21">
        <f>IF(A52="","",IFERROR(INDEX(작품목록!$B$4:$B$103,MATCH(A52,작품목록!$A$4:$A$103,0)),"번호 확인"))</f>
        <v/>
      </c>
      <c r="C52" s="22">
        <f>IF(A52="","",IFERROR(INDEX(작품목록!$F$4:$F$103,MATCH(A52,작품목록!$A$4:$A$103,0)),"작품목록에 없음"))</f>
        <v/>
      </c>
      <c r="D52" s="15" t="n"/>
      <c r="E52" s="15" t="n"/>
      <c r="F52" s="15" t="n"/>
      <c r="G52" s="15" t="n"/>
      <c r="H52" s="21">
        <f>IF(COUNT(D52:G52)=0,"",SUM(D52:G52))</f>
        <v/>
      </c>
      <c r="I52" s="15" t="n"/>
      <c r="J52" s="15" t="n"/>
      <c r="K52" s="15" t="n"/>
      <c r="L52" s="15" t="n"/>
      <c r="M52" s="21">
        <f>IF(COUNT(I52:L52)=0,"",SUM(I52:L52))</f>
        <v/>
      </c>
      <c r="N52" s="15" t="n"/>
      <c r="O52" s="15" t="n"/>
      <c r="P52" s="15" t="n"/>
      <c r="Q52" s="15" t="n"/>
      <c r="R52" s="21">
        <f>IF(COUNT(N52:Q52)=0,"",SUM(N52:Q52))</f>
        <v/>
      </c>
      <c r="S52" s="23">
        <f>IF(COUNT(H52,M52,R52)=0,"",ROUND(AVERAGE(H52,M52,R52),2))</f>
        <v/>
      </c>
      <c r="T52" s="24">
        <f>IF(COUNT(F52,K52,P52)=0,"",ROUND(AVERAGE(F52,K52,P52),2))</f>
        <v/>
      </c>
    </row>
    <row r="53">
      <c r="A53" s="15" t="n"/>
      <c r="B53" s="21">
        <f>IF(A53="","",IFERROR(INDEX(작품목록!$B$4:$B$103,MATCH(A53,작품목록!$A$4:$A$103,0)),"번호 확인"))</f>
        <v/>
      </c>
      <c r="C53" s="22">
        <f>IF(A53="","",IFERROR(INDEX(작품목록!$F$4:$F$103,MATCH(A53,작품목록!$A$4:$A$103,0)),"작품목록에 없음"))</f>
        <v/>
      </c>
      <c r="D53" s="15" t="n"/>
      <c r="E53" s="15" t="n"/>
      <c r="F53" s="15" t="n"/>
      <c r="G53" s="15" t="n"/>
      <c r="H53" s="21">
        <f>IF(COUNT(D53:G53)=0,"",SUM(D53:G53))</f>
        <v/>
      </c>
      <c r="I53" s="15" t="n"/>
      <c r="J53" s="15" t="n"/>
      <c r="K53" s="15" t="n"/>
      <c r="L53" s="15" t="n"/>
      <c r="M53" s="21">
        <f>IF(COUNT(I53:L53)=0,"",SUM(I53:L53))</f>
        <v/>
      </c>
      <c r="N53" s="15" t="n"/>
      <c r="O53" s="15" t="n"/>
      <c r="P53" s="15" t="n"/>
      <c r="Q53" s="15" t="n"/>
      <c r="R53" s="21">
        <f>IF(COUNT(N53:Q53)=0,"",SUM(N53:Q53))</f>
        <v/>
      </c>
      <c r="S53" s="23">
        <f>IF(COUNT(H53,M53,R53)=0,"",ROUND(AVERAGE(H53,M53,R53),2))</f>
        <v/>
      </c>
      <c r="T53" s="24">
        <f>IF(COUNT(F53,K53,P53)=0,"",ROUND(AVERAGE(F53,K53,P53),2))</f>
        <v/>
      </c>
    </row>
    <row r="54">
      <c r="A54" s="15" t="n"/>
      <c r="B54" s="21">
        <f>IF(A54="","",IFERROR(INDEX(작품목록!$B$4:$B$103,MATCH(A54,작품목록!$A$4:$A$103,0)),"번호 확인"))</f>
        <v/>
      </c>
      <c r="C54" s="22">
        <f>IF(A54="","",IFERROR(INDEX(작품목록!$F$4:$F$103,MATCH(A54,작품목록!$A$4:$A$103,0)),"작품목록에 없음"))</f>
        <v/>
      </c>
      <c r="D54" s="15" t="n"/>
      <c r="E54" s="15" t="n"/>
      <c r="F54" s="15" t="n"/>
      <c r="G54" s="15" t="n"/>
      <c r="H54" s="21">
        <f>IF(COUNT(D54:G54)=0,"",SUM(D54:G54))</f>
        <v/>
      </c>
      <c r="I54" s="15" t="n"/>
      <c r="J54" s="15" t="n"/>
      <c r="K54" s="15" t="n"/>
      <c r="L54" s="15" t="n"/>
      <c r="M54" s="21">
        <f>IF(COUNT(I54:L54)=0,"",SUM(I54:L54))</f>
        <v/>
      </c>
      <c r="N54" s="15" t="n"/>
      <c r="O54" s="15" t="n"/>
      <c r="P54" s="15" t="n"/>
      <c r="Q54" s="15" t="n"/>
      <c r="R54" s="21">
        <f>IF(COUNT(N54:Q54)=0,"",SUM(N54:Q54))</f>
        <v/>
      </c>
      <c r="S54" s="23">
        <f>IF(COUNT(H54,M54,R54)=0,"",ROUND(AVERAGE(H54,M54,R54),2))</f>
        <v/>
      </c>
      <c r="T54" s="24">
        <f>IF(COUNT(F54,K54,P54)=0,"",ROUND(AVERAGE(F54,K54,P54),2))</f>
        <v/>
      </c>
    </row>
    <row r="55">
      <c r="A55" s="15" t="n"/>
      <c r="B55" s="21">
        <f>IF(A55="","",IFERROR(INDEX(작품목록!$B$4:$B$103,MATCH(A55,작품목록!$A$4:$A$103,0)),"번호 확인"))</f>
        <v/>
      </c>
      <c r="C55" s="22">
        <f>IF(A55="","",IFERROR(INDEX(작품목록!$F$4:$F$103,MATCH(A55,작품목록!$A$4:$A$103,0)),"작품목록에 없음"))</f>
        <v/>
      </c>
      <c r="D55" s="15" t="n"/>
      <c r="E55" s="15" t="n"/>
      <c r="F55" s="15" t="n"/>
      <c r="G55" s="15" t="n"/>
      <c r="H55" s="21">
        <f>IF(COUNT(D55:G55)=0,"",SUM(D55:G55))</f>
        <v/>
      </c>
      <c r="I55" s="15" t="n"/>
      <c r="J55" s="15" t="n"/>
      <c r="K55" s="15" t="n"/>
      <c r="L55" s="15" t="n"/>
      <c r="M55" s="21">
        <f>IF(COUNT(I55:L55)=0,"",SUM(I55:L55))</f>
        <v/>
      </c>
      <c r="N55" s="15" t="n"/>
      <c r="O55" s="15" t="n"/>
      <c r="P55" s="15" t="n"/>
      <c r="Q55" s="15" t="n"/>
      <c r="R55" s="21">
        <f>IF(COUNT(N55:Q55)=0,"",SUM(N55:Q55))</f>
        <v/>
      </c>
      <c r="S55" s="23">
        <f>IF(COUNT(H55,M55,R55)=0,"",ROUND(AVERAGE(H55,M55,R55),2))</f>
        <v/>
      </c>
      <c r="T55" s="24">
        <f>IF(COUNT(F55,K55,P55)=0,"",ROUND(AVERAGE(F55,K55,P55),2))</f>
        <v/>
      </c>
    </row>
    <row r="56">
      <c r="A56" s="15" t="n"/>
      <c r="B56" s="21">
        <f>IF(A56="","",IFERROR(INDEX(작품목록!$B$4:$B$103,MATCH(A56,작품목록!$A$4:$A$103,0)),"번호 확인"))</f>
        <v/>
      </c>
      <c r="C56" s="22">
        <f>IF(A56="","",IFERROR(INDEX(작품목록!$F$4:$F$103,MATCH(A56,작품목록!$A$4:$A$103,0)),"작품목록에 없음"))</f>
        <v/>
      </c>
      <c r="D56" s="15" t="n"/>
      <c r="E56" s="15" t="n"/>
      <c r="F56" s="15" t="n"/>
      <c r="G56" s="15" t="n"/>
      <c r="H56" s="21">
        <f>IF(COUNT(D56:G56)=0,"",SUM(D56:G56))</f>
        <v/>
      </c>
      <c r="I56" s="15" t="n"/>
      <c r="J56" s="15" t="n"/>
      <c r="K56" s="15" t="n"/>
      <c r="L56" s="15" t="n"/>
      <c r="M56" s="21">
        <f>IF(COUNT(I56:L56)=0,"",SUM(I56:L56))</f>
        <v/>
      </c>
      <c r="N56" s="15" t="n"/>
      <c r="O56" s="15" t="n"/>
      <c r="P56" s="15" t="n"/>
      <c r="Q56" s="15" t="n"/>
      <c r="R56" s="21">
        <f>IF(COUNT(N56:Q56)=0,"",SUM(N56:Q56))</f>
        <v/>
      </c>
      <c r="S56" s="23">
        <f>IF(COUNT(H56,M56,R56)=0,"",ROUND(AVERAGE(H56,M56,R56),2))</f>
        <v/>
      </c>
      <c r="T56" s="24">
        <f>IF(COUNT(F56,K56,P56)=0,"",ROUND(AVERAGE(F56,K56,P56),2))</f>
        <v/>
      </c>
    </row>
    <row r="57">
      <c r="A57" s="15" t="n"/>
      <c r="B57" s="21">
        <f>IF(A57="","",IFERROR(INDEX(작품목록!$B$4:$B$103,MATCH(A57,작품목록!$A$4:$A$103,0)),"번호 확인"))</f>
        <v/>
      </c>
      <c r="C57" s="22">
        <f>IF(A57="","",IFERROR(INDEX(작품목록!$F$4:$F$103,MATCH(A57,작품목록!$A$4:$A$103,0)),"작품목록에 없음"))</f>
        <v/>
      </c>
      <c r="D57" s="15" t="n"/>
      <c r="E57" s="15" t="n"/>
      <c r="F57" s="15" t="n"/>
      <c r="G57" s="15" t="n"/>
      <c r="H57" s="21">
        <f>IF(COUNT(D57:G57)=0,"",SUM(D57:G57))</f>
        <v/>
      </c>
      <c r="I57" s="15" t="n"/>
      <c r="J57" s="15" t="n"/>
      <c r="K57" s="15" t="n"/>
      <c r="L57" s="15" t="n"/>
      <c r="M57" s="21">
        <f>IF(COUNT(I57:L57)=0,"",SUM(I57:L57))</f>
        <v/>
      </c>
      <c r="N57" s="15" t="n"/>
      <c r="O57" s="15" t="n"/>
      <c r="P57" s="15" t="n"/>
      <c r="Q57" s="15" t="n"/>
      <c r="R57" s="21">
        <f>IF(COUNT(N57:Q57)=0,"",SUM(N57:Q57))</f>
        <v/>
      </c>
      <c r="S57" s="23">
        <f>IF(COUNT(H57,M57,R57)=0,"",ROUND(AVERAGE(H57,M57,R57),2))</f>
        <v/>
      </c>
      <c r="T57" s="24">
        <f>IF(COUNT(F57,K57,P57)=0,"",ROUND(AVERAGE(F57,K57,P57),2))</f>
        <v/>
      </c>
    </row>
    <row r="58">
      <c r="A58" s="15" t="n"/>
      <c r="B58" s="21">
        <f>IF(A58="","",IFERROR(INDEX(작품목록!$B$4:$B$103,MATCH(A58,작품목록!$A$4:$A$103,0)),"번호 확인"))</f>
        <v/>
      </c>
      <c r="C58" s="22">
        <f>IF(A58="","",IFERROR(INDEX(작품목록!$F$4:$F$103,MATCH(A58,작품목록!$A$4:$A$103,0)),"작품목록에 없음"))</f>
        <v/>
      </c>
      <c r="D58" s="15" t="n"/>
      <c r="E58" s="15" t="n"/>
      <c r="F58" s="15" t="n"/>
      <c r="G58" s="15" t="n"/>
      <c r="H58" s="21">
        <f>IF(COUNT(D58:G58)=0,"",SUM(D58:G58))</f>
        <v/>
      </c>
      <c r="I58" s="15" t="n"/>
      <c r="J58" s="15" t="n"/>
      <c r="K58" s="15" t="n"/>
      <c r="L58" s="15" t="n"/>
      <c r="M58" s="21">
        <f>IF(COUNT(I58:L58)=0,"",SUM(I58:L58))</f>
        <v/>
      </c>
      <c r="N58" s="15" t="n"/>
      <c r="O58" s="15" t="n"/>
      <c r="P58" s="15" t="n"/>
      <c r="Q58" s="15" t="n"/>
      <c r="R58" s="21">
        <f>IF(COUNT(N58:Q58)=0,"",SUM(N58:Q58))</f>
        <v/>
      </c>
      <c r="S58" s="23">
        <f>IF(COUNT(H58,M58,R58)=0,"",ROUND(AVERAGE(H58,M58,R58),2))</f>
        <v/>
      </c>
      <c r="T58" s="24">
        <f>IF(COUNT(F58,K58,P58)=0,"",ROUND(AVERAGE(F58,K58,P58),2))</f>
        <v/>
      </c>
    </row>
    <row r="59">
      <c r="A59" s="15" t="n"/>
      <c r="B59" s="21">
        <f>IF(A59="","",IFERROR(INDEX(작품목록!$B$4:$B$103,MATCH(A59,작품목록!$A$4:$A$103,0)),"번호 확인"))</f>
        <v/>
      </c>
      <c r="C59" s="22">
        <f>IF(A59="","",IFERROR(INDEX(작품목록!$F$4:$F$103,MATCH(A59,작품목록!$A$4:$A$103,0)),"작품목록에 없음"))</f>
        <v/>
      </c>
      <c r="D59" s="15" t="n"/>
      <c r="E59" s="15" t="n"/>
      <c r="F59" s="15" t="n"/>
      <c r="G59" s="15" t="n"/>
      <c r="H59" s="21">
        <f>IF(COUNT(D59:G59)=0,"",SUM(D59:G59))</f>
        <v/>
      </c>
      <c r="I59" s="15" t="n"/>
      <c r="J59" s="15" t="n"/>
      <c r="K59" s="15" t="n"/>
      <c r="L59" s="15" t="n"/>
      <c r="M59" s="21">
        <f>IF(COUNT(I59:L59)=0,"",SUM(I59:L59))</f>
        <v/>
      </c>
      <c r="N59" s="15" t="n"/>
      <c r="O59" s="15" t="n"/>
      <c r="P59" s="15" t="n"/>
      <c r="Q59" s="15" t="n"/>
      <c r="R59" s="21">
        <f>IF(COUNT(N59:Q59)=0,"",SUM(N59:Q59))</f>
        <v/>
      </c>
      <c r="S59" s="23">
        <f>IF(COUNT(H59,M59,R59)=0,"",ROUND(AVERAGE(H59,M59,R59),2))</f>
        <v/>
      </c>
      <c r="T59" s="24">
        <f>IF(COUNT(F59,K59,P59)=0,"",ROUND(AVERAGE(F59,K59,P59),2))</f>
        <v/>
      </c>
    </row>
    <row r="60">
      <c r="A60" s="15" t="n"/>
      <c r="B60" s="21">
        <f>IF(A60="","",IFERROR(INDEX(작품목록!$B$4:$B$103,MATCH(A60,작품목록!$A$4:$A$103,0)),"번호 확인"))</f>
        <v/>
      </c>
      <c r="C60" s="22">
        <f>IF(A60="","",IFERROR(INDEX(작품목록!$F$4:$F$103,MATCH(A60,작품목록!$A$4:$A$103,0)),"작품목록에 없음"))</f>
        <v/>
      </c>
      <c r="D60" s="15" t="n"/>
      <c r="E60" s="15" t="n"/>
      <c r="F60" s="15" t="n"/>
      <c r="G60" s="15" t="n"/>
      <c r="H60" s="21">
        <f>IF(COUNT(D60:G60)=0,"",SUM(D60:G60))</f>
        <v/>
      </c>
      <c r="I60" s="15" t="n"/>
      <c r="J60" s="15" t="n"/>
      <c r="K60" s="15" t="n"/>
      <c r="L60" s="15" t="n"/>
      <c r="M60" s="21">
        <f>IF(COUNT(I60:L60)=0,"",SUM(I60:L60))</f>
        <v/>
      </c>
      <c r="N60" s="15" t="n"/>
      <c r="O60" s="15" t="n"/>
      <c r="P60" s="15" t="n"/>
      <c r="Q60" s="15" t="n"/>
      <c r="R60" s="21">
        <f>IF(COUNT(N60:Q60)=0,"",SUM(N60:Q60))</f>
        <v/>
      </c>
      <c r="S60" s="23">
        <f>IF(COUNT(H60,M60,R60)=0,"",ROUND(AVERAGE(H60,M60,R60),2))</f>
        <v/>
      </c>
      <c r="T60" s="24">
        <f>IF(COUNT(F60,K60,P60)=0,"",ROUND(AVERAGE(F60,K60,P60),2))</f>
        <v/>
      </c>
    </row>
    <row r="61">
      <c r="A61" s="15" t="n"/>
      <c r="B61" s="21">
        <f>IF(A61="","",IFERROR(INDEX(작품목록!$B$4:$B$103,MATCH(A61,작품목록!$A$4:$A$103,0)),"번호 확인"))</f>
        <v/>
      </c>
      <c r="C61" s="22">
        <f>IF(A61="","",IFERROR(INDEX(작품목록!$F$4:$F$103,MATCH(A61,작품목록!$A$4:$A$103,0)),"작품목록에 없음"))</f>
        <v/>
      </c>
      <c r="D61" s="15" t="n"/>
      <c r="E61" s="15" t="n"/>
      <c r="F61" s="15" t="n"/>
      <c r="G61" s="15" t="n"/>
      <c r="H61" s="21">
        <f>IF(COUNT(D61:G61)=0,"",SUM(D61:G61))</f>
        <v/>
      </c>
      <c r="I61" s="15" t="n"/>
      <c r="J61" s="15" t="n"/>
      <c r="K61" s="15" t="n"/>
      <c r="L61" s="15" t="n"/>
      <c r="M61" s="21">
        <f>IF(COUNT(I61:L61)=0,"",SUM(I61:L61))</f>
        <v/>
      </c>
      <c r="N61" s="15" t="n"/>
      <c r="O61" s="15" t="n"/>
      <c r="P61" s="15" t="n"/>
      <c r="Q61" s="15" t="n"/>
      <c r="R61" s="21">
        <f>IF(COUNT(N61:Q61)=0,"",SUM(N61:Q61))</f>
        <v/>
      </c>
      <c r="S61" s="23">
        <f>IF(COUNT(H61,M61,R61)=0,"",ROUND(AVERAGE(H61,M61,R61),2))</f>
        <v/>
      </c>
      <c r="T61" s="24">
        <f>IF(COUNT(F61,K61,P61)=0,"",ROUND(AVERAGE(F61,K61,P61),2))</f>
        <v/>
      </c>
    </row>
    <row r="62">
      <c r="A62" s="15" t="n"/>
      <c r="B62" s="21">
        <f>IF(A62="","",IFERROR(INDEX(작품목록!$B$4:$B$103,MATCH(A62,작품목록!$A$4:$A$103,0)),"번호 확인"))</f>
        <v/>
      </c>
      <c r="C62" s="22">
        <f>IF(A62="","",IFERROR(INDEX(작품목록!$F$4:$F$103,MATCH(A62,작품목록!$A$4:$A$103,0)),"작품목록에 없음"))</f>
        <v/>
      </c>
      <c r="D62" s="15" t="n"/>
      <c r="E62" s="15" t="n"/>
      <c r="F62" s="15" t="n"/>
      <c r="G62" s="15" t="n"/>
      <c r="H62" s="21">
        <f>IF(COUNT(D62:G62)=0,"",SUM(D62:G62))</f>
        <v/>
      </c>
      <c r="I62" s="15" t="n"/>
      <c r="J62" s="15" t="n"/>
      <c r="K62" s="15" t="n"/>
      <c r="L62" s="15" t="n"/>
      <c r="M62" s="21">
        <f>IF(COUNT(I62:L62)=0,"",SUM(I62:L62))</f>
        <v/>
      </c>
      <c r="N62" s="15" t="n"/>
      <c r="O62" s="15" t="n"/>
      <c r="P62" s="15" t="n"/>
      <c r="Q62" s="15" t="n"/>
      <c r="R62" s="21">
        <f>IF(COUNT(N62:Q62)=0,"",SUM(N62:Q62))</f>
        <v/>
      </c>
      <c r="S62" s="23">
        <f>IF(COUNT(H62,M62,R62)=0,"",ROUND(AVERAGE(H62,M62,R62),2))</f>
        <v/>
      </c>
      <c r="T62" s="24">
        <f>IF(COUNT(F62,K62,P62)=0,"",ROUND(AVERAGE(F62,K62,P62),2))</f>
        <v/>
      </c>
    </row>
    <row r="63">
      <c r="A63" s="15" t="n"/>
      <c r="B63" s="21">
        <f>IF(A63="","",IFERROR(INDEX(작품목록!$B$4:$B$103,MATCH(A63,작품목록!$A$4:$A$103,0)),"번호 확인"))</f>
        <v/>
      </c>
      <c r="C63" s="22">
        <f>IF(A63="","",IFERROR(INDEX(작품목록!$F$4:$F$103,MATCH(A63,작품목록!$A$4:$A$103,0)),"작품목록에 없음"))</f>
        <v/>
      </c>
      <c r="D63" s="15" t="n"/>
      <c r="E63" s="15" t="n"/>
      <c r="F63" s="15" t="n"/>
      <c r="G63" s="15" t="n"/>
      <c r="H63" s="21">
        <f>IF(COUNT(D63:G63)=0,"",SUM(D63:G63))</f>
        <v/>
      </c>
      <c r="I63" s="15" t="n"/>
      <c r="J63" s="15" t="n"/>
      <c r="K63" s="15" t="n"/>
      <c r="L63" s="15" t="n"/>
      <c r="M63" s="21">
        <f>IF(COUNT(I63:L63)=0,"",SUM(I63:L63))</f>
        <v/>
      </c>
      <c r="N63" s="15" t="n"/>
      <c r="O63" s="15" t="n"/>
      <c r="P63" s="15" t="n"/>
      <c r="Q63" s="15" t="n"/>
      <c r="R63" s="21">
        <f>IF(COUNT(N63:Q63)=0,"",SUM(N63:Q63))</f>
        <v/>
      </c>
      <c r="S63" s="23">
        <f>IF(COUNT(H63,M63,R63)=0,"",ROUND(AVERAGE(H63,M63,R63),2))</f>
        <v/>
      </c>
      <c r="T63" s="24">
        <f>IF(COUNT(F63,K63,P63)=0,"",ROUND(AVERAGE(F63,K63,P63),2))</f>
        <v/>
      </c>
    </row>
    <row r="64">
      <c r="A64" s="15" t="n"/>
      <c r="B64" s="21">
        <f>IF(A64="","",IFERROR(INDEX(작품목록!$B$4:$B$103,MATCH(A64,작품목록!$A$4:$A$103,0)),"번호 확인"))</f>
        <v/>
      </c>
      <c r="C64" s="22">
        <f>IF(A64="","",IFERROR(INDEX(작품목록!$F$4:$F$103,MATCH(A64,작품목록!$A$4:$A$103,0)),"작품목록에 없음"))</f>
        <v/>
      </c>
      <c r="D64" s="15" t="n"/>
      <c r="E64" s="15" t="n"/>
      <c r="F64" s="15" t="n"/>
      <c r="G64" s="15" t="n"/>
      <c r="H64" s="21">
        <f>IF(COUNT(D64:G64)=0,"",SUM(D64:G64))</f>
        <v/>
      </c>
      <c r="I64" s="15" t="n"/>
      <c r="J64" s="15" t="n"/>
      <c r="K64" s="15" t="n"/>
      <c r="L64" s="15" t="n"/>
      <c r="M64" s="21">
        <f>IF(COUNT(I64:L64)=0,"",SUM(I64:L64))</f>
        <v/>
      </c>
      <c r="N64" s="15" t="n"/>
      <c r="O64" s="15" t="n"/>
      <c r="P64" s="15" t="n"/>
      <c r="Q64" s="15" t="n"/>
      <c r="R64" s="21">
        <f>IF(COUNT(N64:Q64)=0,"",SUM(N64:Q64))</f>
        <v/>
      </c>
      <c r="S64" s="23">
        <f>IF(COUNT(H64,M64,R64)=0,"",ROUND(AVERAGE(H64,M64,R64),2))</f>
        <v/>
      </c>
      <c r="T64" s="24">
        <f>IF(COUNT(F64,K64,P64)=0,"",ROUND(AVERAGE(F64,K64,P64),2))</f>
        <v/>
      </c>
    </row>
    <row r="65">
      <c r="A65" s="15" t="n"/>
      <c r="B65" s="21">
        <f>IF(A65="","",IFERROR(INDEX(작품목록!$B$4:$B$103,MATCH(A65,작품목록!$A$4:$A$103,0)),"번호 확인"))</f>
        <v/>
      </c>
      <c r="C65" s="22">
        <f>IF(A65="","",IFERROR(INDEX(작품목록!$F$4:$F$103,MATCH(A65,작품목록!$A$4:$A$103,0)),"작품목록에 없음"))</f>
        <v/>
      </c>
      <c r="D65" s="15" t="n"/>
      <c r="E65" s="15" t="n"/>
      <c r="F65" s="15" t="n"/>
      <c r="G65" s="15" t="n"/>
      <c r="H65" s="21">
        <f>IF(COUNT(D65:G65)=0,"",SUM(D65:G65))</f>
        <v/>
      </c>
      <c r="I65" s="15" t="n"/>
      <c r="J65" s="15" t="n"/>
      <c r="K65" s="15" t="n"/>
      <c r="L65" s="15" t="n"/>
      <c r="M65" s="21">
        <f>IF(COUNT(I65:L65)=0,"",SUM(I65:L65))</f>
        <v/>
      </c>
      <c r="N65" s="15" t="n"/>
      <c r="O65" s="15" t="n"/>
      <c r="P65" s="15" t="n"/>
      <c r="Q65" s="15" t="n"/>
      <c r="R65" s="21">
        <f>IF(COUNT(N65:Q65)=0,"",SUM(N65:Q65))</f>
        <v/>
      </c>
      <c r="S65" s="23">
        <f>IF(COUNT(H65,M65,R65)=0,"",ROUND(AVERAGE(H65,M65,R65),2))</f>
        <v/>
      </c>
      <c r="T65" s="24">
        <f>IF(COUNT(F65,K65,P65)=0,"",ROUND(AVERAGE(F65,K65,P65),2))</f>
        <v/>
      </c>
    </row>
    <row r="66">
      <c r="A66" s="15" t="n"/>
      <c r="B66" s="21">
        <f>IF(A66="","",IFERROR(INDEX(작품목록!$B$4:$B$103,MATCH(A66,작품목록!$A$4:$A$103,0)),"번호 확인"))</f>
        <v/>
      </c>
      <c r="C66" s="22">
        <f>IF(A66="","",IFERROR(INDEX(작품목록!$F$4:$F$103,MATCH(A66,작품목록!$A$4:$A$103,0)),"작품목록에 없음"))</f>
        <v/>
      </c>
      <c r="D66" s="15" t="n"/>
      <c r="E66" s="15" t="n"/>
      <c r="F66" s="15" t="n"/>
      <c r="G66" s="15" t="n"/>
      <c r="H66" s="21">
        <f>IF(COUNT(D66:G66)=0,"",SUM(D66:G66))</f>
        <v/>
      </c>
      <c r="I66" s="15" t="n"/>
      <c r="J66" s="15" t="n"/>
      <c r="K66" s="15" t="n"/>
      <c r="L66" s="15" t="n"/>
      <c r="M66" s="21">
        <f>IF(COUNT(I66:L66)=0,"",SUM(I66:L66))</f>
        <v/>
      </c>
      <c r="N66" s="15" t="n"/>
      <c r="O66" s="15" t="n"/>
      <c r="P66" s="15" t="n"/>
      <c r="Q66" s="15" t="n"/>
      <c r="R66" s="21">
        <f>IF(COUNT(N66:Q66)=0,"",SUM(N66:Q66))</f>
        <v/>
      </c>
      <c r="S66" s="23">
        <f>IF(COUNT(H66,M66,R66)=0,"",ROUND(AVERAGE(H66,M66,R66),2))</f>
        <v/>
      </c>
      <c r="T66" s="24">
        <f>IF(COUNT(F66,K66,P66)=0,"",ROUND(AVERAGE(F66,K66,P66),2))</f>
        <v/>
      </c>
    </row>
    <row r="67">
      <c r="A67" s="15" t="n"/>
      <c r="B67" s="21">
        <f>IF(A67="","",IFERROR(INDEX(작품목록!$B$4:$B$103,MATCH(A67,작품목록!$A$4:$A$103,0)),"번호 확인"))</f>
        <v/>
      </c>
      <c r="C67" s="22">
        <f>IF(A67="","",IFERROR(INDEX(작품목록!$F$4:$F$103,MATCH(A67,작품목록!$A$4:$A$103,0)),"작품목록에 없음"))</f>
        <v/>
      </c>
      <c r="D67" s="15" t="n"/>
      <c r="E67" s="15" t="n"/>
      <c r="F67" s="15" t="n"/>
      <c r="G67" s="15" t="n"/>
      <c r="H67" s="21">
        <f>IF(COUNT(D67:G67)=0,"",SUM(D67:G67))</f>
        <v/>
      </c>
      <c r="I67" s="15" t="n"/>
      <c r="J67" s="15" t="n"/>
      <c r="K67" s="15" t="n"/>
      <c r="L67" s="15" t="n"/>
      <c r="M67" s="21">
        <f>IF(COUNT(I67:L67)=0,"",SUM(I67:L67))</f>
        <v/>
      </c>
      <c r="N67" s="15" t="n"/>
      <c r="O67" s="15" t="n"/>
      <c r="P67" s="15" t="n"/>
      <c r="Q67" s="15" t="n"/>
      <c r="R67" s="21">
        <f>IF(COUNT(N67:Q67)=0,"",SUM(N67:Q67))</f>
        <v/>
      </c>
      <c r="S67" s="23">
        <f>IF(COUNT(H67,M67,R67)=0,"",ROUND(AVERAGE(H67,M67,R67),2))</f>
        <v/>
      </c>
      <c r="T67" s="24">
        <f>IF(COUNT(F67,K67,P67)=0,"",ROUND(AVERAGE(F67,K67,P67),2))</f>
        <v/>
      </c>
    </row>
    <row r="68">
      <c r="A68" s="15" t="n"/>
      <c r="B68" s="21">
        <f>IF(A68="","",IFERROR(INDEX(작품목록!$B$4:$B$103,MATCH(A68,작품목록!$A$4:$A$103,0)),"번호 확인"))</f>
        <v/>
      </c>
      <c r="C68" s="22">
        <f>IF(A68="","",IFERROR(INDEX(작품목록!$F$4:$F$103,MATCH(A68,작품목록!$A$4:$A$103,0)),"작품목록에 없음"))</f>
        <v/>
      </c>
      <c r="D68" s="15" t="n"/>
      <c r="E68" s="15" t="n"/>
      <c r="F68" s="15" t="n"/>
      <c r="G68" s="15" t="n"/>
      <c r="H68" s="21">
        <f>IF(COUNT(D68:G68)=0,"",SUM(D68:G68))</f>
        <v/>
      </c>
      <c r="I68" s="15" t="n"/>
      <c r="J68" s="15" t="n"/>
      <c r="K68" s="15" t="n"/>
      <c r="L68" s="15" t="n"/>
      <c r="M68" s="21">
        <f>IF(COUNT(I68:L68)=0,"",SUM(I68:L68))</f>
        <v/>
      </c>
      <c r="N68" s="15" t="n"/>
      <c r="O68" s="15" t="n"/>
      <c r="P68" s="15" t="n"/>
      <c r="Q68" s="15" t="n"/>
      <c r="R68" s="21">
        <f>IF(COUNT(N68:Q68)=0,"",SUM(N68:Q68))</f>
        <v/>
      </c>
      <c r="S68" s="23">
        <f>IF(COUNT(H68,M68,R68)=0,"",ROUND(AVERAGE(H68,M68,R68),2))</f>
        <v/>
      </c>
      <c r="T68" s="24">
        <f>IF(COUNT(F68,K68,P68)=0,"",ROUND(AVERAGE(F68,K68,P68),2))</f>
        <v/>
      </c>
    </row>
    <row r="69">
      <c r="A69" s="15" t="n"/>
      <c r="B69" s="21">
        <f>IF(A69="","",IFERROR(INDEX(작품목록!$B$4:$B$103,MATCH(A69,작품목록!$A$4:$A$103,0)),"번호 확인"))</f>
        <v/>
      </c>
      <c r="C69" s="22">
        <f>IF(A69="","",IFERROR(INDEX(작품목록!$F$4:$F$103,MATCH(A69,작품목록!$A$4:$A$103,0)),"작품목록에 없음"))</f>
        <v/>
      </c>
      <c r="D69" s="15" t="n"/>
      <c r="E69" s="15" t="n"/>
      <c r="F69" s="15" t="n"/>
      <c r="G69" s="15" t="n"/>
      <c r="H69" s="21">
        <f>IF(COUNT(D69:G69)=0,"",SUM(D69:G69))</f>
        <v/>
      </c>
      <c r="I69" s="15" t="n"/>
      <c r="J69" s="15" t="n"/>
      <c r="K69" s="15" t="n"/>
      <c r="L69" s="15" t="n"/>
      <c r="M69" s="21">
        <f>IF(COUNT(I69:L69)=0,"",SUM(I69:L69))</f>
        <v/>
      </c>
      <c r="N69" s="15" t="n"/>
      <c r="O69" s="15" t="n"/>
      <c r="P69" s="15" t="n"/>
      <c r="Q69" s="15" t="n"/>
      <c r="R69" s="21">
        <f>IF(COUNT(N69:Q69)=0,"",SUM(N69:Q69))</f>
        <v/>
      </c>
      <c r="S69" s="23">
        <f>IF(COUNT(H69,M69,R69)=0,"",ROUND(AVERAGE(H69,M69,R69),2))</f>
        <v/>
      </c>
      <c r="T69" s="24">
        <f>IF(COUNT(F69,K69,P69)=0,"",ROUND(AVERAGE(F69,K69,P69),2))</f>
        <v/>
      </c>
    </row>
    <row r="70">
      <c r="A70" s="15" t="n"/>
      <c r="B70" s="21">
        <f>IF(A70="","",IFERROR(INDEX(작품목록!$B$4:$B$103,MATCH(A70,작품목록!$A$4:$A$103,0)),"번호 확인"))</f>
        <v/>
      </c>
      <c r="C70" s="22">
        <f>IF(A70="","",IFERROR(INDEX(작품목록!$F$4:$F$103,MATCH(A70,작품목록!$A$4:$A$103,0)),"작품목록에 없음"))</f>
        <v/>
      </c>
      <c r="D70" s="15" t="n"/>
      <c r="E70" s="15" t="n"/>
      <c r="F70" s="15" t="n"/>
      <c r="G70" s="15" t="n"/>
      <c r="H70" s="21">
        <f>IF(COUNT(D70:G70)=0,"",SUM(D70:G70))</f>
        <v/>
      </c>
      <c r="I70" s="15" t="n"/>
      <c r="J70" s="15" t="n"/>
      <c r="K70" s="15" t="n"/>
      <c r="L70" s="15" t="n"/>
      <c r="M70" s="21">
        <f>IF(COUNT(I70:L70)=0,"",SUM(I70:L70))</f>
        <v/>
      </c>
      <c r="N70" s="15" t="n"/>
      <c r="O70" s="15" t="n"/>
      <c r="P70" s="15" t="n"/>
      <c r="Q70" s="15" t="n"/>
      <c r="R70" s="21">
        <f>IF(COUNT(N70:Q70)=0,"",SUM(N70:Q70))</f>
        <v/>
      </c>
      <c r="S70" s="23">
        <f>IF(COUNT(H70,M70,R70)=0,"",ROUND(AVERAGE(H70,M70,R70),2))</f>
        <v/>
      </c>
      <c r="T70" s="24">
        <f>IF(COUNT(F70,K70,P70)=0,"",ROUND(AVERAGE(F70,K70,P70),2))</f>
        <v/>
      </c>
    </row>
    <row r="71">
      <c r="A71" s="15" t="n"/>
      <c r="B71" s="21">
        <f>IF(A71="","",IFERROR(INDEX(작품목록!$B$4:$B$103,MATCH(A71,작품목록!$A$4:$A$103,0)),"번호 확인"))</f>
        <v/>
      </c>
      <c r="C71" s="22">
        <f>IF(A71="","",IFERROR(INDEX(작품목록!$F$4:$F$103,MATCH(A71,작품목록!$A$4:$A$103,0)),"작품목록에 없음"))</f>
        <v/>
      </c>
      <c r="D71" s="15" t="n"/>
      <c r="E71" s="15" t="n"/>
      <c r="F71" s="15" t="n"/>
      <c r="G71" s="15" t="n"/>
      <c r="H71" s="21">
        <f>IF(COUNT(D71:G71)=0,"",SUM(D71:G71))</f>
        <v/>
      </c>
      <c r="I71" s="15" t="n"/>
      <c r="J71" s="15" t="n"/>
      <c r="K71" s="15" t="n"/>
      <c r="L71" s="15" t="n"/>
      <c r="M71" s="21">
        <f>IF(COUNT(I71:L71)=0,"",SUM(I71:L71))</f>
        <v/>
      </c>
      <c r="N71" s="15" t="n"/>
      <c r="O71" s="15" t="n"/>
      <c r="P71" s="15" t="n"/>
      <c r="Q71" s="15" t="n"/>
      <c r="R71" s="21">
        <f>IF(COUNT(N71:Q71)=0,"",SUM(N71:Q71))</f>
        <v/>
      </c>
      <c r="S71" s="23">
        <f>IF(COUNT(H71,M71,R71)=0,"",ROUND(AVERAGE(H71,M71,R71),2))</f>
        <v/>
      </c>
      <c r="T71" s="24">
        <f>IF(COUNT(F71,K71,P71)=0,"",ROUND(AVERAGE(F71,K71,P71),2))</f>
        <v/>
      </c>
    </row>
    <row r="72">
      <c r="A72" s="15" t="n"/>
      <c r="B72" s="21">
        <f>IF(A72="","",IFERROR(INDEX(작품목록!$B$4:$B$103,MATCH(A72,작품목록!$A$4:$A$103,0)),"번호 확인"))</f>
        <v/>
      </c>
      <c r="C72" s="22">
        <f>IF(A72="","",IFERROR(INDEX(작품목록!$F$4:$F$103,MATCH(A72,작품목록!$A$4:$A$103,0)),"작품목록에 없음"))</f>
        <v/>
      </c>
      <c r="D72" s="15" t="n"/>
      <c r="E72" s="15" t="n"/>
      <c r="F72" s="15" t="n"/>
      <c r="G72" s="15" t="n"/>
      <c r="H72" s="21">
        <f>IF(COUNT(D72:G72)=0,"",SUM(D72:G72))</f>
        <v/>
      </c>
      <c r="I72" s="15" t="n"/>
      <c r="J72" s="15" t="n"/>
      <c r="K72" s="15" t="n"/>
      <c r="L72" s="15" t="n"/>
      <c r="M72" s="21">
        <f>IF(COUNT(I72:L72)=0,"",SUM(I72:L72))</f>
        <v/>
      </c>
      <c r="N72" s="15" t="n"/>
      <c r="O72" s="15" t="n"/>
      <c r="P72" s="15" t="n"/>
      <c r="Q72" s="15" t="n"/>
      <c r="R72" s="21">
        <f>IF(COUNT(N72:Q72)=0,"",SUM(N72:Q72))</f>
        <v/>
      </c>
      <c r="S72" s="23">
        <f>IF(COUNT(H72,M72,R72)=0,"",ROUND(AVERAGE(H72,M72,R72),2))</f>
        <v/>
      </c>
      <c r="T72" s="24">
        <f>IF(COUNT(F72,K72,P72)=0,"",ROUND(AVERAGE(F72,K72,P72),2))</f>
        <v/>
      </c>
    </row>
    <row r="73">
      <c r="A73" s="15" t="n"/>
      <c r="B73" s="21">
        <f>IF(A73="","",IFERROR(INDEX(작품목록!$B$4:$B$103,MATCH(A73,작품목록!$A$4:$A$103,0)),"번호 확인"))</f>
        <v/>
      </c>
      <c r="C73" s="22">
        <f>IF(A73="","",IFERROR(INDEX(작품목록!$F$4:$F$103,MATCH(A73,작품목록!$A$4:$A$103,0)),"작품목록에 없음"))</f>
        <v/>
      </c>
      <c r="D73" s="15" t="n"/>
      <c r="E73" s="15" t="n"/>
      <c r="F73" s="15" t="n"/>
      <c r="G73" s="15" t="n"/>
      <c r="H73" s="21">
        <f>IF(COUNT(D73:G73)=0,"",SUM(D73:G73))</f>
        <v/>
      </c>
      <c r="I73" s="15" t="n"/>
      <c r="J73" s="15" t="n"/>
      <c r="K73" s="15" t="n"/>
      <c r="L73" s="15" t="n"/>
      <c r="M73" s="21">
        <f>IF(COUNT(I73:L73)=0,"",SUM(I73:L73))</f>
        <v/>
      </c>
      <c r="N73" s="15" t="n"/>
      <c r="O73" s="15" t="n"/>
      <c r="P73" s="15" t="n"/>
      <c r="Q73" s="15" t="n"/>
      <c r="R73" s="21">
        <f>IF(COUNT(N73:Q73)=0,"",SUM(N73:Q73))</f>
        <v/>
      </c>
      <c r="S73" s="23">
        <f>IF(COUNT(H73,M73,R73)=0,"",ROUND(AVERAGE(H73,M73,R73),2))</f>
        <v/>
      </c>
      <c r="T73" s="24">
        <f>IF(COUNT(F73,K73,P73)=0,"",ROUND(AVERAGE(F73,K73,P73),2))</f>
        <v/>
      </c>
    </row>
    <row r="74">
      <c r="A74" s="15" t="n"/>
      <c r="B74" s="21">
        <f>IF(A74="","",IFERROR(INDEX(작품목록!$B$4:$B$103,MATCH(A74,작품목록!$A$4:$A$103,0)),"번호 확인"))</f>
        <v/>
      </c>
      <c r="C74" s="22">
        <f>IF(A74="","",IFERROR(INDEX(작품목록!$F$4:$F$103,MATCH(A74,작품목록!$A$4:$A$103,0)),"작품목록에 없음"))</f>
        <v/>
      </c>
      <c r="D74" s="15" t="n"/>
      <c r="E74" s="15" t="n"/>
      <c r="F74" s="15" t="n"/>
      <c r="G74" s="15" t="n"/>
      <c r="H74" s="21">
        <f>IF(COUNT(D74:G74)=0,"",SUM(D74:G74))</f>
        <v/>
      </c>
      <c r="I74" s="15" t="n"/>
      <c r="J74" s="15" t="n"/>
      <c r="K74" s="15" t="n"/>
      <c r="L74" s="15" t="n"/>
      <c r="M74" s="21">
        <f>IF(COUNT(I74:L74)=0,"",SUM(I74:L74))</f>
        <v/>
      </c>
      <c r="N74" s="15" t="n"/>
      <c r="O74" s="15" t="n"/>
      <c r="P74" s="15" t="n"/>
      <c r="Q74" s="15" t="n"/>
      <c r="R74" s="21">
        <f>IF(COUNT(N74:Q74)=0,"",SUM(N74:Q74))</f>
        <v/>
      </c>
      <c r="S74" s="23">
        <f>IF(COUNT(H74,M74,R74)=0,"",ROUND(AVERAGE(H74,M74,R74),2))</f>
        <v/>
      </c>
      <c r="T74" s="24">
        <f>IF(COUNT(F74,K74,P74)=0,"",ROUND(AVERAGE(F74,K74,P74),2))</f>
        <v/>
      </c>
    </row>
    <row r="75">
      <c r="A75" s="15" t="n"/>
      <c r="B75" s="21">
        <f>IF(A75="","",IFERROR(INDEX(작품목록!$B$4:$B$103,MATCH(A75,작품목록!$A$4:$A$103,0)),"번호 확인"))</f>
        <v/>
      </c>
      <c r="C75" s="22">
        <f>IF(A75="","",IFERROR(INDEX(작품목록!$F$4:$F$103,MATCH(A75,작품목록!$A$4:$A$103,0)),"작품목록에 없음"))</f>
        <v/>
      </c>
      <c r="D75" s="15" t="n"/>
      <c r="E75" s="15" t="n"/>
      <c r="F75" s="15" t="n"/>
      <c r="G75" s="15" t="n"/>
      <c r="H75" s="21">
        <f>IF(COUNT(D75:G75)=0,"",SUM(D75:G75))</f>
        <v/>
      </c>
      <c r="I75" s="15" t="n"/>
      <c r="J75" s="15" t="n"/>
      <c r="K75" s="15" t="n"/>
      <c r="L75" s="15" t="n"/>
      <c r="M75" s="21">
        <f>IF(COUNT(I75:L75)=0,"",SUM(I75:L75))</f>
        <v/>
      </c>
      <c r="N75" s="15" t="n"/>
      <c r="O75" s="15" t="n"/>
      <c r="P75" s="15" t="n"/>
      <c r="Q75" s="15" t="n"/>
      <c r="R75" s="21">
        <f>IF(COUNT(N75:Q75)=0,"",SUM(N75:Q75))</f>
        <v/>
      </c>
      <c r="S75" s="23">
        <f>IF(COUNT(H75,M75,R75)=0,"",ROUND(AVERAGE(H75,M75,R75),2))</f>
        <v/>
      </c>
      <c r="T75" s="24">
        <f>IF(COUNT(F75,K75,P75)=0,"",ROUND(AVERAGE(F75,K75,P75),2))</f>
        <v/>
      </c>
    </row>
    <row r="76">
      <c r="A76" s="15" t="n"/>
      <c r="B76" s="21">
        <f>IF(A76="","",IFERROR(INDEX(작품목록!$B$4:$B$103,MATCH(A76,작품목록!$A$4:$A$103,0)),"번호 확인"))</f>
        <v/>
      </c>
      <c r="C76" s="22">
        <f>IF(A76="","",IFERROR(INDEX(작품목록!$F$4:$F$103,MATCH(A76,작품목록!$A$4:$A$103,0)),"작품목록에 없음"))</f>
        <v/>
      </c>
      <c r="D76" s="15" t="n"/>
      <c r="E76" s="15" t="n"/>
      <c r="F76" s="15" t="n"/>
      <c r="G76" s="15" t="n"/>
      <c r="H76" s="21">
        <f>IF(COUNT(D76:G76)=0,"",SUM(D76:G76))</f>
        <v/>
      </c>
      <c r="I76" s="15" t="n"/>
      <c r="J76" s="15" t="n"/>
      <c r="K76" s="15" t="n"/>
      <c r="L76" s="15" t="n"/>
      <c r="M76" s="21">
        <f>IF(COUNT(I76:L76)=0,"",SUM(I76:L76))</f>
        <v/>
      </c>
      <c r="N76" s="15" t="n"/>
      <c r="O76" s="15" t="n"/>
      <c r="P76" s="15" t="n"/>
      <c r="Q76" s="15" t="n"/>
      <c r="R76" s="21">
        <f>IF(COUNT(N76:Q76)=0,"",SUM(N76:Q76))</f>
        <v/>
      </c>
      <c r="S76" s="23">
        <f>IF(COUNT(H76,M76,R76)=0,"",ROUND(AVERAGE(H76,M76,R76),2))</f>
        <v/>
      </c>
      <c r="T76" s="24">
        <f>IF(COUNT(F76,K76,P76)=0,"",ROUND(AVERAGE(F76,K76,P76),2))</f>
        <v/>
      </c>
    </row>
    <row r="77">
      <c r="A77" s="15" t="n"/>
      <c r="B77" s="21">
        <f>IF(A77="","",IFERROR(INDEX(작품목록!$B$4:$B$103,MATCH(A77,작품목록!$A$4:$A$103,0)),"번호 확인"))</f>
        <v/>
      </c>
      <c r="C77" s="22">
        <f>IF(A77="","",IFERROR(INDEX(작품목록!$F$4:$F$103,MATCH(A77,작품목록!$A$4:$A$103,0)),"작품목록에 없음"))</f>
        <v/>
      </c>
      <c r="D77" s="15" t="n"/>
      <c r="E77" s="15" t="n"/>
      <c r="F77" s="15" t="n"/>
      <c r="G77" s="15" t="n"/>
      <c r="H77" s="21">
        <f>IF(COUNT(D77:G77)=0,"",SUM(D77:G77))</f>
        <v/>
      </c>
      <c r="I77" s="15" t="n"/>
      <c r="J77" s="15" t="n"/>
      <c r="K77" s="15" t="n"/>
      <c r="L77" s="15" t="n"/>
      <c r="M77" s="21">
        <f>IF(COUNT(I77:L77)=0,"",SUM(I77:L77))</f>
        <v/>
      </c>
      <c r="N77" s="15" t="n"/>
      <c r="O77" s="15" t="n"/>
      <c r="P77" s="15" t="n"/>
      <c r="Q77" s="15" t="n"/>
      <c r="R77" s="21">
        <f>IF(COUNT(N77:Q77)=0,"",SUM(N77:Q77))</f>
        <v/>
      </c>
      <c r="S77" s="23">
        <f>IF(COUNT(H77,M77,R77)=0,"",ROUND(AVERAGE(H77,M77,R77),2))</f>
        <v/>
      </c>
      <c r="T77" s="24">
        <f>IF(COUNT(F77,K77,P77)=0,"",ROUND(AVERAGE(F77,K77,P77),2))</f>
        <v/>
      </c>
    </row>
    <row r="78">
      <c r="A78" s="15" t="n"/>
      <c r="B78" s="21">
        <f>IF(A78="","",IFERROR(INDEX(작품목록!$B$4:$B$103,MATCH(A78,작품목록!$A$4:$A$103,0)),"번호 확인"))</f>
        <v/>
      </c>
      <c r="C78" s="22">
        <f>IF(A78="","",IFERROR(INDEX(작품목록!$F$4:$F$103,MATCH(A78,작품목록!$A$4:$A$103,0)),"작품목록에 없음"))</f>
        <v/>
      </c>
      <c r="D78" s="15" t="n"/>
      <c r="E78" s="15" t="n"/>
      <c r="F78" s="15" t="n"/>
      <c r="G78" s="15" t="n"/>
      <c r="H78" s="21">
        <f>IF(COUNT(D78:G78)=0,"",SUM(D78:G78))</f>
        <v/>
      </c>
      <c r="I78" s="15" t="n"/>
      <c r="J78" s="15" t="n"/>
      <c r="K78" s="15" t="n"/>
      <c r="L78" s="15" t="n"/>
      <c r="M78" s="21">
        <f>IF(COUNT(I78:L78)=0,"",SUM(I78:L78))</f>
        <v/>
      </c>
      <c r="N78" s="15" t="n"/>
      <c r="O78" s="15" t="n"/>
      <c r="P78" s="15" t="n"/>
      <c r="Q78" s="15" t="n"/>
      <c r="R78" s="21">
        <f>IF(COUNT(N78:Q78)=0,"",SUM(N78:Q78))</f>
        <v/>
      </c>
      <c r="S78" s="23">
        <f>IF(COUNT(H78,M78,R78)=0,"",ROUND(AVERAGE(H78,M78,R78),2))</f>
        <v/>
      </c>
      <c r="T78" s="24">
        <f>IF(COUNT(F78,K78,P78)=0,"",ROUND(AVERAGE(F78,K78,P78),2))</f>
        <v/>
      </c>
    </row>
    <row r="79">
      <c r="A79" s="15" t="n"/>
      <c r="B79" s="21">
        <f>IF(A79="","",IFERROR(INDEX(작품목록!$B$4:$B$103,MATCH(A79,작품목록!$A$4:$A$103,0)),"번호 확인"))</f>
        <v/>
      </c>
      <c r="C79" s="22">
        <f>IF(A79="","",IFERROR(INDEX(작품목록!$F$4:$F$103,MATCH(A79,작품목록!$A$4:$A$103,0)),"작품목록에 없음"))</f>
        <v/>
      </c>
      <c r="D79" s="15" t="n"/>
      <c r="E79" s="15" t="n"/>
      <c r="F79" s="15" t="n"/>
      <c r="G79" s="15" t="n"/>
      <c r="H79" s="21">
        <f>IF(COUNT(D79:G79)=0,"",SUM(D79:G79))</f>
        <v/>
      </c>
      <c r="I79" s="15" t="n"/>
      <c r="J79" s="15" t="n"/>
      <c r="K79" s="15" t="n"/>
      <c r="L79" s="15" t="n"/>
      <c r="M79" s="21">
        <f>IF(COUNT(I79:L79)=0,"",SUM(I79:L79))</f>
        <v/>
      </c>
      <c r="N79" s="15" t="n"/>
      <c r="O79" s="15" t="n"/>
      <c r="P79" s="15" t="n"/>
      <c r="Q79" s="15" t="n"/>
      <c r="R79" s="21">
        <f>IF(COUNT(N79:Q79)=0,"",SUM(N79:Q79))</f>
        <v/>
      </c>
      <c r="S79" s="23">
        <f>IF(COUNT(H79,M79,R79)=0,"",ROUND(AVERAGE(H79,M79,R79),2))</f>
        <v/>
      </c>
      <c r="T79" s="24">
        <f>IF(COUNT(F79,K79,P79)=0,"",ROUND(AVERAGE(F79,K79,P79),2))</f>
        <v/>
      </c>
    </row>
    <row r="80">
      <c r="A80" s="15" t="n"/>
      <c r="B80" s="21">
        <f>IF(A80="","",IFERROR(INDEX(작품목록!$B$4:$B$103,MATCH(A80,작품목록!$A$4:$A$103,0)),"번호 확인"))</f>
        <v/>
      </c>
      <c r="C80" s="22">
        <f>IF(A80="","",IFERROR(INDEX(작품목록!$F$4:$F$103,MATCH(A80,작품목록!$A$4:$A$103,0)),"작품목록에 없음"))</f>
        <v/>
      </c>
      <c r="D80" s="15" t="n"/>
      <c r="E80" s="15" t="n"/>
      <c r="F80" s="15" t="n"/>
      <c r="G80" s="15" t="n"/>
      <c r="H80" s="21">
        <f>IF(COUNT(D80:G80)=0,"",SUM(D80:G80))</f>
        <v/>
      </c>
      <c r="I80" s="15" t="n"/>
      <c r="J80" s="15" t="n"/>
      <c r="K80" s="15" t="n"/>
      <c r="L80" s="15" t="n"/>
      <c r="M80" s="21">
        <f>IF(COUNT(I80:L80)=0,"",SUM(I80:L80))</f>
        <v/>
      </c>
      <c r="N80" s="15" t="n"/>
      <c r="O80" s="15" t="n"/>
      <c r="P80" s="15" t="n"/>
      <c r="Q80" s="15" t="n"/>
      <c r="R80" s="21">
        <f>IF(COUNT(N80:Q80)=0,"",SUM(N80:Q80))</f>
        <v/>
      </c>
      <c r="S80" s="23">
        <f>IF(COUNT(H80,M80,R80)=0,"",ROUND(AVERAGE(H80,M80,R80),2))</f>
        <v/>
      </c>
      <c r="T80" s="24">
        <f>IF(COUNT(F80,K80,P80)=0,"",ROUND(AVERAGE(F80,K80,P80),2))</f>
        <v/>
      </c>
    </row>
    <row r="81">
      <c r="A81" s="15" t="n"/>
      <c r="B81" s="21">
        <f>IF(A81="","",IFERROR(INDEX(작품목록!$B$4:$B$103,MATCH(A81,작품목록!$A$4:$A$103,0)),"번호 확인"))</f>
        <v/>
      </c>
      <c r="C81" s="22">
        <f>IF(A81="","",IFERROR(INDEX(작품목록!$F$4:$F$103,MATCH(A81,작품목록!$A$4:$A$103,0)),"작품목록에 없음"))</f>
        <v/>
      </c>
      <c r="D81" s="15" t="n"/>
      <c r="E81" s="15" t="n"/>
      <c r="F81" s="15" t="n"/>
      <c r="G81" s="15" t="n"/>
      <c r="H81" s="21">
        <f>IF(COUNT(D81:G81)=0,"",SUM(D81:G81))</f>
        <v/>
      </c>
      <c r="I81" s="15" t="n"/>
      <c r="J81" s="15" t="n"/>
      <c r="K81" s="15" t="n"/>
      <c r="L81" s="15" t="n"/>
      <c r="M81" s="21">
        <f>IF(COUNT(I81:L81)=0,"",SUM(I81:L81))</f>
        <v/>
      </c>
      <c r="N81" s="15" t="n"/>
      <c r="O81" s="15" t="n"/>
      <c r="P81" s="15" t="n"/>
      <c r="Q81" s="15" t="n"/>
      <c r="R81" s="21">
        <f>IF(COUNT(N81:Q81)=0,"",SUM(N81:Q81))</f>
        <v/>
      </c>
      <c r="S81" s="23">
        <f>IF(COUNT(H81,M81,R81)=0,"",ROUND(AVERAGE(H81,M81,R81),2))</f>
        <v/>
      </c>
      <c r="T81" s="24">
        <f>IF(COUNT(F81,K81,P81)=0,"",ROUND(AVERAGE(F81,K81,P81),2))</f>
        <v/>
      </c>
    </row>
    <row r="82">
      <c r="A82" s="15" t="n"/>
      <c r="B82" s="21">
        <f>IF(A82="","",IFERROR(INDEX(작품목록!$B$4:$B$103,MATCH(A82,작품목록!$A$4:$A$103,0)),"번호 확인"))</f>
        <v/>
      </c>
      <c r="C82" s="22">
        <f>IF(A82="","",IFERROR(INDEX(작품목록!$F$4:$F$103,MATCH(A82,작품목록!$A$4:$A$103,0)),"작품목록에 없음"))</f>
        <v/>
      </c>
      <c r="D82" s="15" t="n"/>
      <c r="E82" s="15" t="n"/>
      <c r="F82" s="15" t="n"/>
      <c r="G82" s="15" t="n"/>
      <c r="H82" s="21">
        <f>IF(COUNT(D82:G82)=0,"",SUM(D82:G82))</f>
        <v/>
      </c>
      <c r="I82" s="15" t="n"/>
      <c r="J82" s="15" t="n"/>
      <c r="K82" s="15" t="n"/>
      <c r="L82" s="15" t="n"/>
      <c r="M82" s="21">
        <f>IF(COUNT(I82:L82)=0,"",SUM(I82:L82))</f>
        <v/>
      </c>
      <c r="N82" s="15" t="n"/>
      <c r="O82" s="15" t="n"/>
      <c r="P82" s="15" t="n"/>
      <c r="Q82" s="15" t="n"/>
      <c r="R82" s="21">
        <f>IF(COUNT(N82:Q82)=0,"",SUM(N82:Q82))</f>
        <v/>
      </c>
      <c r="S82" s="23">
        <f>IF(COUNT(H82,M82,R82)=0,"",ROUND(AVERAGE(H82,M82,R82),2))</f>
        <v/>
      </c>
      <c r="T82" s="24">
        <f>IF(COUNT(F82,K82,P82)=0,"",ROUND(AVERAGE(F82,K82,P82),2))</f>
        <v/>
      </c>
    </row>
    <row r="83">
      <c r="A83" s="15" t="n"/>
      <c r="B83" s="21">
        <f>IF(A83="","",IFERROR(INDEX(작품목록!$B$4:$B$103,MATCH(A83,작품목록!$A$4:$A$103,0)),"번호 확인"))</f>
        <v/>
      </c>
      <c r="C83" s="22">
        <f>IF(A83="","",IFERROR(INDEX(작품목록!$F$4:$F$103,MATCH(A83,작품목록!$A$4:$A$103,0)),"작품목록에 없음"))</f>
        <v/>
      </c>
      <c r="D83" s="15" t="n"/>
      <c r="E83" s="15" t="n"/>
      <c r="F83" s="15" t="n"/>
      <c r="G83" s="15" t="n"/>
      <c r="H83" s="21">
        <f>IF(COUNT(D83:G83)=0,"",SUM(D83:G83))</f>
        <v/>
      </c>
      <c r="I83" s="15" t="n"/>
      <c r="J83" s="15" t="n"/>
      <c r="K83" s="15" t="n"/>
      <c r="L83" s="15" t="n"/>
      <c r="M83" s="21">
        <f>IF(COUNT(I83:L83)=0,"",SUM(I83:L83))</f>
        <v/>
      </c>
      <c r="N83" s="15" t="n"/>
      <c r="O83" s="15" t="n"/>
      <c r="P83" s="15" t="n"/>
      <c r="Q83" s="15" t="n"/>
      <c r="R83" s="21">
        <f>IF(COUNT(N83:Q83)=0,"",SUM(N83:Q83))</f>
        <v/>
      </c>
      <c r="S83" s="23">
        <f>IF(COUNT(H83,M83,R83)=0,"",ROUND(AVERAGE(H83,M83,R83),2))</f>
        <v/>
      </c>
      <c r="T83" s="24">
        <f>IF(COUNT(F83,K83,P83)=0,"",ROUND(AVERAGE(F83,K83,P83),2))</f>
        <v/>
      </c>
    </row>
    <row r="84">
      <c r="A84" s="15" t="n"/>
      <c r="B84" s="21">
        <f>IF(A84="","",IFERROR(INDEX(작품목록!$B$4:$B$103,MATCH(A84,작품목록!$A$4:$A$103,0)),"번호 확인"))</f>
        <v/>
      </c>
      <c r="C84" s="22">
        <f>IF(A84="","",IFERROR(INDEX(작품목록!$F$4:$F$103,MATCH(A84,작품목록!$A$4:$A$103,0)),"작품목록에 없음"))</f>
        <v/>
      </c>
      <c r="D84" s="15" t="n"/>
      <c r="E84" s="15" t="n"/>
      <c r="F84" s="15" t="n"/>
      <c r="G84" s="15" t="n"/>
      <c r="H84" s="21">
        <f>IF(COUNT(D84:G84)=0,"",SUM(D84:G84))</f>
        <v/>
      </c>
      <c r="I84" s="15" t="n"/>
      <c r="J84" s="15" t="n"/>
      <c r="K84" s="15" t="n"/>
      <c r="L84" s="15" t="n"/>
      <c r="M84" s="21">
        <f>IF(COUNT(I84:L84)=0,"",SUM(I84:L84))</f>
        <v/>
      </c>
      <c r="N84" s="15" t="n"/>
      <c r="O84" s="15" t="n"/>
      <c r="P84" s="15" t="n"/>
      <c r="Q84" s="15" t="n"/>
      <c r="R84" s="21">
        <f>IF(COUNT(N84:Q84)=0,"",SUM(N84:Q84))</f>
        <v/>
      </c>
      <c r="S84" s="23">
        <f>IF(COUNT(H84,M84,R84)=0,"",ROUND(AVERAGE(H84,M84,R84),2))</f>
        <v/>
      </c>
      <c r="T84" s="24">
        <f>IF(COUNT(F84,K84,P84)=0,"",ROUND(AVERAGE(F84,K84,P84),2))</f>
        <v/>
      </c>
    </row>
    <row r="85">
      <c r="A85" s="15" t="n"/>
      <c r="B85" s="21">
        <f>IF(A85="","",IFERROR(INDEX(작품목록!$B$4:$B$103,MATCH(A85,작품목록!$A$4:$A$103,0)),"번호 확인"))</f>
        <v/>
      </c>
      <c r="C85" s="22">
        <f>IF(A85="","",IFERROR(INDEX(작품목록!$F$4:$F$103,MATCH(A85,작품목록!$A$4:$A$103,0)),"작품목록에 없음"))</f>
        <v/>
      </c>
      <c r="D85" s="15" t="n"/>
      <c r="E85" s="15" t="n"/>
      <c r="F85" s="15" t="n"/>
      <c r="G85" s="15" t="n"/>
      <c r="H85" s="21">
        <f>IF(COUNT(D85:G85)=0,"",SUM(D85:G85))</f>
        <v/>
      </c>
      <c r="I85" s="15" t="n"/>
      <c r="J85" s="15" t="n"/>
      <c r="K85" s="15" t="n"/>
      <c r="L85" s="15" t="n"/>
      <c r="M85" s="21">
        <f>IF(COUNT(I85:L85)=0,"",SUM(I85:L85))</f>
        <v/>
      </c>
      <c r="N85" s="15" t="n"/>
      <c r="O85" s="15" t="n"/>
      <c r="P85" s="15" t="n"/>
      <c r="Q85" s="15" t="n"/>
      <c r="R85" s="21">
        <f>IF(COUNT(N85:Q85)=0,"",SUM(N85:Q85))</f>
        <v/>
      </c>
      <c r="S85" s="23">
        <f>IF(COUNT(H85,M85,R85)=0,"",ROUND(AVERAGE(H85,M85,R85),2))</f>
        <v/>
      </c>
      <c r="T85" s="24">
        <f>IF(COUNT(F85,K85,P85)=0,"",ROUND(AVERAGE(F85,K85,P85),2))</f>
        <v/>
      </c>
    </row>
    <row r="86">
      <c r="A86" s="15" t="n"/>
      <c r="B86" s="21">
        <f>IF(A86="","",IFERROR(INDEX(작품목록!$B$4:$B$103,MATCH(A86,작품목록!$A$4:$A$103,0)),"번호 확인"))</f>
        <v/>
      </c>
      <c r="C86" s="22">
        <f>IF(A86="","",IFERROR(INDEX(작품목록!$F$4:$F$103,MATCH(A86,작품목록!$A$4:$A$103,0)),"작품목록에 없음"))</f>
        <v/>
      </c>
      <c r="D86" s="15" t="n"/>
      <c r="E86" s="15" t="n"/>
      <c r="F86" s="15" t="n"/>
      <c r="G86" s="15" t="n"/>
      <c r="H86" s="21">
        <f>IF(COUNT(D86:G86)=0,"",SUM(D86:G86))</f>
        <v/>
      </c>
      <c r="I86" s="15" t="n"/>
      <c r="J86" s="15" t="n"/>
      <c r="K86" s="15" t="n"/>
      <c r="L86" s="15" t="n"/>
      <c r="M86" s="21">
        <f>IF(COUNT(I86:L86)=0,"",SUM(I86:L86))</f>
        <v/>
      </c>
      <c r="N86" s="15" t="n"/>
      <c r="O86" s="15" t="n"/>
      <c r="P86" s="15" t="n"/>
      <c r="Q86" s="15" t="n"/>
      <c r="R86" s="21">
        <f>IF(COUNT(N86:Q86)=0,"",SUM(N86:Q86))</f>
        <v/>
      </c>
      <c r="S86" s="23">
        <f>IF(COUNT(H86,M86,R86)=0,"",ROUND(AVERAGE(H86,M86,R86),2))</f>
        <v/>
      </c>
      <c r="T86" s="24">
        <f>IF(COUNT(F86,K86,P86)=0,"",ROUND(AVERAGE(F86,K86,P86),2))</f>
        <v/>
      </c>
    </row>
    <row r="87">
      <c r="A87" s="15" t="n"/>
      <c r="B87" s="21">
        <f>IF(A87="","",IFERROR(INDEX(작품목록!$B$4:$B$103,MATCH(A87,작품목록!$A$4:$A$103,0)),"번호 확인"))</f>
        <v/>
      </c>
      <c r="C87" s="22">
        <f>IF(A87="","",IFERROR(INDEX(작품목록!$F$4:$F$103,MATCH(A87,작품목록!$A$4:$A$103,0)),"작품목록에 없음"))</f>
        <v/>
      </c>
      <c r="D87" s="15" t="n"/>
      <c r="E87" s="15" t="n"/>
      <c r="F87" s="15" t="n"/>
      <c r="G87" s="15" t="n"/>
      <c r="H87" s="21">
        <f>IF(COUNT(D87:G87)=0,"",SUM(D87:G87))</f>
        <v/>
      </c>
      <c r="I87" s="15" t="n"/>
      <c r="J87" s="15" t="n"/>
      <c r="K87" s="15" t="n"/>
      <c r="L87" s="15" t="n"/>
      <c r="M87" s="21">
        <f>IF(COUNT(I87:L87)=0,"",SUM(I87:L87))</f>
        <v/>
      </c>
      <c r="N87" s="15" t="n"/>
      <c r="O87" s="15" t="n"/>
      <c r="P87" s="15" t="n"/>
      <c r="Q87" s="15" t="n"/>
      <c r="R87" s="21">
        <f>IF(COUNT(N87:Q87)=0,"",SUM(N87:Q87))</f>
        <v/>
      </c>
      <c r="S87" s="23">
        <f>IF(COUNT(H87,M87,R87)=0,"",ROUND(AVERAGE(H87,M87,R87),2))</f>
        <v/>
      </c>
      <c r="T87" s="24">
        <f>IF(COUNT(F87,K87,P87)=0,"",ROUND(AVERAGE(F87,K87,P87),2))</f>
        <v/>
      </c>
    </row>
    <row r="88">
      <c r="A88" s="15" t="n"/>
      <c r="B88" s="21">
        <f>IF(A88="","",IFERROR(INDEX(작품목록!$B$4:$B$103,MATCH(A88,작품목록!$A$4:$A$103,0)),"번호 확인"))</f>
        <v/>
      </c>
      <c r="C88" s="22">
        <f>IF(A88="","",IFERROR(INDEX(작품목록!$F$4:$F$103,MATCH(A88,작품목록!$A$4:$A$103,0)),"작품목록에 없음"))</f>
        <v/>
      </c>
      <c r="D88" s="15" t="n"/>
      <c r="E88" s="15" t="n"/>
      <c r="F88" s="15" t="n"/>
      <c r="G88" s="15" t="n"/>
      <c r="H88" s="21">
        <f>IF(COUNT(D88:G88)=0,"",SUM(D88:G88))</f>
        <v/>
      </c>
      <c r="I88" s="15" t="n"/>
      <c r="J88" s="15" t="n"/>
      <c r="K88" s="15" t="n"/>
      <c r="L88" s="15" t="n"/>
      <c r="M88" s="21">
        <f>IF(COUNT(I88:L88)=0,"",SUM(I88:L88))</f>
        <v/>
      </c>
      <c r="N88" s="15" t="n"/>
      <c r="O88" s="15" t="n"/>
      <c r="P88" s="15" t="n"/>
      <c r="Q88" s="15" t="n"/>
      <c r="R88" s="21">
        <f>IF(COUNT(N88:Q88)=0,"",SUM(N88:Q88))</f>
        <v/>
      </c>
      <c r="S88" s="23">
        <f>IF(COUNT(H88,M88,R88)=0,"",ROUND(AVERAGE(H88,M88,R88),2))</f>
        <v/>
      </c>
      <c r="T88" s="24">
        <f>IF(COUNT(F88,K88,P88)=0,"",ROUND(AVERAGE(F88,K88,P88),2))</f>
        <v/>
      </c>
    </row>
    <row r="89">
      <c r="A89" s="15" t="n"/>
      <c r="B89" s="21">
        <f>IF(A89="","",IFERROR(INDEX(작품목록!$B$4:$B$103,MATCH(A89,작품목록!$A$4:$A$103,0)),"번호 확인"))</f>
        <v/>
      </c>
      <c r="C89" s="22">
        <f>IF(A89="","",IFERROR(INDEX(작품목록!$F$4:$F$103,MATCH(A89,작품목록!$A$4:$A$103,0)),"작품목록에 없음"))</f>
        <v/>
      </c>
      <c r="D89" s="15" t="n"/>
      <c r="E89" s="15" t="n"/>
      <c r="F89" s="15" t="n"/>
      <c r="G89" s="15" t="n"/>
      <c r="H89" s="21">
        <f>IF(COUNT(D89:G89)=0,"",SUM(D89:G89))</f>
        <v/>
      </c>
      <c r="I89" s="15" t="n"/>
      <c r="J89" s="15" t="n"/>
      <c r="K89" s="15" t="n"/>
      <c r="L89" s="15" t="n"/>
      <c r="M89" s="21">
        <f>IF(COUNT(I89:L89)=0,"",SUM(I89:L89))</f>
        <v/>
      </c>
      <c r="N89" s="15" t="n"/>
      <c r="O89" s="15" t="n"/>
      <c r="P89" s="15" t="n"/>
      <c r="Q89" s="15" t="n"/>
      <c r="R89" s="21">
        <f>IF(COUNT(N89:Q89)=0,"",SUM(N89:Q89))</f>
        <v/>
      </c>
      <c r="S89" s="23">
        <f>IF(COUNT(H89,M89,R89)=0,"",ROUND(AVERAGE(H89,M89,R89),2))</f>
        <v/>
      </c>
      <c r="T89" s="24">
        <f>IF(COUNT(F89,K89,P89)=0,"",ROUND(AVERAGE(F89,K89,P89),2))</f>
        <v/>
      </c>
    </row>
    <row r="90">
      <c r="A90" s="15" t="n"/>
      <c r="B90" s="21">
        <f>IF(A90="","",IFERROR(INDEX(작품목록!$B$4:$B$103,MATCH(A90,작품목록!$A$4:$A$103,0)),"번호 확인"))</f>
        <v/>
      </c>
      <c r="C90" s="22">
        <f>IF(A90="","",IFERROR(INDEX(작품목록!$F$4:$F$103,MATCH(A90,작품목록!$A$4:$A$103,0)),"작품목록에 없음"))</f>
        <v/>
      </c>
      <c r="D90" s="15" t="n"/>
      <c r="E90" s="15" t="n"/>
      <c r="F90" s="15" t="n"/>
      <c r="G90" s="15" t="n"/>
      <c r="H90" s="21">
        <f>IF(COUNT(D90:G90)=0,"",SUM(D90:G90))</f>
        <v/>
      </c>
      <c r="I90" s="15" t="n"/>
      <c r="J90" s="15" t="n"/>
      <c r="K90" s="15" t="n"/>
      <c r="L90" s="15" t="n"/>
      <c r="M90" s="21">
        <f>IF(COUNT(I90:L90)=0,"",SUM(I90:L90))</f>
        <v/>
      </c>
      <c r="N90" s="15" t="n"/>
      <c r="O90" s="15" t="n"/>
      <c r="P90" s="15" t="n"/>
      <c r="Q90" s="15" t="n"/>
      <c r="R90" s="21">
        <f>IF(COUNT(N90:Q90)=0,"",SUM(N90:Q90))</f>
        <v/>
      </c>
      <c r="S90" s="23">
        <f>IF(COUNT(H90,M90,R90)=0,"",ROUND(AVERAGE(H90,M90,R90),2))</f>
        <v/>
      </c>
      <c r="T90" s="24">
        <f>IF(COUNT(F90,K90,P90)=0,"",ROUND(AVERAGE(F90,K90,P90),2))</f>
        <v/>
      </c>
    </row>
    <row r="91">
      <c r="A91" s="15" t="n"/>
      <c r="B91" s="21">
        <f>IF(A91="","",IFERROR(INDEX(작품목록!$B$4:$B$103,MATCH(A91,작품목록!$A$4:$A$103,0)),"번호 확인"))</f>
        <v/>
      </c>
      <c r="C91" s="22">
        <f>IF(A91="","",IFERROR(INDEX(작품목록!$F$4:$F$103,MATCH(A91,작품목록!$A$4:$A$103,0)),"작품목록에 없음"))</f>
        <v/>
      </c>
      <c r="D91" s="15" t="n"/>
      <c r="E91" s="15" t="n"/>
      <c r="F91" s="15" t="n"/>
      <c r="G91" s="15" t="n"/>
      <c r="H91" s="21">
        <f>IF(COUNT(D91:G91)=0,"",SUM(D91:G91))</f>
        <v/>
      </c>
      <c r="I91" s="15" t="n"/>
      <c r="J91" s="15" t="n"/>
      <c r="K91" s="15" t="n"/>
      <c r="L91" s="15" t="n"/>
      <c r="M91" s="21">
        <f>IF(COUNT(I91:L91)=0,"",SUM(I91:L91))</f>
        <v/>
      </c>
      <c r="N91" s="15" t="n"/>
      <c r="O91" s="15" t="n"/>
      <c r="P91" s="15" t="n"/>
      <c r="Q91" s="15" t="n"/>
      <c r="R91" s="21">
        <f>IF(COUNT(N91:Q91)=0,"",SUM(N91:Q91))</f>
        <v/>
      </c>
      <c r="S91" s="23">
        <f>IF(COUNT(H91,M91,R91)=0,"",ROUND(AVERAGE(H91,M91,R91),2))</f>
        <v/>
      </c>
      <c r="T91" s="24">
        <f>IF(COUNT(F91,K91,P91)=0,"",ROUND(AVERAGE(F91,K91,P91),2))</f>
        <v/>
      </c>
    </row>
    <row r="92">
      <c r="A92" s="15" t="n"/>
      <c r="B92" s="21">
        <f>IF(A92="","",IFERROR(INDEX(작품목록!$B$4:$B$103,MATCH(A92,작품목록!$A$4:$A$103,0)),"번호 확인"))</f>
        <v/>
      </c>
      <c r="C92" s="22">
        <f>IF(A92="","",IFERROR(INDEX(작품목록!$F$4:$F$103,MATCH(A92,작품목록!$A$4:$A$103,0)),"작품목록에 없음"))</f>
        <v/>
      </c>
      <c r="D92" s="15" t="n"/>
      <c r="E92" s="15" t="n"/>
      <c r="F92" s="15" t="n"/>
      <c r="G92" s="15" t="n"/>
      <c r="H92" s="21">
        <f>IF(COUNT(D92:G92)=0,"",SUM(D92:G92))</f>
        <v/>
      </c>
      <c r="I92" s="15" t="n"/>
      <c r="J92" s="15" t="n"/>
      <c r="K92" s="15" t="n"/>
      <c r="L92" s="15" t="n"/>
      <c r="M92" s="21">
        <f>IF(COUNT(I92:L92)=0,"",SUM(I92:L92))</f>
        <v/>
      </c>
      <c r="N92" s="15" t="n"/>
      <c r="O92" s="15" t="n"/>
      <c r="P92" s="15" t="n"/>
      <c r="Q92" s="15" t="n"/>
      <c r="R92" s="21">
        <f>IF(COUNT(N92:Q92)=0,"",SUM(N92:Q92))</f>
        <v/>
      </c>
      <c r="S92" s="23">
        <f>IF(COUNT(H92,M92,R92)=0,"",ROUND(AVERAGE(H92,M92,R92),2))</f>
        <v/>
      </c>
      <c r="T92" s="24">
        <f>IF(COUNT(F92,K92,P92)=0,"",ROUND(AVERAGE(F92,K92,P92),2))</f>
        <v/>
      </c>
    </row>
    <row r="93">
      <c r="A93" s="15" t="n"/>
      <c r="B93" s="21">
        <f>IF(A93="","",IFERROR(INDEX(작품목록!$B$4:$B$103,MATCH(A93,작품목록!$A$4:$A$103,0)),"번호 확인"))</f>
        <v/>
      </c>
      <c r="C93" s="22">
        <f>IF(A93="","",IFERROR(INDEX(작품목록!$F$4:$F$103,MATCH(A93,작품목록!$A$4:$A$103,0)),"작품목록에 없음"))</f>
        <v/>
      </c>
      <c r="D93" s="15" t="n"/>
      <c r="E93" s="15" t="n"/>
      <c r="F93" s="15" t="n"/>
      <c r="G93" s="15" t="n"/>
      <c r="H93" s="21">
        <f>IF(COUNT(D93:G93)=0,"",SUM(D93:G93))</f>
        <v/>
      </c>
      <c r="I93" s="15" t="n"/>
      <c r="J93" s="15" t="n"/>
      <c r="K93" s="15" t="n"/>
      <c r="L93" s="15" t="n"/>
      <c r="M93" s="21">
        <f>IF(COUNT(I93:L93)=0,"",SUM(I93:L93))</f>
        <v/>
      </c>
      <c r="N93" s="15" t="n"/>
      <c r="O93" s="15" t="n"/>
      <c r="P93" s="15" t="n"/>
      <c r="Q93" s="15" t="n"/>
      <c r="R93" s="21">
        <f>IF(COUNT(N93:Q93)=0,"",SUM(N93:Q93))</f>
        <v/>
      </c>
      <c r="S93" s="23">
        <f>IF(COUNT(H93,M93,R93)=0,"",ROUND(AVERAGE(H93,M93,R93),2))</f>
        <v/>
      </c>
      <c r="T93" s="24">
        <f>IF(COUNT(F93,K93,P93)=0,"",ROUND(AVERAGE(F93,K93,P93),2))</f>
        <v/>
      </c>
    </row>
    <row r="94">
      <c r="A94" s="15" t="n"/>
      <c r="B94" s="21">
        <f>IF(A94="","",IFERROR(INDEX(작품목록!$B$4:$B$103,MATCH(A94,작품목록!$A$4:$A$103,0)),"번호 확인"))</f>
        <v/>
      </c>
      <c r="C94" s="22">
        <f>IF(A94="","",IFERROR(INDEX(작품목록!$F$4:$F$103,MATCH(A94,작품목록!$A$4:$A$103,0)),"작품목록에 없음"))</f>
        <v/>
      </c>
      <c r="D94" s="15" t="n"/>
      <c r="E94" s="15" t="n"/>
      <c r="F94" s="15" t="n"/>
      <c r="G94" s="15" t="n"/>
      <c r="H94" s="21">
        <f>IF(COUNT(D94:G94)=0,"",SUM(D94:G94))</f>
        <v/>
      </c>
      <c r="I94" s="15" t="n"/>
      <c r="J94" s="15" t="n"/>
      <c r="K94" s="15" t="n"/>
      <c r="L94" s="15" t="n"/>
      <c r="M94" s="21">
        <f>IF(COUNT(I94:L94)=0,"",SUM(I94:L94))</f>
        <v/>
      </c>
      <c r="N94" s="15" t="n"/>
      <c r="O94" s="15" t="n"/>
      <c r="P94" s="15" t="n"/>
      <c r="Q94" s="15" t="n"/>
      <c r="R94" s="21">
        <f>IF(COUNT(N94:Q94)=0,"",SUM(N94:Q94))</f>
        <v/>
      </c>
      <c r="S94" s="23">
        <f>IF(COUNT(H94,M94,R94)=0,"",ROUND(AVERAGE(H94,M94,R94),2))</f>
        <v/>
      </c>
      <c r="T94" s="24">
        <f>IF(COUNT(F94,K94,P94)=0,"",ROUND(AVERAGE(F94,K94,P94),2))</f>
        <v/>
      </c>
    </row>
    <row r="95">
      <c r="A95" s="15" t="n"/>
      <c r="B95" s="21">
        <f>IF(A95="","",IFERROR(INDEX(작품목록!$B$4:$B$103,MATCH(A95,작품목록!$A$4:$A$103,0)),"번호 확인"))</f>
        <v/>
      </c>
      <c r="C95" s="22">
        <f>IF(A95="","",IFERROR(INDEX(작품목록!$F$4:$F$103,MATCH(A95,작품목록!$A$4:$A$103,0)),"작품목록에 없음"))</f>
        <v/>
      </c>
      <c r="D95" s="15" t="n"/>
      <c r="E95" s="15" t="n"/>
      <c r="F95" s="15" t="n"/>
      <c r="G95" s="15" t="n"/>
      <c r="H95" s="21">
        <f>IF(COUNT(D95:G95)=0,"",SUM(D95:G95))</f>
        <v/>
      </c>
      <c r="I95" s="15" t="n"/>
      <c r="J95" s="15" t="n"/>
      <c r="K95" s="15" t="n"/>
      <c r="L95" s="15" t="n"/>
      <c r="M95" s="21">
        <f>IF(COUNT(I95:L95)=0,"",SUM(I95:L95))</f>
        <v/>
      </c>
      <c r="N95" s="15" t="n"/>
      <c r="O95" s="15" t="n"/>
      <c r="P95" s="15" t="n"/>
      <c r="Q95" s="15" t="n"/>
      <c r="R95" s="21">
        <f>IF(COUNT(N95:Q95)=0,"",SUM(N95:Q95))</f>
        <v/>
      </c>
      <c r="S95" s="23">
        <f>IF(COUNT(H95,M95,R95)=0,"",ROUND(AVERAGE(H95,M95,R95),2))</f>
        <v/>
      </c>
      <c r="T95" s="24">
        <f>IF(COUNT(F95,K95,P95)=0,"",ROUND(AVERAGE(F95,K95,P95),2))</f>
        <v/>
      </c>
    </row>
    <row r="96">
      <c r="A96" s="15" t="n"/>
      <c r="B96" s="21">
        <f>IF(A96="","",IFERROR(INDEX(작품목록!$B$4:$B$103,MATCH(A96,작품목록!$A$4:$A$103,0)),"번호 확인"))</f>
        <v/>
      </c>
      <c r="C96" s="22">
        <f>IF(A96="","",IFERROR(INDEX(작품목록!$F$4:$F$103,MATCH(A96,작품목록!$A$4:$A$103,0)),"작품목록에 없음"))</f>
        <v/>
      </c>
      <c r="D96" s="15" t="n"/>
      <c r="E96" s="15" t="n"/>
      <c r="F96" s="15" t="n"/>
      <c r="G96" s="15" t="n"/>
      <c r="H96" s="21">
        <f>IF(COUNT(D96:G96)=0,"",SUM(D96:G96))</f>
        <v/>
      </c>
      <c r="I96" s="15" t="n"/>
      <c r="J96" s="15" t="n"/>
      <c r="K96" s="15" t="n"/>
      <c r="L96" s="15" t="n"/>
      <c r="M96" s="21">
        <f>IF(COUNT(I96:L96)=0,"",SUM(I96:L96))</f>
        <v/>
      </c>
      <c r="N96" s="15" t="n"/>
      <c r="O96" s="15" t="n"/>
      <c r="P96" s="15" t="n"/>
      <c r="Q96" s="15" t="n"/>
      <c r="R96" s="21">
        <f>IF(COUNT(N96:Q96)=0,"",SUM(N96:Q96))</f>
        <v/>
      </c>
      <c r="S96" s="23">
        <f>IF(COUNT(H96,M96,R96)=0,"",ROUND(AVERAGE(H96,M96,R96),2))</f>
        <v/>
      </c>
      <c r="T96" s="24">
        <f>IF(COUNT(F96,K96,P96)=0,"",ROUND(AVERAGE(F96,K96,P96),2))</f>
        <v/>
      </c>
    </row>
    <row r="97">
      <c r="A97" s="15" t="n"/>
      <c r="B97" s="21">
        <f>IF(A97="","",IFERROR(INDEX(작품목록!$B$4:$B$103,MATCH(A97,작품목록!$A$4:$A$103,0)),"번호 확인"))</f>
        <v/>
      </c>
      <c r="C97" s="22">
        <f>IF(A97="","",IFERROR(INDEX(작품목록!$F$4:$F$103,MATCH(A97,작품목록!$A$4:$A$103,0)),"작품목록에 없음"))</f>
        <v/>
      </c>
      <c r="D97" s="15" t="n"/>
      <c r="E97" s="15" t="n"/>
      <c r="F97" s="15" t="n"/>
      <c r="G97" s="15" t="n"/>
      <c r="H97" s="21">
        <f>IF(COUNT(D97:G97)=0,"",SUM(D97:G97))</f>
        <v/>
      </c>
      <c r="I97" s="15" t="n"/>
      <c r="J97" s="15" t="n"/>
      <c r="K97" s="15" t="n"/>
      <c r="L97" s="15" t="n"/>
      <c r="M97" s="21">
        <f>IF(COUNT(I97:L97)=0,"",SUM(I97:L97))</f>
        <v/>
      </c>
      <c r="N97" s="15" t="n"/>
      <c r="O97" s="15" t="n"/>
      <c r="P97" s="15" t="n"/>
      <c r="Q97" s="15" t="n"/>
      <c r="R97" s="21">
        <f>IF(COUNT(N97:Q97)=0,"",SUM(N97:Q97))</f>
        <v/>
      </c>
      <c r="S97" s="23">
        <f>IF(COUNT(H97,M97,R97)=0,"",ROUND(AVERAGE(H97,M97,R97),2))</f>
        <v/>
      </c>
      <c r="T97" s="24">
        <f>IF(COUNT(F97,K97,P97)=0,"",ROUND(AVERAGE(F97,K97,P97),2))</f>
        <v/>
      </c>
    </row>
    <row r="98">
      <c r="A98" s="15" t="n"/>
      <c r="B98" s="21">
        <f>IF(A98="","",IFERROR(INDEX(작품목록!$B$4:$B$103,MATCH(A98,작품목록!$A$4:$A$103,0)),"번호 확인"))</f>
        <v/>
      </c>
      <c r="C98" s="22">
        <f>IF(A98="","",IFERROR(INDEX(작품목록!$F$4:$F$103,MATCH(A98,작품목록!$A$4:$A$103,0)),"작품목록에 없음"))</f>
        <v/>
      </c>
      <c r="D98" s="15" t="n"/>
      <c r="E98" s="15" t="n"/>
      <c r="F98" s="15" t="n"/>
      <c r="G98" s="15" t="n"/>
      <c r="H98" s="21">
        <f>IF(COUNT(D98:G98)=0,"",SUM(D98:G98))</f>
        <v/>
      </c>
      <c r="I98" s="15" t="n"/>
      <c r="J98" s="15" t="n"/>
      <c r="K98" s="15" t="n"/>
      <c r="L98" s="15" t="n"/>
      <c r="M98" s="21">
        <f>IF(COUNT(I98:L98)=0,"",SUM(I98:L98))</f>
        <v/>
      </c>
      <c r="N98" s="15" t="n"/>
      <c r="O98" s="15" t="n"/>
      <c r="P98" s="15" t="n"/>
      <c r="Q98" s="15" t="n"/>
      <c r="R98" s="21">
        <f>IF(COUNT(N98:Q98)=0,"",SUM(N98:Q98))</f>
        <v/>
      </c>
      <c r="S98" s="23">
        <f>IF(COUNT(H98,M98,R98)=0,"",ROUND(AVERAGE(H98,M98,R98),2))</f>
        <v/>
      </c>
      <c r="T98" s="24">
        <f>IF(COUNT(F98,K98,P98)=0,"",ROUND(AVERAGE(F98,K98,P98),2))</f>
        <v/>
      </c>
    </row>
    <row r="99">
      <c r="A99" s="15" t="n"/>
      <c r="B99" s="21">
        <f>IF(A99="","",IFERROR(INDEX(작품목록!$B$4:$B$103,MATCH(A99,작품목록!$A$4:$A$103,0)),"번호 확인"))</f>
        <v/>
      </c>
      <c r="C99" s="22">
        <f>IF(A99="","",IFERROR(INDEX(작품목록!$F$4:$F$103,MATCH(A99,작품목록!$A$4:$A$103,0)),"작품목록에 없음"))</f>
        <v/>
      </c>
      <c r="D99" s="15" t="n"/>
      <c r="E99" s="15" t="n"/>
      <c r="F99" s="15" t="n"/>
      <c r="G99" s="15" t="n"/>
      <c r="H99" s="21">
        <f>IF(COUNT(D99:G99)=0,"",SUM(D99:G99))</f>
        <v/>
      </c>
      <c r="I99" s="15" t="n"/>
      <c r="J99" s="15" t="n"/>
      <c r="K99" s="15" t="n"/>
      <c r="L99" s="15" t="n"/>
      <c r="M99" s="21">
        <f>IF(COUNT(I99:L99)=0,"",SUM(I99:L99))</f>
        <v/>
      </c>
      <c r="N99" s="15" t="n"/>
      <c r="O99" s="15" t="n"/>
      <c r="P99" s="15" t="n"/>
      <c r="Q99" s="15" t="n"/>
      <c r="R99" s="21">
        <f>IF(COUNT(N99:Q99)=0,"",SUM(N99:Q99))</f>
        <v/>
      </c>
      <c r="S99" s="23">
        <f>IF(COUNT(H99,M99,R99)=0,"",ROUND(AVERAGE(H99,M99,R99),2))</f>
        <v/>
      </c>
      <c r="T99" s="24">
        <f>IF(COUNT(F99,K99,P99)=0,"",ROUND(AVERAGE(F99,K99,P99),2))</f>
        <v/>
      </c>
    </row>
    <row r="100">
      <c r="A100" s="15" t="n"/>
      <c r="B100" s="21">
        <f>IF(A100="","",IFERROR(INDEX(작품목록!$B$4:$B$103,MATCH(A100,작품목록!$A$4:$A$103,0)),"번호 확인"))</f>
        <v/>
      </c>
      <c r="C100" s="22">
        <f>IF(A100="","",IFERROR(INDEX(작품목록!$F$4:$F$103,MATCH(A100,작품목록!$A$4:$A$103,0)),"작품목록에 없음"))</f>
        <v/>
      </c>
      <c r="D100" s="15" t="n"/>
      <c r="E100" s="15" t="n"/>
      <c r="F100" s="15" t="n"/>
      <c r="G100" s="15" t="n"/>
      <c r="H100" s="21">
        <f>IF(COUNT(D100:G100)=0,"",SUM(D100:G100))</f>
        <v/>
      </c>
      <c r="I100" s="15" t="n"/>
      <c r="J100" s="15" t="n"/>
      <c r="K100" s="15" t="n"/>
      <c r="L100" s="15" t="n"/>
      <c r="M100" s="21">
        <f>IF(COUNT(I100:L100)=0,"",SUM(I100:L100))</f>
        <v/>
      </c>
      <c r="N100" s="15" t="n"/>
      <c r="O100" s="15" t="n"/>
      <c r="P100" s="15" t="n"/>
      <c r="Q100" s="15" t="n"/>
      <c r="R100" s="21">
        <f>IF(COUNT(N100:Q100)=0,"",SUM(N100:Q100))</f>
        <v/>
      </c>
      <c r="S100" s="23">
        <f>IF(COUNT(H100,M100,R100)=0,"",ROUND(AVERAGE(H100,M100,R100),2))</f>
        <v/>
      </c>
      <c r="T100" s="24">
        <f>IF(COUNT(F100,K100,P100)=0,"",ROUND(AVERAGE(F100,K100,P100),2))</f>
        <v/>
      </c>
    </row>
    <row r="101">
      <c r="A101" s="15" t="n"/>
      <c r="B101" s="21">
        <f>IF(A101="","",IFERROR(INDEX(작품목록!$B$4:$B$103,MATCH(A101,작품목록!$A$4:$A$103,0)),"번호 확인"))</f>
        <v/>
      </c>
      <c r="C101" s="22">
        <f>IF(A101="","",IFERROR(INDEX(작품목록!$F$4:$F$103,MATCH(A101,작품목록!$A$4:$A$103,0)),"작품목록에 없음"))</f>
        <v/>
      </c>
      <c r="D101" s="15" t="n"/>
      <c r="E101" s="15" t="n"/>
      <c r="F101" s="15" t="n"/>
      <c r="G101" s="15" t="n"/>
      <c r="H101" s="21">
        <f>IF(COUNT(D101:G101)=0,"",SUM(D101:G101))</f>
        <v/>
      </c>
      <c r="I101" s="15" t="n"/>
      <c r="J101" s="15" t="n"/>
      <c r="K101" s="15" t="n"/>
      <c r="L101" s="15" t="n"/>
      <c r="M101" s="21">
        <f>IF(COUNT(I101:L101)=0,"",SUM(I101:L101))</f>
        <v/>
      </c>
      <c r="N101" s="15" t="n"/>
      <c r="O101" s="15" t="n"/>
      <c r="P101" s="15" t="n"/>
      <c r="Q101" s="15" t="n"/>
      <c r="R101" s="21">
        <f>IF(COUNT(N101:Q101)=0,"",SUM(N101:Q101))</f>
        <v/>
      </c>
      <c r="S101" s="23">
        <f>IF(COUNT(H101,M101,R101)=0,"",ROUND(AVERAGE(H101,M101,R101),2))</f>
        <v/>
      </c>
      <c r="T101" s="24">
        <f>IF(COUNT(F101,K101,P101)=0,"",ROUND(AVERAGE(F101,K101,P101),2))</f>
        <v/>
      </c>
    </row>
    <row r="102">
      <c r="A102" s="15" t="n"/>
      <c r="B102" s="21">
        <f>IF(A102="","",IFERROR(INDEX(작품목록!$B$4:$B$103,MATCH(A102,작품목록!$A$4:$A$103,0)),"번호 확인"))</f>
        <v/>
      </c>
      <c r="C102" s="22">
        <f>IF(A102="","",IFERROR(INDEX(작품목록!$F$4:$F$103,MATCH(A102,작품목록!$A$4:$A$103,0)),"작품목록에 없음"))</f>
        <v/>
      </c>
      <c r="D102" s="15" t="n"/>
      <c r="E102" s="15" t="n"/>
      <c r="F102" s="15" t="n"/>
      <c r="G102" s="15" t="n"/>
      <c r="H102" s="21">
        <f>IF(COUNT(D102:G102)=0,"",SUM(D102:G102))</f>
        <v/>
      </c>
      <c r="I102" s="15" t="n"/>
      <c r="J102" s="15" t="n"/>
      <c r="K102" s="15" t="n"/>
      <c r="L102" s="15" t="n"/>
      <c r="M102" s="21">
        <f>IF(COUNT(I102:L102)=0,"",SUM(I102:L102))</f>
        <v/>
      </c>
      <c r="N102" s="15" t="n"/>
      <c r="O102" s="15" t="n"/>
      <c r="P102" s="15" t="n"/>
      <c r="Q102" s="15" t="n"/>
      <c r="R102" s="21">
        <f>IF(COUNT(N102:Q102)=0,"",SUM(N102:Q102))</f>
        <v/>
      </c>
      <c r="S102" s="23">
        <f>IF(COUNT(H102,M102,R102)=0,"",ROUND(AVERAGE(H102,M102,R102),2))</f>
        <v/>
      </c>
      <c r="T102" s="24">
        <f>IF(COUNT(F102,K102,P102)=0,"",ROUND(AVERAGE(F102,K102,P102),2))</f>
        <v/>
      </c>
    </row>
    <row r="103">
      <c r="A103" s="15" t="n"/>
      <c r="B103" s="21">
        <f>IF(A103="","",IFERROR(INDEX(작품목록!$B$4:$B$103,MATCH(A103,작품목록!$A$4:$A$103,0)),"번호 확인"))</f>
        <v/>
      </c>
      <c r="C103" s="22">
        <f>IF(A103="","",IFERROR(INDEX(작품목록!$F$4:$F$103,MATCH(A103,작품목록!$A$4:$A$103,0)),"작품목록에 없음"))</f>
        <v/>
      </c>
      <c r="D103" s="15" t="n"/>
      <c r="E103" s="15" t="n"/>
      <c r="F103" s="15" t="n"/>
      <c r="G103" s="15" t="n"/>
      <c r="H103" s="21">
        <f>IF(COUNT(D103:G103)=0,"",SUM(D103:G103))</f>
        <v/>
      </c>
      <c r="I103" s="15" t="n"/>
      <c r="J103" s="15" t="n"/>
      <c r="K103" s="15" t="n"/>
      <c r="L103" s="15" t="n"/>
      <c r="M103" s="21">
        <f>IF(COUNT(I103:L103)=0,"",SUM(I103:L103))</f>
        <v/>
      </c>
      <c r="N103" s="15" t="n"/>
      <c r="O103" s="15" t="n"/>
      <c r="P103" s="15" t="n"/>
      <c r="Q103" s="15" t="n"/>
      <c r="R103" s="21">
        <f>IF(COUNT(N103:Q103)=0,"",SUM(N103:Q103))</f>
        <v/>
      </c>
      <c r="S103" s="23">
        <f>IF(COUNT(H103,M103,R103)=0,"",ROUND(AVERAGE(H103,M103,R103),2))</f>
        <v/>
      </c>
      <c r="T103" s="24">
        <f>IF(COUNT(F103,K103,P103)=0,"",ROUND(AVERAGE(F103,K103,P103),2))</f>
        <v/>
      </c>
    </row>
    <row r="104">
      <c r="A104" s="15" t="n"/>
      <c r="B104" s="21">
        <f>IF(A104="","",IFERROR(INDEX(작품목록!$B$4:$B$103,MATCH(A104,작품목록!$A$4:$A$103,0)),"번호 확인"))</f>
        <v/>
      </c>
      <c r="C104" s="22">
        <f>IF(A104="","",IFERROR(INDEX(작품목록!$F$4:$F$103,MATCH(A104,작품목록!$A$4:$A$103,0)),"작품목록에 없음"))</f>
        <v/>
      </c>
      <c r="D104" s="15" t="n"/>
      <c r="E104" s="15" t="n"/>
      <c r="F104" s="15" t="n"/>
      <c r="G104" s="15" t="n"/>
      <c r="H104" s="21">
        <f>IF(COUNT(D104:G104)=0,"",SUM(D104:G104))</f>
        <v/>
      </c>
      <c r="I104" s="15" t="n"/>
      <c r="J104" s="15" t="n"/>
      <c r="K104" s="15" t="n"/>
      <c r="L104" s="15" t="n"/>
      <c r="M104" s="21">
        <f>IF(COUNT(I104:L104)=0,"",SUM(I104:L104))</f>
        <v/>
      </c>
      <c r="N104" s="15" t="n"/>
      <c r="O104" s="15" t="n"/>
      <c r="P104" s="15" t="n"/>
      <c r="Q104" s="15" t="n"/>
      <c r="R104" s="21">
        <f>IF(COUNT(N104:Q104)=0,"",SUM(N104:Q104))</f>
        <v/>
      </c>
      <c r="S104" s="23">
        <f>IF(COUNT(H104,M104,R104)=0,"",ROUND(AVERAGE(H104,M104,R104),2))</f>
        <v/>
      </c>
      <c r="T104" s="24">
        <f>IF(COUNT(F104,K104,P104)=0,"",ROUND(AVERAGE(F104,K104,P104),2))</f>
        <v/>
      </c>
    </row>
  </sheetData>
  <mergeCells count="8">
    <mergeCell ref="I3:M3"/>
    <mergeCell ref="N3:R3"/>
    <mergeCell ref="C3:C4"/>
    <mergeCell ref="B3:B4"/>
    <mergeCell ref="A3:A4"/>
    <mergeCell ref="T3:T4"/>
    <mergeCell ref="S3:S4"/>
    <mergeCell ref="D3:H3"/>
  </mergeCells>
  <dataValidations count="12">
    <dataValidation sqref="D5:D104" showDropDown="0" showInputMessage="1" showErrorMessage="0" allowBlank="1" errorTitle="점수 범위" error="교과&#10;연계성은(는) 0~15점 사이로 입력하세요." prompt="0~15점" type="decimal" operator="between">
      <formula1>0</formula1>
      <formula2>15</formula2>
    </dataValidation>
    <dataValidation sqref="E5:E104" showDropDown="0" showInputMessage="1" showErrorMessage="0" allowBlank="1" errorTitle="점수 범위" error="학습&#10;도움은(는) 0~15점 사이로 입력하세요." prompt="0~15점" type="decimal" operator="between">
      <formula1>0</formula1>
      <formula2>15</formula2>
    </dataValidation>
    <dataValidation sqref="F5:F104" showDropDown="0" showInputMessage="1" showErrorMessage="0" allowBlank="1" errorTitle="점수 범위" error="제작&#10;과정은(는) 0~15점 사이로 입력하세요." prompt="0~15점" type="decimal" operator="between">
      <formula1>0</formula1>
      <formula2>15</formula2>
    </dataValidation>
    <dataValidation sqref="G5:G104" showDropDown="0" showInputMessage="1" showErrorMessage="0" allowBlank="1" errorTitle="점수 범위" error="창의성은(는) 0~5점 사이로 입력하세요." prompt="0~5점" type="decimal" operator="between">
      <formula1>0</formula1>
      <formula2>5</formula2>
    </dataValidation>
    <dataValidation sqref="I5:I104" showDropDown="0" showInputMessage="1" showErrorMessage="0" allowBlank="1" errorTitle="점수 범위" error="교과&#10;연계성은(는) 0~15점 사이로 입력하세요." prompt="0~15점" type="decimal" operator="between">
      <formula1>0</formula1>
      <formula2>15</formula2>
    </dataValidation>
    <dataValidation sqref="J5:J104" showDropDown="0" showInputMessage="1" showErrorMessage="0" allowBlank="1" errorTitle="점수 범위" error="학습&#10;도움은(는) 0~15점 사이로 입력하세요." prompt="0~15점" type="decimal" operator="between">
      <formula1>0</formula1>
      <formula2>15</formula2>
    </dataValidation>
    <dataValidation sqref="K5:K104" showDropDown="0" showInputMessage="1" showErrorMessage="0" allowBlank="1" errorTitle="점수 범위" error="제작&#10;과정은(는) 0~15점 사이로 입력하세요." prompt="0~15점" type="decimal" operator="between">
      <formula1>0</formula1>
      <formula2>15</formula2>
    </dataValidation>
    <dataValidation sqref="L5:L104" showDropDown="0" showInputMessage="1" showErrorMessage="0" allowBlank="1" errorTitle="점수 범위" error="창의성은(는) 0~5점 사이로 입력하세요." prompt="0~5점" type="decimal" operator="between">
      <formula1>0</formula1>
      <formula2>5</formula2>
    </dataValidation>
    <dataValidation sqref="N5:N104" showDropDown="0" showInputMessage="1" showErrorMessage="0" allowBlank="1" errorTitle="점수 범위" error="교과&#10;연계성은(는) 0~15점 사이로 입력하세요." prompt="0~15점" type="decimal" operator="between">
      <formula1>0</formula1>
      <formula2>15</formula2>
    </dataValidation>
    <dataValidation sqref="O5:O104" showDropDown="0" showInputMessage="1" showErrorMessage="0" allowBlank="1" errorTitle="점수 범위" error="학습&#10;도움은(는) 0~15점 사이로 입력하세요." prompt="0~15점" type="decimal" operator="between">
      <formula1>0</formula1>
      <formula2>15</formula2>
    </dataValidation>
    <dataValidation sqref="P5:P104" showDropDown="0" showInputMessage="1" showErrorMessage="0" allowBlank="1" errorTitle="점수 범위" error="제작&#10;과정은(는) 0~15점 사이로 입력하세요." prompt="0~15점" type="decimal" operator="between">
      <formula1>0</formula1>
      <formula2>15</formula2>
    </dataValidation>
    <dataValidation sqref="Q5:Q104" showDropDown="0" showInputMessage="1" showErrorMessage="0" allowBlank="1" errorTitle="점수 범위" error="창의성은(는) 0~5점 사이로 입력하세요." prompt="0~5점" type="decimal" operator="between">
      <formula1>0</formula1>
      <formula2>5</formula2>
    </dataValidation>
  </dataValidations>
  <pageMargins left="0.4" right="0.4" top="0.5" bottom="0.5" header="0.5" footer="0.5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24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11" customWidth="1" min="16" max="16"/>
    <col width="13" customWidth="1" min="17" max="17"/>
  </cols>
  <sheetData>
    <row r="1" ht="28" customHeight="1">
      <c r="A1" s="1" t="inlineStr">
        <is>
          <t>업무팀 심사표 — 상상 부문 (50점)</t>
        </is>
      </c>
    </row>
    <row r="2">
      <c r="A2" s="2" t="inlineStr">
        <is>
          <t>A열에 작품번호를 입력하면 부문·작품 이름이 자동으로 나와요. 노란 칸에 심사위원별 점수를 입력하세요(배점 초과 입력 불가).</t>
        </is>
      </c>
    </row>
    <row r="3">
      <c r="A3" s="3" t="inlineStr">
        <is>
          <t>작품번호</t>
        </is>
      </c>
      <c r="B3" s="3" t="inlineStr">
        <is>
          <t>부문</t>
        </is>
      </c>
      <c r="C3" s="3" t="inlineStr">
        <is>
          <t>작품 이름</t>
        </is>
      </c>
      <c r="D3" s="3" t="inlineStr">
        <is>
          <t>심사위원 1</t>
        </is>
      </c>
      <c r="E3" s="17" t="n"/>
      <c r="F3" s="17" t="n"/>
      <c r="G3" s="18" t="n"/>
      <c r="H3" s="3" t="inlineStr">
        <is>
          <t>심사위원 2</t>
        </is>
      </c>
      <c r="I3" s="17" t="n"/>
      <c r="J3" s="17" t="n"/>
      <c r="K3" s="18" t="n"/>
      <c r="L3" s="3" t="inlineStr">
        <is>
          <t>심사위원 3</t>
        </is>
      </c>
      <c r="M3" s="17" t="n"/>
      <c r="N3" s="17" t="n"/>
      <c r="O3" s="18" t="n"/>
      <c r="P3" s="3" t="inlineStr">
        <is>
          <t>심사 점수
평균(50)</t>
        </is>
      </c>
      <c r="Q3" s="3" t="inlineStr">
        <is>
          <t>독창성
평균(동점 기준)</t>
        </is>
      </c>
    </row>
    <row r="4" ht="42" customHeight="1">
      <c r="A4" s="19" t="n"/>
      <c r="B4" s="19" t="n"/>
      <c r="C4" s="19" t="n"/>
      <c r="D4" s="20" t="inlineStr">
        <is>
          <t>교과
연계성
(15)</t>
        </is>
      </c>
      <c r="E4" s="20" t="inlineStr">
        <is>
          <t>아이디어
독창성
(20)</t>
        </is>
      </c>
      <c r="F4" s="20" t="inlineStr">
        <is>
          <t>표현력
(그림·설명)
(15)</t>
        </is>
      </c>
      <c r="G4" s="20" t="inlineStr">
        <is>
          <t>합계
(50)</t>
        </is>
      </c>
      <c r="H4" s="20" t="inlineStr">
        <is>
          <t>교과
연계성
(15)</t>
        </is>
      </c>
      <c r="I4" s="20" t="inlineStr">
        <is>
          <t>아이디어
독창성
(20)</t>
        </is>
      </c>
      <c r="J4" s="20" t="inlineStr">
        <is>
          <t>표현력
(그림·설명)
(15)</t>
        </is>
      </c>
      <c r="K4" s="20" t="inlineStr">
        <is>
          <t>합계
(50)</t>
        </is>
      </c>
      <c r="L4" s="20" t="inlineStr">
        <is>
          <t>교과
연계성
(15)</t>
        </is>
      </c>
      <c r="M4" s="20" t="inlineStr">
        <is>
          <t>아이디어
독창성
(20)</t>
        </is>
      </c>
      <c r="N4" s="20" t="inlineStr">
        <is>
          <t>표현력
(그림·설명)
(15)</t>
        </is>
      </c>
      <c r="O4" s="20" t="inlineStr">
        <is>
          <t>합계
(50)</t>
        </is>
      </c>
      <c r="P4" s="19" t="n"/>
      <c r="Q4" s="19" t="n"/>
    </row>
    <row r="5">
      <c r="A5" s="15" t="inlineStr">
        <is>
          <t>S-01</t>
        </is>
      </c>
      <c r="B5" s="21">
        <f>IF(A5="","",IFERROR(INDEX(작품목록!$B$4:$B$103,MATCH(A5,작품목록!$A$4:$A$103,0)),"번호 확인"))</f>
        <v/>
      </c>
      <c r="C5" s="22">
        <f>IF(A5="","",IFERROR(INDEX(작품목록!$F$4:$F$103,MATCH(A5,작품목록!$A$4:$A$103,0)),"작품목록에 없음"))</f>
        <v/>
      </c>
      <c r="D5" s="15" t="n">
        <v>14</v>
      </c>
      <c r="E5" s="15" t="n">
        <v>18</v>
      </c>
      <c r="F5" s="15" t="n">
        <v>14</v>
      </c>
      <c r="G5" s="21">
        <f>IF(COUNT(D5:F5)=0,"",SUM(D5:F5))</f>
        <v/>
      </c>
      <c r="H5" s="15" t="n">
        <v>13</v>
      </c>
      <c r="I5" s="15" t="n">
        <v>18</v>
      </c>
      <c r="J5" s="15" t="n">
        <v>13</v>
      </c>
      <c r="K5" s="21">
        <f>IF(COUNT(H5:J5)=0,"",SUM(H5:J5))</f>
        <v/>
      </c>
      <c r="L5" s="15" t="n">
        <v>13</v>
      </c>
      <c r="M5" s="15" t="n">
        <v>18</v>
      </c>
      <c r="N5" s="15" t="n">
        <v>14</v>
      </c>
      <c r="O5" s="21">
        <f>IF(COUNT(L5:N5)=0,"",SUM(L5:N5))</f>
        <v/>
      </c>
      <c r="P5" s="23">
        <f>IF(COUNT(G5,K5,O5)=0,"",ROUND(AVERAGE(G5,K5,O5),2))</f>
        <v/>
      </c>
      <c r="Q5" s="24">
        <f>IF(COUNT(E5,I5,M5)=0,"",ROUND(AVERAGE(E5,I5,M5),2))</f>
        <v/>
      </c>
    </row>
    <row r="6">
      <c r="A6" s="15" t="inlineStr">
        <is>
          <t>S-02</t>
        </is>
      </c>
      <c r="B6" s="21">
        <f>IF(A6="","",IFERROR(INDEX(작품목록!$B$4:$B$103,MATCH(A6,작품목록!$A$4:$A$103,0)),"번호 확인"))</f>
        <v/>
      </c>
      <c r="C6" s="22">
        <f>IF(A6="","",IFERROR(INDEX(작품목록!$F$4:$F$103,MATCH(A6,작품목록!$A$4:$A$103,0)),"작품목록에 없음"))</f>
        <v/>
      </c>
      <c r="D6" s="15" t="n">
        <v>12</v>
      </c>
      <c r="E6" s="15" t="n">
        <v>16</v>
      </c>
      <c r="F6" s="15" t="n">
        <v>12</v>
      </c>
      <c r="G6" s="21">
        <f>IF(COUNT(D6:F6)=0,"",SUM(D6:F6))</f>
        <v/>
      </c>
      <c r="H6" s="15" t="n">
        <v>12</v>
      </c>
      <c r="I6" s="15" t="n">
        <v>15</v>
      </c>
      <c r="J6" s="15" t="n">
        <v>13</v>
      </c>
      <c r="K6" s="21">
        <f>IF(COUNT(H6:J6)=0,"",SUM(H6:J6))</f>
        <v/>
      </c>
      <c r="L6" s="15" t="n">
        <v>13</v>
      </c>
      <c r="M6" s="15" t="n">
        <v>17</v>
      </c>
      <c r="N6" s="15" t="n">
        <v>13</v>
      </c>
      <c r="O6" s="21">
        <f>IF(COUNT(L6:N6)=0,"",SUM(L6:N6))</f>
        <v/>
      </c>
      <c r="P6" s="23">
        <f>IF(COUNT(G6,K6,O6)=0,"",ROUND(AVERAGE(G6,K6,O6),2))</f>
        <v/>
      </c>
      <c r="Q6" s="24">
        <f>IF(COUNT(E6,I6,M6)=0,"",ROUND(AVERAGE(E6,I6,M6),2))</f>
        <v/>
      </c>
    </row>
    <row r="7">
      <c r="A7" s="15" t="inlineStr">
        <is>
          <t>S-03</t>
        </is>
      </c>
      <c r="B7" s="21">
        <f>IF(A7="","",IFERROR(INDEX(작품목록!$B$4:$B$103,MATCH(A7,작품목록!$A$4:$A$103,0)),"번호 확인"))</f>
        <v/>
      </c>
      <c r="C7" s="22">
        <f>IF(A7="","",IFERROR(INDEX(작품목록!$F$4:$F$103,MATCH(A7,작품목록!$A$4:$A$103,0)),"작품목록에 없음"))</f>
        <v/>
      </c>
      <c r="D7" s="15" t="n">
        <v>10</v>
      </c>
      <c r="E7" s="15" t="n">
        <v>15</v>
      </c>
      <c r="F7" s="15" t="n">
        <v>11</v>
      </c>
      <c r="G7" s="21">
        <f>IF(COUNT(D7:F7)=0,"",SUM(D7:F7))</f>
        <v/>
      </c>
      <c r="H7" s="15" t="n">
        <v>11</v>
      </c>
      <c r="I7" s="15" t="n">
        <v>14</v>
      </c>
      <c r="J7" s="15" t="n">
        <v>11</v>
      </c>
      <c r="K7" s="21">
        <f>IF(COUNT(H7:J7)=0,"",SUM(H7:J7))</f>
        <v/>
      </c>
      <c r="L7" s="15" t="n">
        <v>11</v>
      </c>
      <c r="M7" s="15" t="n">
        <v>15</v>
      </c>
      <c r="N7" s="15" t="n">
        <v>12</v>
      </c>
      <c r="O7" s="21">
        <f>IF(COUNT(L7:N7)=0,"",SUM(L7:N7))</f>
        <v/>
      </c>
      <c r="P7" s="23">
        <f>IF(COUNT(G7,K7,O7)=0,"",ROUND(AVERAGE(G7,K7,O7),2))</f>
        <v/>
      </c>
      <c r="Q7" s="24">
        <f>IF(COUNT(E7,I7,M7)=0,"",ROUND(AVERAGE(E7,I7,M7),2))</f>
        <v/>
      </c>
    </row>
    <row r="8">
      <c r="A8" s="15" t="inlineStr">
        <is>
          <t>S-04</t>
        </is>
      </c>
      <c r="B8" s="21">
        <f>IF(A8="","",IFERROR(INDEX(작품목록!$B$4:$B$103,MATCH(A8,작품목록!$A$4:$A$103,0)),"번호 확인"))</f>
        <v/>
      </c>
      <c r="C8" s="22">
        <f>IF(A8="","",IFERROR(INDEX(작품목록!$F$4:$F$103,MATCH(A8,작품목록!$A$4:$A$103,0)),"작품목록에 없음"))</f>
        <v/>
      </c>
      <c r="D8" s="15" t="n">
        <v>10</v>
      </c>
      <c r="E8" s="15" t="n">
        <v>12</v>
      </c>
      <c r="F8" s="15" t="n">
        <v>10</v>
      </c>
      <c r="G8" s="21">
        <f>IF(COUNT(D8:F8)=0,"",SUM(D8:F8))</f>
        <v/>
      </c>
      <c r="H8" s="15" t="n">
        <v>10</v>
      </c>
      <c r="I8" s="15" t="n">
        <v>13</v>
      </c>
      <c r="J8" s="15" t="n">
        <v>9</v>
      </c>
      <c r="K8" s="21">
        <f>IF(COUNT(H8:J8)=0,"",SUM(H8:J8))</f>
        <v/>
      </c>
      <c r="L8" s="15" t="n">
        <v>10</v>
      </c>
      <c r="M8" s="15" t="n">
        <v>13</v>
      </c>
      <c r="N8" s="15" t="n">
        <v>10</v>
      </c>
      <c r="O8" s="21">
        <f>IF(COUNT(L8:N8)=0,"",SUM(L8:N8))</f>
        <v/>
      </c>
      <c r="P8" s="23">
        <f>IF(COUNT(G8,K8,O8)=0,"",ROUND(AVERAGE(G8,K8,O8),2))</f>
        <v/>
      </c>
      <c r="Q8" s="24">
        <f>IF(COUNT(E8,I8,M8)=0,"",ROUND(AVERAGE(E8,I8,M8),2))</f>
        <v/>
      </c>
    </row>
    <row r="9">
      <c r="A9" s="15" t="inlineStr">
        <is>
          <t>S-05</t>
        </is>
      </c>
      <c r="B9" s="21">
        <f>IF(A9="","",IFERROR(INDEX(작품목록!$B$4:$B$103,MATCH(A9,작품목록!$A$4:$A$103,0)),"번호 확인"))</f>
        <v/>
      </c>
      <c r="C9" s="22">
        <f>IF(A9="","",IFERROR(INDEX(작품목록!$F$4:$F$103,MATCH(A9,작품목록!$A$4:$A$103,0)),"작품목록에 없음"))</f>
        <v/>
      </c>
      <c r="D9" s="15" t="n">
        <v>12</v>
      </c>
      <c r="E9" s="15" t="n">
        <v>17</v>
      </c>
      <c r="F9" s="15" t="n">
        <v>12</v>
      </c>
      <c r="G9" s="21">
        <f>IF(COUNT(D9:F9)=0,"",SUM(D9:F9))</f>
        <v/>
      </c>
      <c r="H9" s="15" t="n">
        <v>13</v>
      </c>
      <c r="I9" s="15" t="n">
        <v>16</v>
      </c>
      <c r="J9" s="15" t="n">
        <v>12</v>
      </c>
      <c r="K9" s="21">
        <f>IF(COUNT(H9:J9)=0,"",SUM(H9:J9))</f>
        <v/>
      </c>
      <c r="L9" s="15" t="n">
        <v>14</v>
      </c>
      <c r="M9" s="15" t="n">
        <v>16</v>
      </c>
      <c r="N9" s="15" t="n">
        <v>13</v>
      </c>
      <c r="O9" s="21">
        <f>IF(COUNT(L9:N9)=0,"",SUM(L9:N9))</f>
        <v/>
      </c>
      <c r="P9" s="23">
        <f>IF(COUNT(G9,K9,O9)=0,"",ROUND(AVERAGE(G9,K9,O9),2))</f>
        <v/>
      </c>
      <c r="Q9" s="24">
        <f>IF(COUNT(E9,I9,M9)=0,"",ROUND(AVERAGE(E9,I9,M9),2))</f>
        <v/>
      </c>
    </row>
    <row r="10">
      <c r="A10" s="15" t="inlineStr">
        <is>
          <t>S-06</t>
        </is>
      </c>
      <c r="B10" s="21">
        <f>IF(A10="","",IFERROR(INDEX(작품목록!$B$4:$B$103,MATCH(A10,작품목록!$A$4:$A$103,0)),"번호 확인"))</f>
        <v/>
      </c>
      <c r="C10" s="22">
        <f>IF(A10="","",IFERROR(INDEX(작품목록!$F$4:$F$103,MATCH(A10,작품목록!$A$4:$A$103,0)),"작품목록에 없음"))</f>
        <v/>
      </c>
      <c r="D10" s="15" t="n">
        <v>10</v>
      </c>
      <c r="E10" s="15" t="n">
        <v>13</v>
      </c>
      <c r="F10" s="15" t="n">
        <v>9</v>
      </c>
      <c r="G10" s="21">
        <f>IF(COUNT(D10:F10)=0,"",SUM(D10:F10))</f>
        <v/>
      </c>
      <c r="H10" s="15" t="n">
        <v>10</v>
      </c>
      <c r="I10" s="15" t="n">
        <v>12</v>
      </c>
      <c r="J10" s="15" t="n">
        <v>9</v>
      </c>
      <c r="K10" s="21">
        <f>IF(COUNT(H10:J10)=0,"",SUM(H10:J10))</f>
        <v/>
      </c>
      <c r="L10" s="15" t="n">
        <v>10</v>
      </c>
      <c r="M10" s="15" t="n">
        <v>12</v>
      </c>
      <c r="N10" s="15" t="n">
        <v>9</v>
      </c>
      <c r="O10" s="21">
        <f>IF(COUNT(L10:N10)=0,"",SUM(L10:N10))</f>
        <v/>
      </c>
      <c r="P10" s="23">
        <f>IF(COUNT(G10,K10,O10)=0,"",ROUND(AVERAGE(G10,K10,O10),2))</f>
        <v/>
      </c>
      <c r="Q10" s="24">
        <f>IF(COUNT(E10,I10,M10)=0,"",ROUND(AVERAGE(E10,I10,M10),2))</f>
        <v/>
      </c>
    </row>
    <row r="11">
      <c r="A11" s="15" t="inlineStr">
        <is>
          <t>S-07</t>
        </is>
      </c>
      <c r="B11" s="21">
        <f>IF(A11="","",IFERROR(INDEX(작품목록!$B$4:$B$103,MATCH(A11,작품목록!$A$4:$A$103,0)),"번호 확인"))</f>
        <v/>
      </c>
      <c r="C11" s="22">
        <f>IF(A11="","",IFERROR(INDEX(작품목록!$F$4:$F$103,MATCH(A11,작품목록!$A$4:$A$103,0)),"작품목록에 없음"))</f>
        <v/>
      </c>
      <c r="D11" s="15" t="n">
        <v>11</v>
      </c>
      <c r="E11" s="15" t="n">
        <v>14</v>
      </c>
      <c r="F11" s="15" t="n">
        <v>11</v>
      </c>
      <c r="G11" s="21">
        <f>IF(COUNT(D11:F11)=0,"",SUM(D11:F11))</f>
        <v/>
      </c>
      <c r="H11" s="15" t="n">
        <v>12</v>
      </c>
      <c r="I11" s="15" t="n">
        <v>16</v>
      </c>
      <c r="J11" s="15" t="n">
        <v>11</v>
      </c>
      <c r="K11" s="21">
        <f>IF(COUNT(H11:J11)=0,"",SUM(H11:J11))</f>
        <v/>
      </c>
      <c r="L11" s="15" t="n">
        <v>10</v>
      </c>
      <c r="M11" s="15" t="n">
        <v>14</v>
      </c>
      <c r="N11" s="15" t="n">
        <v>10</v>
      </c>
      <c r="O11" s="21">
        <f>IF(COUNT(L11:N11)=0,"",SUM(L11:N11))</f>
        <v/>
      </c>
      <c r="P11" s="23">
        <f>IF(COUNT(G11,K11,O11)=0,"",ROUND(AVERAGE(G11,K11,O11),2))</f>
        <v/>
      </c>
      <c r="Q11" s="24">
        <f>IF(COUNT(E11,I11,M11)=0,"",ROUND(AVERAGE(E11,I11,M11),2))</f>
        <v/>
      </c>
    </row>
    <row r="12">
      <c r="A12" s="15" t="inlineStr">
        <is>
          <t>S-08</t>
        </is>
      </c>
      <c r="B12" s="21">
        <f>IF(A12="","",IFERROR(INDEX(작품목록!$B$4:$B$103,MATCH(A12,작품목록!$A$4:$A$103,0)),"번호 확인"))</f>
        <v/>
      </c>
      <c r="C12" s="22">
        <f>IF(A12="","",IFERROR(INDEX(작품목록!$F$4:$F$103,MATCH(A12,작품목록!$A$4:$A$103,0)),"작품목록에 없음"))</f>
        <v/>
      </c>
      <c r="D12" s="15" t="n">
        <v>10</v>
      </c>
      <c r="E12" s="15" t="n">
        <v>15</v>
      </c>
      <c r="F12" s="15" t="n">
        <v>11</v>
      </c>
      <c r="G12" s="21">
        <f>IF(COUNT(D12:F12)=0,"",SUM(D12:F12))</f>
        <v/>
      </c>
      <c r="H12" s="15" t="n">
        <v>12</v>
      </c>
      <c r="I12" s="15" t="n">
        <v>14</v>
      </c>
      <c r="J12" s="15" t="n">
        <v>11</v>
      </c>
      <c r="K12" s="21">
        <f>IF(COUNT(H12:J12)=0,"",SUM(H12:J12))</f>
        <v/>
      </c>
      <c r="L12" s="15" t="n">
        <v>11</v>
      </c>
      <c r="M12" s="15" t="n">
        <v>15</v>
      </c>
      <c r="N12" s="15" t="n">
        <v>11</v>
      </c>
      <c r="O12" s="21">
        <f>IF(COUNT(L12:N12)=0,"",SUM(L12:N12))</f>
        <v/>
      </c>
      <c r="P12" s="23">
        <f>IF(COUNT(G12,K12,O12)=0,"",ROUND(AVERAGE(G12,K12,O12),2))</f>
        <v/>
      </c>
      <c r="Q12" s="24">
        <f>IF(COUNT(E12,I12,M12)=0,"",ROUND(AVERAGE(E12,I12,M12),2))</f>
        <v/>
      </c>
    </row>
    <row r="13">
      <c r="A13" s="15" t="n"/>
      <c r="B13" s="21">
        <f>IF(A13="","",IFERROR(INDEX(작품목록!$B$4:$B$103,MATCH(A13,작품목록!$A$4:$A$103,0)),"번호 확인"))</f>
        <v/>
      </c>
      <c r="C13" s="22">
        <f>IF(A13="","",IFERROR(INDEX(작품목록!$F$4:$F$103,MATCH(A13,작품목록!$A$4:$A$103,0)),"작품목록에 없음"))</f>
        <v/>
      </c>
      <c r="D13" s="15" t="n"/>
      <c r="E13" s="15" t="n"/>
      <c r="F13" s="15" t="n"/>
      <c r="G13" s="21">
        <f>IF(COUNT(D13:F13)=0,"",SUM(D13:F13))</f>
        <v/>
      </c>
      <c r="H13" s="15" t="n"/>
      <c r="I13" s="15" t="n"/>
      <c r="J13" s="15" t="n"/>
      <c r="K13" s="21">
        <f>IF(COUNT(H13:J13)=0,"",SUM(H13:J13))</f>
        <v/>
      </c>
      <c r="L13" s="15" t="n"/>
      <c r="M13" s="15" t="n"/>
      <c r="N13" s="15" t="n"/>
      <c r="O13" s="21">
        <f>IF(COUNT(L13:N13)=0,"",SUM(L13:N13))</f>
        <v/>
      </c>
      <c r="P13" s="23">
        <f>IF(COUNT(G13,K13,O13)=0,"",ROUND(AVERAGE(G13,K13,O13),2))</f>
        <v/>
      </c>
      <c r="Q13" s="24">
        <f>IF(COUNT(E13,I13,M13)=0,"",ROUND(AVERAGE(E13,I13,M13),2))</f>
        <v/>
      </c>
    </row>
    <row r="14">
      <c r="A14" s="15" t="n"/>
      <c r="B14" s="21">
        <f>IF(A14="","",IFERROR(INDEX(작품목록!$B$4:$B$103,MATCH(A14,작품목록!$A$4:$A$103,0)),"번호 확인"))</f>
        <v/>
      </c>
      <c r="C14" s="22">
        <f>IF(A14="","",IFERROR(INDEX(작품목록!$F$4:$F$103,MATCH(A14,작품목록!$A$4:$A$103,0)),"작품목록에 없음"))</f>
        <v/>
      </c>
      <c r="D14" s="15" t="n"/>
      <c r="E14" s="15" t="n"/>
      <c r="F14" s="15" t="n"/>
      <c r="G14" s="21">
        <f>IF(COUNT(D14:F14)=0,"",SUM(D14:F14))</f>
        <v/>
      </c>
      <c r="H14" s="15" t="n"/>
      <c r="I14" s="15" t="n"/>
      <c r="J14" s="15" t="n"/>
      <c r="K14" s="21">
        <f>IF(COUNT(H14:J14)=0,"",SUM(H14:J14))</f>
        <v/>
      </c>
      <c r="L14" s="15" t="n"/>
      <c r="M14" s="15" t="n"/>
      <c r="N14" s="15" t="n"/>
      <c r="O14" s="21">
        <f>IF(COUNT(L14:N14)=0,"",SUM(L14:N14))</f>
        <v/>
      </c>
      <c r="P14" s="23">
        <f>IF(COUNT(G14,K14,O14)=0,"",ROUND(AVERAGE(G14,K14,O14),2))</f>
        <v/>
      </c>
      <c r="Q14" s="24">
        <f>IF(COUNT(E14,I14,M14)=0,"",ROUND(AVERAGE(E14,I14,M14),2))</f>
        <v/>
      </c>
    </row>
    <row r="15">
      <c r="A15" s="15" t="n"/>
      <c r="B15" s="21">
        <f>IF(A15="","",IFERROR(INDEX(작품목록!$B$4:$B$103,MATCH(A15,작품목록!$A$4:$A$103,0)),"번호 확인"))</f>
        <v/>
      </c>
      <c r="C15" s="22">
        <f>IF(A15="","",IFERROR(INDEX(작품목록!$F$4:$F$103,MATCH(A15,작품목록!$A$4:$A$103,0)),"작품목록에 없음"))</f>
        <v/>
      </c>
      <c r="D15" s="15" t="n"/>
      <c r="E15" s="15" t="n"/>
      <c r="F15" s="15" t="n"/>
      <c r="G15" s="21">
        <f>IF(COUNT(D15:F15)=0,"",SUM(D15:F15))</f>
        <v/>
      </c>
      <c r="H15" s="15" t="n"/>
      <c r="I15" s="15" t="n"/>
      <c r="J15" s="15" t="n"/>
      <c r="K15" s="21">
        <f>IF(COUNT(H15:J15)=0,"",SUM(H15:J15))</f>
        <v/>
      </c>
      <c r="L15" s="15" t="n"/>
      <c r="M15" s="15" t="n"/>
      <c r="N15" s="15" t="n"/>
      <c r="O15" s="21">
        <f>IF(COUNT(L15:N15)=0,"",SUM(L15:N15))</f>
        <v/>
      </c>
      <c r="P15" s="23">
        <f>IF(COUNT(G15,K15,O15)=0,"",ROUND(AVERAGE(G15,K15,O15),2))</f>
        <v/>
      </c>
      <c r="Q15" s="24">
        <f>IF(COUNT(E15,I15,M15)=0,"",ROUND(AVERAGE(E15,I15,M15),2))</f>
        <v/>
      </c>
    </row>
    <row r="16">
      <c r="A16" s="15" t="n"/>
      <c r="B16" s="21">
        <f>IF(A16="","",IFERROR(INDEX(작품목록!$B$4:$B$103,MATCH(A16,작품목록!$A$4:$A$103,0)),"번호 확인"))</f>
        <v/>
      </c>
      <c r="C16" s="22">
        <f>IF(A16="","",IFERROR(INDEX(작품목록!$F$4:$F$103,MATCH(A16,작품목록!$A$4:$A$103,0)),"작품목록에 없음"))</f>
        <v/>
      </c>
      <c r="D16" s="15" t="n"/>
      <c r="E16" s="15" t="n"/>
      <c r="F16" s="15" t="n"/>
      <c r="G16" s="21">
        <f>IF(COUNT(D16:F16)=0,"",SUM(D16:F16))</f>
        <v/>
      </c>
      <c r="H16" s="15" t="n"/>
      <c r="I16" s="15" t="n"/>
      <c r="J16" s="15" t="n"/>
      <c r="K16" s="21">
        <f>IF(COUNT(H16:J16)=0,"",SUM(H16:J16))</f>
        <v/>
      </c>
      <c r="L16" s="15" t="n"/>
      <c r="M16" s="15" t="n"/>
      <c r="N16" s="15" t="n"/>
      <c r="O16" s="21">
        <f>IF(COUNT(L16:N16)=0,"",SUM(L16:N16))</f>
        <v/>
      </c>
      <c r="P16" s="23">
        <f>IF(COUNT(G16,K16,O16)=0,"",ROUND(AVERAGE(G16,K16,O16),2))</f>
        <v/>
      </c>
      <c r="Q16" s="24">
        <f>IF(COUNT(E16,I16,M16)=0,"",ROUND(AVERAGE(E16,I16,M16),2))</f>
        <v/>
      </c>
    </row>
    <row r="17">
      <c r="A17" s="15" t="n"/>
      <c r="B17" s="21">
        <f>IF(A17="","",IFERROR(INDEX(작품목록!$B$4:$B$103,MATCH(A17,작품목록!$A$4:$A$103,0)),"번호 확인"))</f>
        <v/>
      </c>
      <c r="C17" s="22">
        <f>IF(A17="","",IFERROR(INDEX(작품목록!$F$4:$F$103,MATCH(A17,작품목록!$A$4:$A$103,0)),"작품목록에 없음"))</f>
        <v/>
      </c>
      <c r="D17" s="15" t="n"/>
      <c r="E17" s="15" t="n"/>
      <c r="F17" s="15" t="n"/>
      <c r="G17" s="21">
        <f>IF(COUNT(D17:F17)=0,"",SUM(D17:F17))</f>
        <v/>
      </c>
      <c r="H17" s="15" t="n"/>
      <c r="I17" s="15" t="n"/>
      <c r="J17" s="15" t="n"/>
      <c r="K17" s="21">
        <f>IF(COUNT(H17:J17)=0,"",SUM(H17:J17))</f>
        <v/>
      </c>
      <c r="L17" s="15" t="n"/>
      <c r="M17" s="15" t="n"/>
      <c r="N17" s="15" t="n"/>
      <c r="O17" s="21">
        <f>IF(COUNT(L17:N17)=0,"",SUM(L17:N17))</f>
        <v/>
      </c>
      <c r="P17" s="23">
        <f>IF(COUNT(G17,K17,O17)=0,"",ROUND(AVERAGE(G17,K17,O17),2))</f>
        <v/>
      </c>
      <c r="Q17" s="24">
        <f>IF(COUNT(E17,I17,M17)=0,"",ROUND(AVERAGE(E17,I17,M17),2))</f>
        <v/>
      </c>
    </row>
    <row r="18">
      <c r="A18" s="15" t="n"/>
      <c r="B18" s="21">
        <f>IF(A18="","",IFERROR(INDEX(작품목록!$B$4:$B$103,MATCH(A18,작품목록!$A$4:$A$103,0)),"번호 확인"))</f>
        <v/>
      </c>
      <c r="C18" s="22">
        <f>IF(A18="","",IFERROR(INDEX(작품목록!$F$4:$F$103,MATCH(A18,작품목록!$A$4:$A$103,0)),"작품목록에 없음"))</f>
        <v/>
      </c>
      <c r="D18" s="15" t="n"/>
      <c r="E18" s="15" t="n"/>
      <c r="F18" s="15" t="n"/>
      <c r="G18" s="21">
        <f>IF(COUNT(D18:F18)=0,"",SUM(D18:F18))</f>
        <v/>
      </c>
      <c r="H18" s="15" t="n"/>
      <c r="I18" s="15" t="n"/>
      <c r="J18" s="15" t="n"/>
      <c r="K18" s="21">
        <f>IF(COUNT(H18:J18)=0,"",SUM(H18:J18))</f>
        <v/>
      </c>
      <c r="L18" s="15" t="n"/>
      <c r="M18" s="15" t="n"/>
      <c r="N18" s="15" t="n"/>
      <c r="O18" s="21">
        <f>IF(COUNT(L18:N18)=0,"",SUM(L18:N18))</f>
        <v/>
      </c>
      <c r="P18" s="23">
        <f>IF(COUNT(G18,K18,O18)=0,"",ROUND(AVERAGE(G18,K18,O18),2))</f>
        <v/>
      </c>
      <c r="Q18" s="24">
        <f>IF(COUNT(E18,I18,M18)=0,"",ROUND(AVERAGE(E18,I18,M18),2))</f>
        <v/>
      </c>
    </row>
    <row r="19">
      <c r="A19" s="15" t="n"/>
      <c r="B19" s="21">
        <f>IF(A19="","",IFERROR(INDEX(작품목록!$B$4:$B$103,MATCH(A19,작품목록!$A$4:$A$103,0)),"번호 확인"))</f>
        <v/>
      </c>
      <c r="C19" s="22">
        <f>IF(A19="","",IFERROR(INDEX(작품목록!$F$4:$F$103,MATCH(A19,작품목록!$A$4:$A$103,0)),"작품목록에 없음"))</f>
        <v/>
      </c>
      <c r="D19" s="15" t="n"/>
      <c r="E19" s="15" t="n"/>
      <c r="F19" s="15" t="n"/>
      <c r="G19" s="21">
        <f>IF(COUNT(D19:F19)=0,"",SUM(D19:F19))</f>
        <v/>
      </c>
      <c r="H19" s="15" t="n"/>
      <c r="I19" s="15" t="n"/>
      <c r="J19" s="15" t="n"/>
      <c r="K19" s="21">
        <f>IF(COUNT(H19:J19)=0,"",SUM(H19:J19))</f>
        <v/>
      </c>
      <c r="L19" s="15" t="n"/>
      <c r="M19" s="15" t="n"/>
      <c r="N19" s="15" t="n"/>
      <c r="O19" s="21">
        <f>IF(COUNT(L19:N19)=0,"",SUM(L19:N19))</f>
        <v/>
      </c>
      <c r="P19" s="23">
        <f>IF(COUNT(G19,K19,O19)=0,"",ROUND(AVERAGE(G19,K19,O19),2))</f>
        <v/>
      </c>
      <c r="Q19" s="24">
        <f>IF(COUNT(E19,I19,M19)=0,"",ROUND(AVERAGE(E19,I19,M19),2))</f>
        <v/>
      </c>
    </row>
    <row r="20">
      <c r="A20" s="15" t="n"/>
      <c r="B20" s="21">
        <f>IF(A20="","",IFERROR(INDEX(작품목록!$B$4:$B$103,MATCH(A20,작품목록!$A$4:$A$103,0)),"번호 확인"))</f>
        <v/>
      </c>
      <c r="C20" s="22">
        <f>IF(A20="","",IFERROR(INDEX(작품목록!$F$4:$F$103,MATCH(A20,작품목록!$A$4:$A$103,0)),"작품목록에 없음"))</f>
        <v/>
      </c>
      <c r="D20" s="15" t="n"/>
      <c r="E20" s="15" t="n"/>
      <c r="F20" s="15" t="n"/>
      <c r="G20" s="21">
        <f>IF(COUNT(D20:F20)=0,"",SUM(D20:F20))</f>
        <v/>
      </c>
      <c r="H20" s="15" t="n"/>
      <c r="I20" s="15" t="n"/>
      <c r="J20" s="15" t="n"/>
      <c r="K20" s="21">
        <f>IF(COUNT(H20:J20)=0,"",SUM(H20:J20))</f>
        <v/>
      </c>
      <c r="L20" s="15" t="n"/>
      <c r="M20" s="15" t="n"/>
      <c r="N20" s="15" t="n"/>
      <c r="O20" s="21">
        <f>IF(COUNT(L20:N20)=0,"",SUM(L20:N20))</f>
        <v/>
      </c>
      <c r="P20" s="23">
        <f>IF(COUNT(G20,K20,O20)=0,"",ROUND(AVERAGE(G20,K20,O20),2))</f>
        <v/>
      </c>
      <c r="Q20" s="24">
        <f>IF(COUNT(E20,I20,M20)=0,"",ROUND(AVERAGE(E20,I20,M20),2))</f>
        <v/>
      </c>
    </row>
    <row r="21">
      <c r="A21" s="15" t="n"/>
      <c r="B21" s="21">
        <f>IF(A21="","",IFERROR(INDEX(작품목록!$B$4:$B$103,MATCH(A21,작품목록!$A$4:$A$103,0)),"번호 확인"))</f>
        <v/>
      </c>
      <c r="C21" s="22">
        <f>IF(A21="","",IFERROR(INDEX(작품목록!$F$4:$F$103,MATCH(A21,작품목록!$A$4:$A$103,0)),"작품목록에 없음"))</f>
        <v/>
      </c>
      <c r="D21" s="15" t="n"/>
      <c r="E21" s="15" t="n"/>
      <c r="F21" s="15" t="n"/>
      <c r="G21" s="21">
        <f>IF(COUNT(D21:F21)=0,"",SUM(D21:F21))</f>
        <v/>
      </c>
      <c r="H21" s="15" t="n"/>
      <c r="I21" s="15" t="n"/>
      <c r="J21" s="15" t="n"/>
      <c r="K21" s="21">
        <f>IF(COUNT(H21:J21)=0,"",SUM(H21:J21))</f>
        <v/>
      </c>
      <c r="L21" s="15" t="n"/>
      <c r="M21" s="15" t="n"/>
      <c r="N21" s="15" t="n"/>
      <c r="O21" s="21">
        <f>IF(COUNT(L21:N21)=0,"",SUM(L21:N21))</f>
        <v/>
      </c>
      <c r="P21" s="23">
        <f>IF(COUNT(G21,K21,O21)=0,"",ROUND(AVERAGE(G21,K21,O21),2))</f>
        <v/>
      </c>
      <c r="Q21" s="24">
        <f>IF(COUNT(E21,I21,M21)=0,"",ROUND(AVERAGE(E21,I21,M21),2))</f>
        <v/>
      </c>
    </row>
    <row r="22">
      <c r="A22" s="15" t="n"/>
      <c r="B22" s="21">
        <f>IF(A22="","",IFERROR(INDEX(작품목록!$B$4:$B$103,MATCH(A22,작품목록!$A$4:$A$103,0)),"번호 확인"))</f>
        <v/>
      </c>
      <c r="C22" s="22">
        <f>IF(A22="","",IFERROR(INDEX(작품목록!$F$4:$F$103,MATCH(A22,작품목록!$A$4:$A$103,0)),"작품목록에 없음"))</f>
        <v/>
      </c>
      <c r="D22" s="15" t="n"/>
      <c r="E22" s="15" t="n"/>
      <c r="F22" s="15" t="n"/>
      <c r="G22" s="21">
        <f>IF(COUNT(D22:F22)=0,"",SUM(D22:F22))</f>
        <v/>
      </c>
      <c r="H22" s="15" t="n"/>
      <c r="I22" s="15" t="n"/>
      <c r="J22" s="15" t="n"/>
      <c r="K22" s="21">
        <f>IF(COUNT(H22:J22)=0,"",SUM(H22:J22))</f>
        <v/>
      </c>
      <c r="L22" s="15" t="n"/>
      <c r="M22" s="15" t="n"/>
      <c r="N22" s="15" t="n"/>
      <c r="O22" s="21">
        <f>IF(COUNT(L22:N22)=0,"",SUM(L22:N22))</f>
        <v/>
      </c>
      <c r="P22" s="23">
        <f>IF(COUNT(G22,K22,O22)=0,"",ROUND(AVERAGE(G22,K22,O22),2))</f>
        <v/>
      </c>
      <c r="Q22" s="24">
        <f>IF(COUNT(E22,I22,M22)=0,"",ROUND(AVERAGE(E22,I22,M22),2))</f>
        <v/>
      </c>
    </row>
    <row r="23">
      <c r="A23" s="15" t="n"/>
      <c r="B23" s="21">
        <f>IF(A23="","",IFERROR(INDEX(작품목록!$B$4:$B$103,MATCH(A23,작품목록!$A$4:$A$103,0)),"번호 확인"))</f>
        <v/>
      </c>
      <c r="C23" s="22">
        <f>IF(A23="","",IFERROR(INDEX(작품목록!$F$4:$F$103,MATCH(A23,작품목록!$A$4:$A$103,0)),"작품목록에 없음"))</f>
        <v/>
      </c>
      <c r="D23" s="15" t="n"/>
      <c r="E23" s="15" t="n"/>
      <c r="F23" s="15" t="n"/>
      <c r="G23" s="21">
        <f>IF(COUNT(D23:F23)=0,"",SUM(D23:F23))</f>
        <v/>
      </c>
      <c r="H23" s="15" t="n"/>
      <c r="I23" s="15" t="n"/>
      <c r="J23" s="15" t="n"/>
      <c r="K23" s="21">
        <f>IF(COUNT(H23:J23)=0,"",SUM(H23:J23))</f>
        <v/>
      </c>
      <c r="L23" s="15" t="n"/>
      <c r="M23" s="15" t="n"/>
      <c r="N23" s="15" t="n"/>
      <c r="O23" s="21">
        <f>IF(COUNT(L23:N23)=0,"",SUM(L23:N23))</f>
        <v/>
      </c>
      <c r="P23" s="23">
        <f>IF(COUNT(G23,K23,O23)=0,"",ROUND(AVERAGE(G23,K23,O23),2))</f>
        <v/>
      </c>
      <c r="Q23" s="24">
        <f>IF(COUNT(E23,I23,M23)=0,"",ROUND(AVERAGE(E23,I23,M23),2))</f>
        <v/>
      </c>
    </row>
    <row r="24">
      <c r="A24" s="15" t="n"/>
      <c r="B24" s="21">
        <f>IF(A24="","",IFERROR(INDEX(작품목록!$B$4:$B$103,MATCH(A24,작품목록!$A$4:$A$103,0)),"번호 확인"))</f>
        <v/>
      </c>
      <c r="C24" s="22">
        <f>IF(A24="","",IFERROR(INDEX(작품목록!$F$4:$F$103,MATCH(A24,작품목록!$A$4:$A$103,0)),"작품목록에 없음"))</f>
        <v/>
      </c>
      <c r="D24" s="15" t="n"/>
      <c r="E24" s="15" t="n"/>
      <c r="F24" s="15" t="n"/>
      <c r="G24" s="21">
        <f>IF(COUNT(D24:F24)=0,"",SUM(D24:F24))</f>
        <v/>
      </c>
      <c r="H24" s="15" t="n"/>
      <c r="I24" s="15" t="n"/>
      <c r="J24" s="15" t="n"/>
      <c r="K24" s="21">
        <f>IF(COUNT(H24:J24)=0,"",SUM(H24:J24))</f>
        <v/>
      </c>
      <c r="L24" s="15" t="n"/>
      <c r="M24" s="15" t="n"/>
      <c r="N24" s="15" t="n"/>
      <c r="O24" s="21">
        <f>IF(COUNT(L24:N24)=0,"",SUM(L24:N24))</f>
        <v/>
      </c>
      <c r="P24" s="23">
        <f>IF(COUNT(G24,K24,O24)=0,"",ROUND(AVERAGE(G24,K24,O24),2))</f>
        <v/>
      </c>
      <c r="Q24" s="24">
        <f>IF(COUNT(E24,I24,M24)=0,"",ROUND(AVERAGE(E24,I24,M24),2))</f>
        <v/>
      </c>
    </row>
    <row r="25">
      <c r="A25" s="15" t="n"/>
      <c r="B25" s="21">
        <f>IF(A25="","",IFERROR(INDEX(작품목록!$B$4:$B$103,MATCH(A25,작품목록!$A$4:$A$103,0)),"번호 확인"))</f>
        <v/>
      </c>
      <c r="C25" s="22">
        <f>IF(A25="","",IFERROR(INDEX(작품목록!$F$4:$F$103,MATCH(A25,작품목록!$A$4:$A$103,0)),"작품목록에 없음"))</f>
        <v/>
      </c>
      <c r="D25" s="15" t="n"/>
      <c r="E25" s="15" t="n"/>
      <c r="F25" s="15" t="n"/>
      <c r="G25" s="21">
        <f>IF(COUNT(D25:F25)=0,"",SUM(D25:F25))</f>
        <v/>
      </c>
      <c r="H25" s="15" t="n"/>
      <c r="I25" s="15" t="n"/>
      <c r="J25" s="15" t="n"/>
      <c r="K25" s="21">
        <f>IF(COUNT(H25:J25)=0,"",SUM(H25:J25))</f>
        <v/>
      </c>
      <c r="L25" s="15" t="n"/>
      <c r="M25" s="15" t="n"/>
      <c r="N25" s="15" t="n"/>
      <c r="O25" s="21">
        <f>IF(COUNT(L25:N25)=0,"",SUM(L25:N25))</f>
        <v/>
      </c>
      <c r="P25" s="23">
        <f>IF(COUNT(G25,K25,O25)=0,"",ROUND(AVERAGE(G25,K25,O25),2))</f>
        <v/>
      </c>
      <c r="Q25" s="24">
        <f>IF(COUNT(E25,I25,M25)=0,"",ROUND(AVERAGE(E25,I25,M25),2))</f>
        <v/>
      </c>
    </row>
    <row r="26">
      <c r="A26" s="15" t="n"/>
      <c r="B26" s="21">
        <f>IF(A26="","",IFERROR(INDEX(작품목록!$B$4:$B$103,MATCH(A26,작품목록!$A$4:$A$103,0)),"번호 확인"))</f>
        <v/>
      </c>
      <c r="C26" s="22">
        <f>IF(A26="","",IFERROR(INDEX(작품목록!$F$4:$F$103,MATCH(A26,작품목록!$A$4:$A$103,0)),"작품목록에 없음"))</f>
        <v/>
      </c>
      <c r="D26" s="15" t="n"/>
      <c r="E26" s="15" t="n"/>
      <c r="F26" s="15" t="n"/>
      <c r="G26" s="21">
        <f>IF(COUNT(D26:F26)=0,"",SUM(D26:F26))</f>
        <v/>
      </c>
      <c r="H26" s="15" t="n"/>
      <c r="I26" s="15" t="n"/>
      <c r="J26" s="15" t="n"/>
      <c r="K26" s="21">
        <f>IF(COUNT(H26:J26)=0,"",SUM(H26:J26))</f>
        <v/>
      </c>
      <c r="L26" s="15" t="n"/>
      <c r="M26" s="15" t="n"/>
      <c r="N26" s="15" t="n"/>
      <c r="O26" s="21">
        <f>IF(COUNT(L26:N26)=0,"",SUM(L26:N26))</f>
        <v/>
      </c>
      <c r="P26" s="23">
        <f>IF(COUNT(G26,K26,O26)=0,"",ROUND(AVERAGE(G26,K26,O26),2))</f>
        <v/>
      </c>
      <c r="Q26" s="24">
        <f>IF(COUNT(E26,I26,M26)=0,"",ROUND(AVERAGE(E26,I26,M26),2))</f>
        <v/>
      </c>
    </row>
    <row r="27">
      <c r="A27" s="15" t="n"/>
      <c r="B27" s="21">
        <f>IF(A27="","",IFERROR(INDEX(작품목록!$B$4:$B$103,MATCH(A27,작품목록!$A$4:$A$103,0)),"번호 확인"))</f>
        <v/>
      </c>
      <c r="C27" s="22">
        <f>IF(A27="","",IFERROR(INDEX(작품목록!$F$4:$F$103,MATCH(A27,작품목록!$A$4:$A$103,0)),"작품목록에 없음"))</f>
        <v/>
      </c>
      <c r="D27" s="15" t="n"/>
      <c r="E27" s="15" t="n"/>
      <c r="F27" s="15" t="n"/>
      <c r="G27" s="21">
        <f>IF(COUNT(D27:F27)=0,"",SUM(D27:F27))</f>
        <v/>
      </c>
      <c r="H27" s="15" t="n"/>
      <c r="I27" s="15" t="n"/>
      <c r="J27" s="15" t="n"/>
      <c r="K27" s="21">
        <f>IF(COUNT(H27:J27)=0,"",SUM(H27:J27))</f>
        <v/>
      </c>
      <c r="L27" s="15" t="n"/>
      <c r="M27" s="15" t="n"/>
      <c r="N27" s="15" t="n"/>
      <c r="O27" s="21">
        <f>IF(COUNT(L27:N27)=0,"",SUM(L27:N27))</f>
        <v/>
      </c>
      <c r="P27" s="23">
        <f>IF(COUNT(G27,K27,O27)=0,"",ROUND(AVERAGE(G27,K27,O27),2))</f>
        <v/>
      </c>
      <c r="Q27" s="24">
        <f>IF(COUNT(E27,I27,M27)=0,"",ROUND(AVERAGE(E27,I27,M27),2))</f>
        <v/>
      </c>
    </row>
    <row r="28">
      <c r="A28" s="15" t="n"/>
      <c r="B28" s="21">
        <f>IF(A28="","",IFERROR(INDEX(작품목록!$B$4:$B$103,MATCH(A28,작품목록!$A$4:$A$103,0)),"번호 확인"))</f>
        <v/>
      </c>
      <c r="C28" s="22">
        <f>IF(A28="","",IFERROR(INDEX(작품목록!$F$4:$F$103,MATCH(A28,작품목록!$A$4:$A$103,0)),"작품목록에 없음"))</f>
        <v/>
      </c>
      <c r="D28" s="15" t="n"/>
      <c r="E28" s="15" t="n"/>
      <c r="F28" s="15" t="n"/>
      <c r="G28" s="21">
        <f>IF(COUNT(D28:F28)=0,"",SUM(D28:F28))</f>
        <v/>
      </c>
      <c r="H28" s="15" t="n"/>
      <c r="I28" s="15" t="n"/>
      <c r="J28" s="15" t="n"/>
      <c r="K28" s="21">
        <f>IF(COUNT(H28:J28)=0,"",SUM(H28:J28))</f>
        <v/>
      </c>
      <c r="L28" s="15" t="n"/>
      <c r="M28" s="15" t="n"/>
      <c r="N28" s="15" t="n"/>
      <c r="O28" s="21">
        <f>IF(COUNT(L28:N28)=0,"",SUM(L28:N28))</f>
        <v/>
      </c>
      <c r="P28" s="23">
        <f>IF(COUNT(G28,K28,O28)=0,"",ROUND(AVERAGE(G28,K28,O28),2))</f>
        <v/>
      </c>
      <c r="Q28" s="24">
        <f>IF(COUNT(E28,I28,M28)=0,"",ROUND(AVERAGE(E28,I28,M28),2))</f>
        <v/>
      </c>
    </row>
    <row r="29">
      <c r="A29" s="15" t="n"/>
      <c r="B29" s="21">
        <f>IF(A29="","",IFERROR(INDEX(작품목록!$B$4:$B$103,MATCH(A29,작품목록!$A$4:$A$103,0)),"번호 확인"))</f>
        <v/>
      </c>
      <c r="C29" s="22">
        <f>IF(A29="","",IFERROR(INDEX(작품목록!$F$4:$F$103,MATCH(A29,작품목록!$A$4:$A$103,0)),"작품목록에 없음"))</f>
        <v/>
      </c>
      <c r="D29" s="15" t="n"/>
      <c r="E29" s="15" t="n"/>
      <c r="F29" s="15" t="n"/>
      <c r="G29" s="21">
        <f>IF(COUNT(D29:F29)=0,"",SUM(D29:F29))</f>
        <v/>
      </c>
      <c r="H29" s="15" t="n"/>
      <c r="I29" s="15" t="n"/>
      <c r="J29" s="15" t="n"/>
      <c r="K29" s="21">
        <f>IF(COUNT(H29:J29)=0,"",SUM(H29:J29))</f>
        <v/>
      </c>
      <c r="L29" s="15" t="n"/>
      <c r="M29" s="15" t="n"/>
      <c r="N29" s="15" t="n"/>
      <c r="O29" s="21">
        <f>IF(COUNT(L29:N29)=0,"",SUM(L29:N29))</f>
        <v/>
      </c>
      <c r="P29" s="23">
        <f>IF(COUNT(G29,K29,O29)=0,"",ROUND(AVERAGE(G29,K29,O29),2))</f>
        <v/>
      </c>
      <c r="Q29" s="24">
        <f>IF(COUNT(E29,I29,M29)=0,"",ROUND(AVERAGE(E29,I29,M29),2))</f>
        <v/>
      </c>
    </row>
    <row r="30">
      <c r="A30" s="15" t="n"/>
      <c r="B30" s="21">
        <f>IF(A30="","",IFERROR(INDEX(작품목록!$B$4:$B$103,MATCH(A30,작품목록!$A$4:$A$103,0)),"번호 확인"))</f>
        <v/>
      </c>
      <c r="C30" s="22">
        <f>IF(A30="","",IFERROR(INDEX(작품목록!$F$4:$F$103,MATCH(A30,작품목록!$A$4:$A$103,0)),"작품목록에 없음"))</f>
        <v/>
      </c>
      <c r="D30" s="15" t="n"/>
      <c r="E30" s="15" t="n"/>
      <c r="F30" s="15" t="n"/>
      <c r="G30" s="21">
        <f>IF(COUNT(D30:F30)=0,"",SUM(D30:F30))</f>
        <v/>
      </c>
      <c r="H30" s="15" t="n"/>
      <c r="I30" s="15" t="n"/>
      <c r="J30" s="15" t="n"/>
      <c r="K30" s="21">
        <f>IF(COUNT(H30:J30)=0,"",SUM(H30:J30))</f>
        <v/>
      </c>
      <c r="L30" s="15" t="n"/>
      <c r="M30" s="15" t="n"/>
      <c r="N30" s="15" t="n"/>
      <c r="O30" s="21">
        <f>IF(COUNT(L30:N30)=0,"",SUM(L30:N30))</f>
        <v/>
      </c>
      <c r="P30" s="23">
        <f>IF(COUNT(G30,K30,O30)=0,"",ROUND(AVERAGE(G30,K30,O30),2))</f>
        <v/>
      </c>
      <c r="Q30" s="24">
        <f>IF(COUNT(E30,I30,M30)=0,"",ROUND(AVERAGE(E30,I30,M30),2))</f>
        <v/>
      </c>
    </row>
    <row r="31">
      <c r="A31" s="15" t="n"/>
      <c r="B31" s="21">
        <f>IF(A31="","",IFERROR(INDEX(작품목록!$B$4:$B$103,MATCH(A31,작품목록!$A$4:$A$103,0)),"번호 확인"))</f>
        <v/>
      </c>
      <c r="C31" s="22">
        <f>IF(A31="","",IFERROR(INDEX(작품목록!$F$4:$F$103,MATCH(A31,작품목록!$A$4:$A$103,0)),"작품목록에 없음"))</f>
        <v/>
      </c>
      <c r="D31" s="15" t="n"/>
      <c r="E31" s="15" t="n"/>
      <c r="F31" s="15" t="n"/>
      <c r="G31" s="21">
        <f>IF(COUNT(D31:F31)=0,"",SUM(D31:F31))</f>
        <v/>
      </c>
      <c r="H31" s="15" t="n"/>
      <c r="I31" s="15" t="n"/>
      <c r="J31" s="15" t="n"/>
      <c r="K31" s="21">
        <f>IF(COUNT(H31:J31)=0,"",SUM(H31:J31))</f>
        <v/>
      </c>
      <c r="L31" s="15" t="n"/>
      <c r="M31" s="15" t="n"/>
      <c r="N31" s="15" t="n"/>
      <c r="O31" s="21">
        <f>IF(COUNT(L31:N31)=0,"",SUM(L31:N31))</f>
        <v/>
      </c>
      <c r="P31" s="23">
        <f>IF(COUNT(G31,K31,O31)=0,"",ROUND(AVERAGE(G31,K31,O31),2))</f>
        <v/>
      </c>
      <c r="Q31" s="24">
        <f>IF(COUNT(E31,I31,M31)=0,"",ROUND(AVERAGE(E31,I31,M31),2))</f>
        <v/>
      </c>
    </row>
    <row r="32">
      <c r="A32" s="15" t="n"/>
      <c r="B32" s="21">
        <f>IF(A32="","",IFERROR(INDEX(작품목록!$B$4:$B$103,MATCH(A32,작품목록!$A$4:$A$103,0)),"번호 확인"))</f>
        <v/>
      </c>
      <c r="C32" s="22">
        <f>IF(A32="","",IFERROR(INDEX(작품목록!$F$4:$F$103,MATCH(A32,작품목록!$A$4:$A$103,0)),"작품목록에 없음"))</f>
        <v/>
      </c>
      <c r="D32" s="15" t="n"/>
      <c r="E32" s="15" t="n"/>
      <c r="F32" s="15" t="n"/>
      <c r="G32" s="21">
        <f>IF(COUNT(D32:F32)=0,"",SUM(D32:F32))</f>
        <v/>
      </c>
      <c r="H32" s="15" t="n"/>
      <c r="I32" s="15" t="n"/>
      <c r="J32" s="15" t="n"/>
      <c r="K32" s="21">
        <f>IF(COUNT(H32:J32)=0,"",SUM(H32:J32))</f>
        <v/>
      </c>
      <c r="L32" s="15" t="n"/>
      <c r="M32" s="15" t="n"/>
      <c r="N32" s="15" t="n"/>
      <c r="O32" s="21">
        <f>IF(COUNT(L32:N32)=0,"",SUM(L32:N32))</f>
        <v/>
      </c>
      <c r="P32" s="23">
        <f>IF(COUNT(G32,K32,O32)=0,"",ROUND(AVERAGE(G32,K32,O32),2))</f>
        <v/>
      </c>
      <c r="Q32" s="24">
        <f>IF(COUNT(E32,I32,M32)=0,"",ROUND(AVERAGE(E32,I32,M32),2))</f>
        <v/>
      </c>
    </row>
    <row r="33">
      <c r="A33" s="15" t="n"/>
      <c r="B33" s="21">
        <f>IF(A33="","",IFERROR(INDEX(작품목록!$B$4:$B$103,MATCH(A33,작품목록!$A$4:$A$103,0)),"번호 확인"))</f>
        <v/>
      </c>
      <c r="C33" s="22">
        <f>IF(A33="","",IFERROR(INDEX(작품목록!$F$4:$F$103,MATCH(A33,작품목록!$A$4:$A$103,0)),"작품목록에 없음"))</f>
        <v/>
      </c>
      <c r="D33" s="15" t="n"/>
      <c r="E33" s="15" t="n"/>
      <c r="F33" s="15" t="n"/>
      <c r="G33" s="21">
        <f>IF(COUNT(D33:F33)=0,"",SUM(D33:F33))</f>
        <v/>
      </c>
      <c r="H33" s="15" t="n"/>
      <c r="I33" s="15" t="n"/>
      <c r="J33" s="15" t="n"/>
      <c r="K33" s="21">
        <f>IF(COUNT(H33:J33)=0,"",SUM(H33:J33))</f>
        <v/>
      </c>
      <c r="L33" s="15" t="n"/>
      <c r="M33" s="15" t="n"/>
      <c r="N33" s="15" t="n"/>
      <c r="O33" s="21">
        <f>IF(COUNT(L33:N33)=0,"",SUM(L33:N33))</f>
        <v/>
      </c>
      <c r="P33" s="23">
        <f>IF(COUNT(G33,K33,O33)=0,"",ROUND(AVERAGE(G33,K33,O33),2))</f>
        <v/>
      </c>
      <c r="Q33" s="24">
        <f>IF(COUNT(E33,I33,M33)=0,"",ROUND(AVERAGE(E33,I33,M33),2))</f>
        <v/>
      </c>
    </row>
    <row r="34">
      <c r="A34" s="15" t="n"/>
      <c r="B34" s="21">
        <f>IF(A34="","",IFERROR(INDEX(작품목록!$B$4:$B$103,MATCH(A34,작품목록!$A$4:$A$103,0)),"번호 확인"))</f>
        <v/>
      </c>
      <c r="C34" s="22">
        <f>IF(A34="","",IFERROR(INDEX(작품목록!$F$4:$F$103,MATCH(A34,작품목록!$A$4:$A$103,0)),"작품목록에 없음"))</f>
        <v/>
      </c>
      <c r="D34" s="15" t="n"/>
      <c r="E34" s="15" t="n"/>
      <c r="F34" s="15" t="n"/>
      <c r="G34" s="21">
        <f>IF(COUNT(D34:F34)=0,"",SUM(D34:F34))</f>
        <v/>
      </c>
      <c r="H34" s="15" t="n"/>
      <c r="I34" s="15" t="n"/>
      <c r="J34" s="15" t="n"/>
      <c r="K34" s="21">
        <f>IF(COUNT(H34:J34)=0,"",SUM(H34:J34))</f>
        <v/>
      </c>
      <c r="L34" s="15" t="n"/>
      <c r="M34" s="15" t="n"/>
      <c r="N34" s="15" t="n"/>
      <c r="O34" s="21">
        <f>IF(COUNT(L34:N34)=0,"",SUM(L34:N34))</f>
        <v/>
      </c>
      <c r="P34" s="23">
        <f>IF(COUNT(G34,K34,O34)=0,"",ROUND(AVERAGE(G34,K34,O34),2))</f>
        <v/>
      </c>
      <c r="Q34" s="24">
        <f>IF(COUNT(E34,I34,M34)=0,"",ROUND(AVERAGE(E34,I34,M34),2))</f>
        <v/>
      </c>
    </row>
    <row r="35">
      <c r="A35" s="15" t="n"/>
      <c r="B35" s="21">
        <f>IF(A35="","",IFERROR(INDEX(작품목록!$B$4:$B$103,MATCH(A35,작품목록!$A$4:$A$103,0)),"번호 확인"))</f>
        <v/>
      </c>
      <c r="C35" s="22">
        <f>IF(A35="","",IFERROR(INDEX(작품목록!$F$4:$F$103,MATCH(A35,작품목록!$A$4:$A$103,0)),"작품목록에 없음"))</f>
        <v/>
      </c>
      <c r="D35" s="15" t="n"/>
      <c r="E35" s="15" t="n"/>
      <c r="F35" s="15" t="n"/>
      <c r="G35" s="21">
        <f>IF(COUNT(D35:F35)=0,"",SUM(D35:F35))</f>
        <v/>
      </c>
      <c r="H35" s="15" t="n"/>
      <c r="I35" s="15" t="n"/>
      <c r="J35" s="15" t="n"/>
      <c r="K35" s="21">
        <f>IF(COUNT(H35:J35)=0,"",SUM(H35:J35))</f>
        <v/>
      </c>
      <c r="L35" s="15" t="n"/>
      <c r="M35" s="15" t="n"/>
      <c r="N35" s="15" t="n"/>
      <c r="O35" s="21">
        <f>IF(COUNT(L35:N35)=0,"",SUM(L35:N35))</f>
        <v/>
      </c>
      <c r="P35" s="23">
        <f>IF(COUNT(G35,K35,O35)=0,"",ROUND(AVERAGE(G35,K35,O35),2))</f>
        <v/>
      </c>
      <c r="Q35" s="24">
        <f>IF(COUNT(E35,I35,M35)=0,"",ROUND(AVERAGE(E35,I35,M35),2))</f>
        <v/>
      </c>
    </row>
    <row r="36">
      <c r="A36" s="15" t="n"/>
      <c r="B36" s="21">
        <f>IF(A36="","",IFERROR(INDEX(작품목록!$B$4:$B$103,MATCH(A36,작품목록!$A$4:$A$103,0)),"번호 확인"))</f>
        <v/>
      </c>
      <c r="C36" s="22">
        <f>IF(A36="","",IFERROR(INDEX(작품목록!$F$4:$F$103,MATCH(A36,작품목록!$A$4:$A$103,0)),"작품목록에 없음"))</f>
        <v/>
      </c>
      <c r="D36" s="15" t="n"/>
      <c r="E36" s="15" t="n"/>
      <c r="F36" s="15" t="n"/>
      <c r="G36" s="21">
        <f>IF(COUNT(D36:F36)=0,"",SUM(D36:F36))</f>
        <v/>
      </c>
      <c r="H36" s="15" t="n"/>
      <c r="I36" s="15" t="n"/>
      <c r="J36" s="15" t="n"/>
      <c r="K36" s="21">
        <f>IF(COUNT(H36:J36)=0,"",SUM(H36:J36))</f>
        <v/>
      </c>
      <c r="L36" s="15" t="n"/>
      <c r="M36" s="15" t="n"/>
      <c r="N36" s="15" t="n"/>
      <c r="O36" s="21">
        <f>IF(COUNT(L36:N36)=0,"",SUM(L36:N36))</f>
        <v/>
      </c>
      <c r="P36" s="23">
        <f>IF(COUNT(G36,K36,O36)=0,"",ROUND(AVERAGE(G36,K36,O36),2))</f>
        <v/>
      </c>
      <c r="Q36" s="24">
        <f>IF(COUNT(E36,I36,M36)=0,"",ROUND(AVERAGE(E36,I36,M36),2))</f>
        <v/>
      </c>
    </row>
    <row r="37">
      <c r="A37" s="15" t="n"/>
      <c r="B37" s="21">
        <f>IF(A37="","",IFERROR(INDEX(작품목록!$B$4:$B$103,MATCH(A37,작품목록!$A$4:$A$103,0)),"번호 확인"))</f>
        <v/>
      </c>
      <c r="C37" s="22">
        <f>IF(A37="","",IFERROR(INDEX(작품목록!$F$4:$F$103,MATCH(A37,작품목록!$A$4:$A$103,0)),"작품목록에 없음"))</f>
        <v/>
      </c>
      <c r="D37" s="15" t="n"/>
      <c r="E37" s="15" t="n"/>
      <c r="F37" s="15" t="n"/>
      <c r="G37" s="21">
        <f>IF(COUNT(D37:F37)=0,"",SUM(D37:F37))</f>
        <v/>
      </c>
      <c r="H37" s="15" t="n"/>
      <c r="I37" s="15" t="n"/>
      <c r="J37" s="15" t="n"/>
      <c r="K37" s="21">
        <f>IF(COUNT(H37:J37)=0,"",SUM(H37:J37))</f>
        <v/>
      </c>
      <c r="L37" s="15" t="n"/>
      <c r="M37" s="15" t="n"/>
      <c r="N37" s="15" t="n"/>
      <c r="O37" s="21">
        <f>IF(COUNT(L37:N37)=0,"",SUM(L37:N37))</f>
        <v/>
      </c>
      <c r="P37" s="23">
        <f>IF(COUNT(G37,K37,O37)=0,"",ROUND(AVERAGE(G37,K37,O37),2))</f>
        <v/>
      </c>
      <c r="Q37" s="24">
        <f>IF(COUNT(E37,I37,M37)=0,"",ROUND(AVERAGE(E37,I37,M37),2))</f>
        <v/>
      </c>
    </row>
    <row r="38">
      <c r="A38" s="15" t="n"/>
      <c r="B38" s="21">
        <f>IF(A38="","",IFERROR(INDEX(작품목록!$B$4:$B$103,MATCH(A38,작품목록!$A$4:$A$103,0)),"번호 확인"))</f>
        <v/>
      </c>
      <c r="C38" s="22">
        <f>IF(A38="","",IFERROR(INDEX(작품목록!$F$4:$F$103,MATCH(A38,작품목록!$A$4:$A$103,0)),"작품목록에 없음"))</f>
        <v/>
      </c>
      <c r="D38" s="15" t="n"/>
      <c r="E38" s="15" t="n"/>
      <c r="F38" s="15" t="n"/>
      <c r="G38" s="21">
        <f>IF(COUNT(D38:F38)=0,"",SUM(D38:F38))</f>
        <v/>
      </c>
      <c r="H38" s="15" t="n"/>
      <c r="I38" s="15" t="n"/>
      <c r="J38" s="15" t="n"/>
      <c r="K38" s="21">
        <f>IF(COUNT(H38:J38)=0,"",SUM(H38:J38))</f>
        <v/>
      </c>
      <c r="L38" s="15" t="n"/>
      <c r="M38" s="15" t="n"/>
      <c r="N38" s="15" t="n"/>
      <c r="O38" s="21">
        <f>IF(COUNT(L38:N38)=0,"",SUM(L38:N38))</f>
        <v/>
      </c>
      <c r="P38" s="23">
        <f>IF(COUNT(G38,K38,O38)=0,"",ROUND(AVERAGE(G38,K38,O38),2))</f>
        <v/>
      </c>
      <c r="Q38" s="24">
        <f>IF(COUNT(E38,I38,M38)=0,"",ROUND(AVERAGE(E38,I38,M38),2))</f>
        <v/>
      </c>
    </row>
    <row r="39">
      <c r="A39" s="15" t="n"/>
      <c r="B39" s="21">
        <f>IF(A39="","",IFERROR(INDEX(작품목록!$B$4:$B$103,MATCH(A39,작품목록!$A$4:$A$103,0)),"번호 확인"))</f>
        <v/>
      </c>
      <c r="C39" s="22">
        <f>IF(A39="","",IFERROR(INDEX(작품목록!$F$4:$F$103,MATCH(A39,작품목록!$A$4:$A$103,0)),"작품목록에 없음"))</f>
        <v/>
      </c>
      <c r="D39" s="15" t="n"/>
      <c r="E39" s="15" t="n"/>
      <c r="F39" s="15" t="n"/>
      <c r="G39" s="21">
        <f>IF(COUNT(D39:F39)=0,"",SUM(D39:F39))</f>
        <v/>
      </c>
      <c r="H39" s="15" t="n"/>
      <c r="I39" s="15" t="n"/>
      <c r="J39" s="15" t="n"/>
      <c r="K39" s="21">
        <f>IF(COUNT(H39:J39)=0,"",SUM(H39:J39))</f>
        <v/>
      </c>
      <c r="L39" s="15" t="n"/>
      <c r="M39" s="15" t="n"/>
      <c r="N39" s="15" t="n"/>
      <c r="O39" s="21">
        <f>IF(COUNT(L39:N39)=0,"",SUM(L39:N39))</f>
        <v/>
      </c>
      <c r="P39" s="23">
        <f>IF(COUNT(G39,K39,O39)=0,"",ROUND(AVERAGE(G39,K39,O39),2))</f>
        <v/>
      </c>
      <c r="Q39" s="24">
        <f>IF(COUNT(E39,I39,M39)=0,"",ROUND(AVERAGE(E39,I39,M39),2))</f>
        <v/>
      </c>
    </row>
    <row r="40">
      <c r="A40" s="15" t="n"/>
      <c r="B40" s="21">
        <f>IF(A40="","",IFERROR(INDEX(작품목록!$B$4:$B$103,MATCH(A40,작품목록!$A$4:$A$103,0)),"번호 확인"))</f>
        <v/>
      </c>
      <c r="C40" s="22">
        <f>IF(A40="","",IFERROR(INDEX(작품목록!$F$4:$F$103,MATCH(A40,작품목록!$A$4:$A$103,0)),"작품목록에 없음"))</f>
        <v/>
      </c>
      <c r="D40" s="15" t="n"/>
      <c r="E40" s="15" t="n"/>
      <c r="F40" s="15" t="n"/>
      <c r="G40" s="21">
        <f>IF(COUNT(D40:F40)=0,"",SUM(D40:F40))</f>
        <v/>
      </c>
      <c r="H40" s="15" t="n"/>
      <c r="I40" s="15" t="n"/>
      <c r="J40" s="15" t="n"/>
      <c r="K40" s="21">
        <f>IF(COUNT(H40:J40)=0,"",SUM(H40:J40))</f>
        <v/>
      </c>
      <c r="L40" s="15" t="n"/>
      <c r="M40" s="15" t="n"/>
      <c r="N40" s="15" t="n"/>
      <c r="O40" s="21">
        <f>IF(COUNT(L40:N40)=0,"",SUM(L40:N40))</f>
        <v/>
      </c>
      <c r="P40" s="23">
        <f>IF(COUNT(G40,K40,O40)=0,"",ROUND(AVERAGE(G40,K40,O40),2))</f>
        <v/>
      </c>
      <c r="Q40" s="24">
        <f>IF(COUNT(E40,I40,M40)=0,"",ROUND(AVERAGE(E40,I40,M40),2))</f>
        <v/>
      </c>
    </row>
    <row r="41">
      <c r="A41" s="15" t="n"/>
      <c r="B41" s="21">
        <f>IF(A41="","",IFERROR(INDEX(작품목록!$B$4:$B$103,MATCH(A41,작품목록!$A$4:$A$103,0)),"번호 확인"))</f>
        <v/>
      </c>
      <c r="C41" s="22">
        <f>IF(A41="","",IFERROR(INDEX(작품목록!$F$4:$F$103,MATCH(A41,작품목록!$A$4:$A$103,0)),"작품목록에 없음"))</f>
        <v/>
      </c>
      <c r="D41" s="15" t="n"/>
      <c r="E41" s="15" t="n"/>
      <c r="F41" s="15" t="n"/>
      <c r="G41" s="21">
        <f>IF(COUNT(D41:F41)=0,"",SUM(D41:F41))</f>
        <v/>
      </c>
      <c r="H41" s="15" t="n"/>
      <c r="I41" s="15" t="n"/>
      <c r="J41" s="15" t="n"/>
      <c r="K41" s="21">
        <f>IF(COUNT(H41:J41)=0,"",SUM(H41:J41))</f>
        <v/>
      </c>
      <c r="L41" s="15" t="n"/>
      <c r="M41" s="15" t="n"/>
      <c r="N41" s="15" t="n"/>
      <c r="O41" s="21">
        <f>IF(COUNT(L41:N41)=0,"",SUM(L41:N41))</f>
        <v/>
      </c>
      <c r="P41" s="23">
        <f>IF(COUNT(G41,K41,O41)=0,"",ROUND(AVERAGE(G41,K41,O41),2))</f>
        <v/>
      </c>
      <c r="Q41" s="24">
        <f>IF(COUNT(E41,I41,M41)=0,"",ROUND(AVERAGE(E41,I41,M41),2))</f>
        <v/>
      </c>
    </row>
    <row r="42">
      <c r="A42" s="15" t="n"/>
      <c r="B42" s="21">
        <f>IF(A42="","",IFERROR(INDEX(작품목록!$B$4:$B$103,MATCH(A42,작품목록!$A$4:$A$103,0)),"번호 확인"))</f>
        <v/>
      </c>
      <c r="C42" s="22">
        <f>IF(A42="","",IFERROR(INDEX(작품목록!$F$4:$F$103,MATCH(A42,작품목록!$A$4:$A$103,0)),"작품목록에 없음"))</f>
        <v/>
      </c>
      <c r="D42" s="15" t="n"/>
      <c r="E42" s="15" t="n"/>
      <c r="F42" s="15" t="n"/>
      <c r="G42" s="21">
        <f>IF(COUNT(D42:F42)=0,"",SUM(D42:F42))</f>
        <v/>
      </c>
      <c r="H42" s="15" t="n"/>
      <c r="I42" s="15" t="n"/>
      <c r="J42" s="15" t="n"/>
      <c r="K42" s="21">
        <f>IF(COUNT(H42:J42)=0,"",SUM(H42:J42))</f>
        <v/>
      </c>
      <c r="L42" s="15" t="n"/>
      <c r="M42" s="15" t="n"/>
      <c r="N42" s="15" t="n"/>
      <c r="O42" s="21">
        <f>IF(COUNT(L42:N42)=0,"",SUM(L42:N42))</f>
        <v/>
      </c>
      <c r="P42" s="23">
        <f>IF(COUNT(G42,K42,O42)=0,"",ROUND(AVERAGE(G42,K42,O42),2))</f>
        <v/>
      </c>
      <c r="Q42" s="24">
        <f>IF(COUNT(E42,I42,M42)=0,"",ROUND(AVERAGE(E42,I42,M42),2))</f>
        <v/>
      </c>
    </row>
    <row r="43">
      <c r="A43" s="15" t="n"/>
      <c r="B43" s="21">
        <f>IF(A43="","",IFERROR(INDEX(작품목록!$B$4:$B$103,MATCH(A43,작품목록!$A$4:$A$103,0)),"번호 확인"))</f>
        <v/>
      </c>
      <c r="C43" s="22">
        <f>IF(A43="","",IFERROR(INDEX(작품목록!$F$4:$F$103,MATCH(A43,작품목록!$A$4:$A$103,0)),"작품목록에 없음"))</f>
        <v/>
      </c>
      <c r="D43" s="15" t="n"/>
      <c r="E43" s="15" t="n"/>
      <c r="F43" s="15" t="n"/>
      <c r="G43" s="21">
        <f>IF(COUNT(D43:F43)=0,"",SUM(D43:F43))</f>
        <v/>
      </c>
      <c r="H43" s="15" t="n"/>
      <c r="I43" s="15" t="n"/>
      <c r="J43" s="15" t="n"/>
      <c r="K43" s="21">
        <f>IF(COUNT(H43:J43)=0,"",SUM(H43:J43))</f>
        <v/>
      </c>
      <c r="L43" s="15" t="n"/>
      <c r="M43" s="15" t="n"/>
      <c r="N43" s="15" t="n"/>
      <c r="O43" s="21">
        <f>IF(COUNT(L43:N43)=0,"",SUM(L43:N43))</f>
        <v/>
      </c>
      <c r="P43" s="23">
        <f>IF(COUNT(G43,K43,O43)=0,"",ROUND(AVERAGE(G43,K43,O43),2))</f>
        <v/>
      </c>
      <c r="Q43" s="24">
        <f>IF(COUNT(E43,I43,M43)=0,"",ROUND(AVERAGE(E43,I43,M43),2))</f>
        <v/>
      </c>
    </row>
    <row r="44">
      <c r="A44" s="15" t="n"/>
      <c r="B44" s="21">
        <f>IF(A44="","",IFERROR(INDEX(작품목록!$B$4:$B$103,MATCH(A44,작품목록!$A$4:$A$103,0)),"번호 확인"))</f>
        <v/>
      </c>
      <c r="C44" s="22">
        <f>IF(A44="","",IFERROR(INDEX(작품목록!$F$4:$F$103,MATCH(A44,작품목록!$A$4:$A$103,0)),"작품목록에 없음"))</f>
        <v/>
      </c>
      <c r="D44" s="15" t="n"/>
      <c r="E44" s="15" t="n"/>
      <c r="F44" s="15" t="n"/>
      <c r="G44" s="21">
        <f>IF(COUNT(D44:F44)=0,"",SUM(D44:F44))</f>
        <v/>
      </c>
      <c r="H44" s="15" t="n"/>
      <c r="I44" s="15" t="n"/>
      <c r="J44" s="15" t="n"/>
      <c r="K44" s="21">
        <f>IF(COUNT(H44:J44)=0,"",SUM(H44:J44))</f>
        <v/>
      </c>
      <c r="L44" s="15" t="n"/>
      <c r="M44" s="15" t="n"/>
      <c r="N44" s="15" t="n"/>
      <c r="O44" s="21">
        <f>IF(COUNT(L44:N44)=0,"",SUM(L44:N44))</f>
        <v/>
      </c>
      <c r="P44" s="23">
        <f>IF(COUNT(G44,K44,O44)=0,"",ROUND(AVERAGE(G44,K44,O44),2))</f>
        <v/>
      </c>
      <c r="Q44" s="24">
        <f>IF(COUNT(E44,I44,M44)=0,"",ROUND(AVERAGE(E44,I44,M44),2))</f>
        <v/>
      </c>
    </row>
    <row r="45">
      <c r="A45" s="15" t="n"/>
      <c r="B45" s="21">
        <f>IF(A45="","",IFERROR(INDEX(작품목록!$B$4:$B$103,MATCH(A45,작품목록!$A$4:$A$103,0)),"번호 확인"))</f>
        <v/>
      </c>
      <c r="C45" s="22">
        <f>IF(A45="","",IFERROR(INDEX(작품목록!$F$4:$F$103,MATCH(A45,작품목록!$A$4:$A$103,0)),"작품목록에 없음"))</f>
        <v/>
      </c>
      <c r="D45" s="15" t="n"/>
      <c r="E45" s="15" t="n"/>
      <c r="F45" s="15" t="n"/>
      <c r="G45" s="21">
        <f>IF(COUNT(D45:F45)=0,"",SUM(D45:F45))</f>
        <v/>
      </c>
      <c r="H45" s="15" t="n"/>
      <c r="I45" s="15" t="n"/>
      <c r="J45" s="15" t="n"/>
      <c r="K45" s="21">
        <f>IF(COUNT(H45:J45)=0,"",SUM(H45:J45))</f>
        <v/>
      </c>
      <c r="L45" s="15" t="n"/>
      <c r="M45" s="15" t="n"/>
      <c r="N45" s="15" t="n"/>
      <c r="O45" s="21">
        <f>IF(COUNT(L45:N45)=0,"",SUM(L45:N45))</f>
        <v/>
      </c>
      <c r="P45" s="23">
        <f>IF(COUNT(G45,K45,O45)=0,"",ROUND(AVERAGE(G45,K45,O45),2))</f>
        <v/>
      </c>
      <c r="Q45" s="24">
        <f>IF(COUNT(E45,I45,M45)=0,"",ROUND(AVERAGE(E45,I45,M45),2))</f>
        <v/>
      </c>
    </row>
    <row r="46">
      <c r="A46" s="15" t="n"/>
      <c r="B46" s="21">
        <f>IF(A46="","",IFERROR(INDEX(작품목록!$B$4:$B$103,MATCH(A46,작품목록!$A$4:$A$103,0)),"번호 확인"))</f>
        <v/>
      </c>
      <c r="C46" s="22">
        <f>IF(A46="","",IFERROR(INDEX(작품목록!$F$4:$F$103,MATCH(A46,작품목록!$A$4:$A$103,0)),"작품목록에 없음"))</f>
        <v/>
      </c>
      <c r="D46" s="15" t="n"/>
      <c r="E46" s="15" t="n"/>
      <c r="F46" s="15" t="n"/>
      <c r="G46" s="21">
        <f>IF(COUNT(D46:F46)=0,"",SUM(D46:F46))</f>
        <v/>
      </c>
      <c r="H46" s="15" t="n"/>
      <c r="I46" s="15" t="n"/>
      <c r="J46" s="15" t="n"/>
      <c r="K46" s="21">
        <f>IF(COUNT(H46:J46)=0,"",SUM(H46:J46))</f>
        <v/>
      </c>
      <c r="L46" s="15" t="n"/>
      <c r="M46" s="15" t="n"/>
      <c r="N46" s="15" t="n"/>
      <c r="O46" s="21">
        <f>IF(COUNT(L46:N46)=0,"",SUM(L46:N46))</f>
        <v/>
      </c>
      <c r="P46" s="23">
        <f>IF(COUNT(G46,K46,O46)=0,"",ROUND(AVERAGE(G46,K46,O46),2))</f>
        <v/>
      </c>
      <c r="Q46" s="24">
        <f>IF(COUNT(E46,I46,M46)=0,"",ROUND(AVERAGE(E46,I46,M46),2))</f>
        <v/>
      </c>
    </row>
    <row r="47">
      <c r="A47" s="15" t="n"/>
      <c r="B47" s="21">
        <f>IF(A47="","",IFERROR(INDEX(작품목록!$B$4:$B$103,MATCH(A47,작품목록!$A$4:$A$103,0)),"번호 확인"))</f>
        <v/>
      </c>
      <c r="C47" s="22">
        <f>IF(A47="","",IFERROR(INDEX(작품목록!$F$4:$F$103,MATCH(A47,작품목록!$A$4:$A$103,0)),"작품목록에 없음"))</f>
        <v/>
      </c>
      <c r="D47" s="15" t="n"/>
      <c r="E47" s="15" t="n"/>
      <c r="F47" s="15" t="n"/>
      <c r="G47" s="21">
        <f>IF(COUNT(D47:F47)=0,"",SUM(D47:F47))</f>
        <v/>
      </c>
      <c r="H47" s="15" t="n"/>
      <c r="I47" s="15" t="n"/>
      <c r="J47" s="15" t="n"/>
      <c r="K47" s="21">
        <f>IF(COUNT(H47:J47)=0,"",SUM(H47:J47))</f>
        <v/>
      </c>
      <c r="L47" s="15" t="n"/>
      <c r="M47" s="15" t="n"/>
      <c r="N47" s="15" t="n"/>
      <c r="O47" s="21">
        <f>IF(COUNT(L47:N47)=0,"",SUM(L47:N47))</f>
        <v/>
      </c>
      <c r="P47" s="23">
        <f>IF(COUNT(G47,K47,O47)=0,"",ROUND(AVERAGE(G47,K47,O47),2))</f>
        <v/>
      </c>
      <c r="Q47" s="24">
        <f>IF(COUNT(E47,I47,M47)=0,"",ROUND(AVERAGE(E47,I47,M47),2))</f>
        <v/>
      </c>
    </row>
    <row r="48">
      <c r="A48" s="15" t="n"/>
      <c r="B48" s="21">
        <f>IF(A48="","",IFERROR(INDEX(작품목록!$B$4:$B$103,MATCH(A48,작품목록!$A$4:$A$103,0)),"번호 확인"))</f>
        <v/>
      </c>
      <c r="C48" s="22">
        <f>IF(A48="","",IFERROR(INDEX(작품목록!$F$4:$F$103,MATCH(A48,작품목록!$A$4:$A$103,0)),"작품목록에 없음"))</f>
        <v/>
      </c>
      <c r="D48" s="15" t="n"/>
      <c r="E48" s="15" t="n"/>
      <c r="F48" s="15" t="n"/>
      <c r="G48" s="21">
        <f>IF(COUNT(D48:F48)=0,"",SUM(D48:F48))</f>
        <v/>
      </c>
      <c r="H48" s="15" t="n"/>
      <c r="I48" s="15" t="n"/>
      <c r="J48" s="15" t="n"/>
      <c r="K48" s="21">
        <f>IF(COUNT(H48:J48)=0,"",SUM(H48:J48))</f>
        <v/>
      </c>
      <c r="L48" s="15" t="n"/>
      <c r="M48" s="15" t="n"/>
      <c r="N48" s="15" t="n"/>
      <c r="O48" s="21">
        <f>IF(COUNT(L48:N48)=0,"",SUM(L48:N48))</f>
        <v/>
      </c>
      <c r="P48" s="23">
        <f>IF(COUNT(G48,K48,O48)=0,"",ROUND(AVERAGE(G48,K48,O48),2))</f>
        <v/>
      </c>
      <c r="Q48" s="24">
        <f>IF(COUNT(E48,I48,M48)=0,"",ROUND(AVERAGE(E48,I48,M48),2))</f>
        <v/>
      </c>
    </row>
    <row r="49">
      <c r="A49" s="15" t="n"/>
      <c r="B49" s="21">
        <f>IF(A49="","",IFERROR(INDEX(작품목록!$B$4:$B$103,MATCH(A49,작품목록!$A$4:$A$103,0)),"번호 확인"))</f>
        <v/>
      </c>
      <c r="C49" s="22">
        <f>IF(A49="","",IFERROR(INDEX(작품목록!$F$4:$F$103,MATCH(A49,작품목록!$A$4:$A$103,0)),"작품목록에 없음"))</f>
        <v/>
      </c>
      <c r="D49" s="15" t="n"/>
      <c r="E49" s="15" t="n"/>
      <c r="F49" s="15" t="n"/>
      <c r="G49" s="21">
        <f>IF(COUNT(D49:F49)=0,"",SUM(D49:F49))</f>
        <v/>
      </c>
      <c r="H49" s="15" t="n"/>
      <c r="I49" s="15" t="n"/>
      <c r="J49" s="15" t="n"/>
      <c r="K49" s="21">
        <f>IF(COUNT(H49:J49)=0,"",SUM(H49:J49))</f>
        <v/>
      </c>
      <c r="L49" s="15" t="n"/>
      <c r="M49" s="15" t="n"/>
      <c r="N49" s="15" t="n"/>
      <c r="O49" s="21">
        <f>IF(COUNT(L49:N49)=0,"",SUM(L49:N49))</f>
        <v/>
      </c>
      <c r="P49" s="23">
        <f>IF(COUNT(G49,K49,O49)=0,"",ROUND(AVERAGE(G49,K49,O49),2))</f>
        <v/>
      </c>
      <c r="Q49" s="24">
        <f>IF(COUNT(E49,I49,M49)=0,"",ROUND(AVERAGE(E49,I49,M49),2))</f>
        <v/>
      </c>
    </row>
    <row r="50">
      <c r="A50" s="15" t="n"/>
      <c r="B50" s="21">
        <f>IF(A50="","",IFERROR(INDEX(작품목록!$B$4:$B$103,MATCH(A50,작품목록!$A$4:$A$103,0)),"번호 확인"))</f>
        <v/>
      </c>
      <c r="C50" s="22">
        <f>IF(A50="","",IFERROR(INDEX(작품목록!$F$4:$F$103,MATCH(A50,작품목록!$A$4:$A$103,0)),"작품목록에 없음"))</f>
        <v/>
      </c>
      <c r="D50" s="15" t="n"/>
      <c r="E50" s="15" t="n"/>
      <c r="F50" s="15" t="n"/>
      <c r="G50" s="21">
        <f>IF(COUNT(D50:F50)=0,"",SUM(D50:F50))</f>
        <v/>
      </c>
      <c r="H50" s="15" t="n"/>
      <c r="I50" s="15" t="n"/>
      <c r="J50" s="15" t="n"/>
      <c r="K50" s="21">
        <f>IF(COUNT(H50:J50)=0,"",SUM(H50:J50))</f>
        <v/>
      </c>
      <c r="L50" s="15" t="n"/>
      <c r="M50" s="15" t="n"/>
      <c r="N50" s="15" t="n"/>
      <c r="O50" s="21">
        <f>IF(COUNT(L50:N50)=0,"",SUM(L50:N50))</f>
        <v/>
      </c>
      <c r="P50" s="23">
        <f>IF(COUNT(G50,K50,O50)=0,"",ROUND(AVERAGE(G50,K50,O50),2))</f>
        <v/>
      </c>
      <c r="Q50" s="24">
        <f>IF(COUNT(E50,I50,M50)=0,"",ROUND(AVERAGE(E50,I50,M50),2))</f>
        <v/>
      </c>
    </row>
    <row r="51">
      <c r="A51" s="15" t="n"/>
      <c r="B51" s="21">
        <f>IF(A51="","",IFERROR(INDEX(작품목록!$B$4:$B$103,MATCH(A51,작품목록!$A$4:$A$103,0)),"번호 확인"))</f>
        <v/>
      </c>
      <c r="C51" s="22">
        <f>IF(A51="","",IFERROR(INDEX(작품목록!$F$4:$F$103,MATCH(A51,작품목록!$A$4:$A$103,0)),"작품목록에 없음"))</f>
        <v/>
      </c>
      <c r="D51" s="15" t="n"/>
      <c r="E51" s="15" t="n"/>
      <c r="F51" s="15" t="n"/>
      <c r="G51" s="21">
        <f>IF(COUNT(D51:F51)=0,"",SUM(D51:F51))</f>
        <v/>
      </c>
      <c r="H51" s="15" t="n"/>
      <c r="I51" s="15" t="n"/>
      <c r="J51" s="15" t="n"/>
      <c r="K51" s="21">
        <f>IF(COUNT(H51:J51)=0,"",SUM(H51:J51))</f>
        <v/>
      </c>
      <c r="L51" s="15" t="n"/>
      <c r="M51" s="15" t="n"/>
      <c r="N51" s="15" t="n"/>
      <c r="O51" s="21">
        <f>IF(COUNT(L51:N51)=0,"",SUM(L51:N51))</f>
        <v/>
      </c>
      <c r="P51" s="23">
        <f>IF(COUNT(G51,K51,O51)=0,"",ROUND(AVERAGE(G51,K51,O51),2))</f>
        <v/>
      </c>
      <c r="Q51" s="24">
        <f>IF(COUNT(E51,I51,M51)=0,"",ROUND(AVERAGE(E51,I51,M51),2))</f>
        <v/>
      </c>
    </row>
    <row r="52">
      <c r="A52" s="15" t="n"/>
      <c r="B52" s="21">
        <f>IF(A52="","",IFERROR(INDEX(작품목록!$B$4:$B$103,MATCH(A52,작품목록!$A$4:$A$103,0)),"번호 확인"))</f>
        <v/>
      </c>
      <c r="C52" s="22">
        <f>IF(A52="","",IFERROR(INDEX(작품목록!$F$4:$F$103,MATCH(A52,작품목록!$A$4:$A$103,0)),"작품목록에 없음"))</f>
        <v/>
      </c>
      <c r="D52" s="15" t="n"/>
      <c r="E52" s="15" t="n"/>
      <c r="F52" s="15" t="n"/>
      <c r="G52" s="21">
        <f>IF(COUNT(D52:F52)=0,"",SUM(D52:F52))</f>
        <v/>
      </c>
      <c r="H52" s="15" t="n"/>
      <c r="I52" s="15" t="n"/>
      <c r="J52" s="15" t="n"/>
      <c r="K52" s="21">
        <f>IF(COUNT(H52:J52)=0,"",SUM(H52:J52))</f>
        <v/>
      </c>
      <c r="L52" s="15" t="n"/>
      <c r="M52" s="15" t="n"/>
      <c r="N52" s="15" t="n"/>
      <c r="O52" s="21">
        <f>IF(COUNT(L52:N52)=0,"",SUM(L52:N52))</f>
        <v/>
      </c>
      <c r="P52" s="23">
        <f>IF(COUNT(G52,K52,O52)=0,"",ROUND(AVERAGE(G52,K52,O52),2))</f>
        <v/>
      </c>
      <c r="Q52" s="24">
        <f>IF(COUNT(E52,I52,M52)=0,"",ROUND(AVERAGE(E52,I52,M52),2))</f>
        <v/>
      </c>
    </row>
    <row r="53">
      <c r="A53" s="15" t="n"/>
      <c r="B53" s="21">
        <f>IF(A53="","",IFERROR(INDEX(작품목록!$B$4:$B$103,MATCH(A53,작품목록!$A$4:$A$103,0)),"번호 확인"))</f>
        <v/>
      </c>
      <c r="C53" s="22">
        <f>IF(A53="","",IFERROR(INDEX(작품목록!$F$4:$F$103,MATCH(A53,작품목록!$A$4:$A$103,0)),"작품목록에 없음"))</f>
        <v/>
      </c>
      <c r="D53" s="15" t="n"/>
      <c r="E53" s="15" t="n"/>
      <c r="F53" s="15" t="n"/>
      <c r="G53" s="21">
        <f>IF(COUNT(D53:F53)=0,"",SUM(D53:F53))</f>
        <v/>
      </c>
      <c r="H53" s="15" t="n"/>
      <c r="I53" s="15" t="n"/>
      <c r="J53" s="15" t="n"/>
      <c r="K53" s="21">
        <f>IF(COUNT(H53:J53)=0,"",SUM(H53:J53))</f>
        <v/>
      </c>
      <c r="L53" s="15" t="n"/>
      <c r="M53" s="15" t="n"/>
      <c r="N53" s="15" t="n"/>
      <c r="O53" s="21">
        <f>IF(COUNT(L53:N53)=0,"",SUM(L53:N53))</f>
        <v/>
      </c>
      <c r="P53" s="23">
        <f>IF(COUNT(G53,K53,O53)=0,"",ROUND(AVERAGE(G53,K53,O53),2))</f>
        <v/>
      </c>
      <c r="Q53" s="24">
        <f>IF(COUNT(E53,I53,M53)=0,"",ROUND(AVERAGE(E53,I53,M53),2))</f>
        <v/>
      </c>
    </row>
    <row r="54">
      <c r="A54" s="15" t="n"/>
      <c r="B54" s="21">
        <f>IF(A54="","",IFERROR(INDEX(작품목록!$B$4:$B$103,MATCH(A54,작품목록!$A$4:$A$103,0)),"번호 확인"))</f>
        <v/>
      </c>
      <c r="C54" s="22">
        <f>IF(A54="","",IFERROR(INDEX(작품목록!$F$4:$F$103,MATCH(A54,작품목록!$A$4:$A$103,0)),"작품목록에 없음"))</f>
        <v/>
      </c>
      <c r="D54" s="15" t="n"/>
      <c r="E54" s="15" t="n"/>
      <c r="F54" s="15" t="n"/>
      <c r="G54" s="21">
        <f>IF(COUNT(D54:F54)=0,"",SUM(D54:F54))</f>
        <v/>
      </c>
      <c r="H54" s="15" t="n"/>
      <c r="I54" s="15" t="n"/>
      <c r="J54" s="15" t="n"/>
      <c r="K54" s="21">
        <f>IF(COUNT(H54:J54)=0,"",SUM(H54:J54))</f>
        <v/>
      </c>
      <c r="L54" s="15" t="n"/>
      <c r="M54" s="15" t="n"/>
      <c r="N54" s="15" t="n"/>
      <c r="O54" s="21">
        <f>IF(COUNT(L54:N54)=0,"",SUM(L54:N54))</f>
        <v/>
      </c>
      <c r="P54" s="23">
        <f>IF(COUNT(G54,K54,O54)=0,"",ROUND(AVERAGE(G54,K54,O54),2))</f>
        <v/>
      </c>
      <c r="Q54" s="24">
        <f>IF(COUNT(E54,I54,M54)=0,"",ROUND(AVERAGE(E54,I54,M54),2))</f>
        <v/>
      </c>
    </row>
    <row r="55">
      <c r="A55" s="15" t="n"/>
      <c r="B55" s="21">
        <f>IF(A55="","",IFERROR(INDEX(작품목록!$B$4:$B$103,MATCH(A55,작품목록!$A$4:$A$103,0)),"번호 확인"))</f>
        <v/>
      </c>
      <c r="C55" s="22">
        <f>IF(A55="","",IFERROR(INDEX(작품목록!$F$4:$F$103,MATCH(A55,작품목록!$A$4:$A$103,0)),"작품목록에 없음"))</f>
        <v/>
      </c>
      <c r="D55" s="15" t="n"/>
      <c r="E55" s="15" t="n"/>
      <c r="F55" s="15" t="n"/>
      <c r="G55" s="21">
        <f>IF(COUNT(D55:F55)=0,"",SUM(D55:F55))</f>
        <v/>
      </c>
      <c r="H55" s="15" t="n"/>
      <c r="I55" s="15" t="n"/>
      <c r="J55" s="15" t="n"/>
      <c r="K55" s="21">
        <f>IF(COUNT(H55:J55)=0,"",SUM(H55:J55))</f>
        <v/>
      </c>
      <c r="L55" s="15" t="n"/>
      <c r="M55" s="15" t="n"/>
      <c r="N55" s="15" t="n"/>
      <c r="O55" s="21">
        <f>IF(COUNT(L55:N55)=0,"",SUM(L55:N55))</f>
        <v/>
      </c>
      <c r="P55" s="23">
        <f>IF(COUNT(G55,K55,O55)=0,"",ROUND(AVERAGE(G55,K55,O55),2))</f>
        <v/>
      </c>
      <c r="Q55" s="24">
        <f>IF(COUNT(E55,I55,M55)=0,"",ROUND(AVERAGE(E55,I55,M55),2))</f>
        <v/>
      </c>
    </row>
    <row r="56">
      <c r="A56" s="15" t="n"/>
      <c r="B56" s="21">
        <f>IF(A56="","",IFERROR(INDEX(작품목록!$B$4:$B$103,MATCH(A56,작품목록!$A$4:$A$103,0)),"번호 확인"))</f>
        <v/>
      </c>
      <c r="C56" s="22">
        <f>IF(A56="","",IFERROR(INDEX(작품목록!$F$4:$F$103,MATCH(A56,작품목록!$A$4:$A$103,0)),"작품목록에 없음"))</f>
        <v/>
      </c>
      <c r="D56" s="15" t="n"/>
      <c r="E56" s="15" t="n"/>
      <c r="F56" s="15" t="n"/>
      <c r="G56" s="21">
        <f>IF(COUNT(D56:F56)=0,"",SUM(D56:F56))</f>
        <v/>
      </c>
      <c r="H56" s="15" t="n"/>
      <c r="I56" s="15" t="n"/>
      <c r="J56" s="15" t="n"/>
      <c r="K56" s="21">
        <f>IF(COUNT(H56:J56)=0,"",SUM(H56:J56))</f>
        <v/>
      </c>
      <c r="L56" s="15" t="n"/>
      <c r="M56" s="15" t="n"/>
      <c r="N56" s="15" t="n"/>
      <c r="O56" s="21">
        <f>IF(COUNT(L56:N56)=0,"",SUM(L56:N56))</f>
        <v/>
      </c>
      <c r="P56" s="23">
        <f>IF(COUNT(G56,K56,O56)=0,"",ROUND(AVERAGE(G56,K56,O56),2))</f>
        <v/>
      </c>
      <c r="Q56" s="24">
        <f>IF(COUNT(E56,I56,M56)=0,"",ROUND(AVERAGE(E56,I56,M56),2))</f>
        <v/>
      </c>
    </row>
    <row r="57">
      <c r="A57" s="15" t="n"/>
      <c r="B57" s="21">
        <f>IF(A57="","",IFERROR(INDEX(작품목록!$B$4:$B$103,MATCH(A57,작품목록!$A$4:$A$103,0)),"번호 확인"))</f>
        <v/>
      </c>
      <c r="C57" s="22">
        <f>IF(A57="","",IFERROR(INDEX(작품목록!$F$4:$F$103,MATCH(A57,작품목록!$A$4:$A$103,0)),"작품목록에 없음"))</f>
        <v/>
      </c>
      <c r="D57" s="15" t="n"/>
      <c r="E57" s="15" t="n"/>
      <c r="F57" s="15" t="n"/>
      <c r="G57" s="21">
        <f>IF(COUNT(D57:F57)=0,"",SUM(D57:F57))</f>
        <v/>
      </c>
      <c r="H57" s="15" t="n"/>
      <c r="I57" s="15" t="n"/>
      <c r="J57" s="15" t="n"/>
      <c r="K57" s="21">
        <f>IF(COUNT(H57:J57)=0,"",SUM(H57:J57))</f>
        <v/>
      </c>
      <c r="L57" s="15" t="n"/>
      <c r="M57" s="15" t="n"/>
      <c r="N57" s="15" t="n"/>
      <c r="O57" s="21">
        <f>IF(COUNT(L57:N57)=0,"",SUM(L57:N57))</f>
        <v/>
      </c>
      <c r="P57" s="23">
        <f>IF(COUNT(G57,K57,O57)=0,"",ROUND(AVERAGE(G57,K57,O57),2))</f>
        <v/>
      </c>
      <c r="Q57" s="24">
        <f>IF(COUNT(E57,I57,M57)=0,"",ROUND(AVERAGE(E57,I57,M57),2))</f>
        <v/>
      </c>
    </row>
    <row r="58">
      <c r="A58" s="15" t="n"/>
      <c r="B58" s="21">
        <f>IF(A58="","",IFERROR(INDEX(작품목록!$B$4:$B$103,MATCH(A58,작품목록!$A$4:$A$103,0)),"번호 확인"))</f>
        <v/>
      </c>
      <c r="C58" s="22">
        <f>IF(A58="","",IFERROR(INDEX(작품목록!$F$4:$F$103,MATCH(A58,작품목록!$A$4:$A$103,0)),"작품목록에 없음"))</f>
        <v/>
      </c>
      <c r="D58" s="15" t="n"/>
      <c r="E58" s="15" t="n"/>
      <c r="F58" s="15" t="n"/>
      <c r="G58" s="21">
        <f>IF(COUNT(D58:F58)=0,"",SUM(D58:F58))</f>
        <v/>
      </c>
      <c r="H58" s="15" t="n"/>
      <c r="I58" s="15" t="n"/>
      <c r="J58" s="15" t="n"/>
      <c r="K58" s="21">
        <f>IF(COUNT(H58:J58)=0,"",SUM(H58:J58))</f>
        <v/>
      </c>
      <c r="L58" s="15" t="n"/>
      <c r="M58" s="15" t="n"/>
      <c r="N58" s="15" t="n"/>
      <c r="O58" s="21">
        <f>IF(COUNT(L58:N58)=0,"",SUM(L58:N58))</f>
        <v/>
      </c>
      <c r="P58" s="23">
        <f>IF(COUNT(G58,K58,O58)=0,"",ROUND(AVERAGE(G58,K58,O58),2))</f>
        <v/>
      </c>
      <c r="Q58" s="24">
        <f>IF(COUNT(E58,I58,M58)=0,"",ROUND(AVERAGE(E58,I58,M58),2))</f>
        <v/>
      </c>
    </row>
    <row r="59">
      <c r="A59" s="15" t="n"/>
      <c r="B59" s="21">
        <f>IF(A59="","",IFERROR(INDEX(작품목록!$B$4:$B$103,MATCH(A59,작품목록!$A$4:$A$103,0)),"번호 확인"))</f>
        <v/>
      </c>
      <c r="C59" s="22">
        <f>IF(A59="","",IFERROR(INDEX(작품목록!$F$4:$F$103,MATCH(A59,작품목록!$A$4:$A$103,0)),"작품목록에 없음"))</f>
        <v/>
      </c>
      <c r="D59" s="15" t="n"/>
      <c r="E59" s="15" t="n"/>
      <c r="F59" s="15" t="n"/>
      <c r="G59" s="21">
        <f>IF(COUNT(D59:F59)=0,"",SUM(D59:F59))</f>
        <v/>
      </c>
      <c r="H59" s="15" t="n"/>
      <c r="I59" s="15" t="n"/>
      <c r="J59" s="15" t="n"/>
      <c r="K59" s="21">
        <f>IF(COUNT(H59:J59)=0,"",SUM(H59:J59))</f>
        <v/>
      </c>
      <c r="L59" s="15" t="n"/>
      <c r="M59" s="15" t="n"/>
      <c r="N59" s="15" t="n"/>
      <c r="O59" s="21">
        <f>IF(COUNT(L59:N59)=0,"",SUM(L59:N59))</f>
        <v/>
      </c>
      <c r="P59" s="23">
        <f>IF(COUNT(G59,K59,O59)=0,"",ROUND(AVERAGE(G59,K59,O59),2))</f>
        <v/>
      </c>
      <c r="Q59" s="24">
        <f>IF(COUNT(E59,I59,M59)=0,"",ROUND(AVERAGE(E59,I59,M59),2))</f>
        <v/>
      </c>
    </row>
    <row r="60">
      <c r="A60" s="15" t="n"/>
      <c r="B60" s="21">
        <f>IF(A60="","",IFERROR(INDEX(작품목록!$B$4:$B$103,MATCH(A60,작품목록!$A$4:$A$103,0)),"번호 확인"))</f>
        <v/>
      </c>
      <c r="C60" s="22">
        <f>IF(A60="","",IFERROR(INDEX(작품목록!$F$4:$F$103,MATCH(A60,작품목록!$A$4:$A$103,0)),"작품목록에 없음"))</f>
        <v/>
      </c>
      <c r="D60" s="15" t="n"/>
      <c r="E60" s="15" t="n"/>
      <c r="F60" s="15" t="n"/>
      <c r="G60" s="21">
        <f>IF(COUNT(D60:F60)=0,"",SUM(D60:F60))</f>
        <v/>
      </c>
      <c r="H60" s="15" t="n"/>
      <c r="I60" s="15" t="n"/>
      <c r="J60" s="15" t="n"/>
      <c r="K60" s="21">
        <f>IF(COUNT(H60:J60)=0,"",SUM(H60:J60))</f>
        <v/>
      </c>
      <c r="L60" s="15" t="n"/>
      <c r="M60" s="15" t="n"/>
      <c r="N60" s="15" t="n"/>
      <c r="O60" s="21">
        <f>IF(COUNT(L60:N60)=0,"",SUM(L60:N60))</f>
        <v/>
      </c>
      <c r="P60" s="23">
        <f>IF(COUNT(G60,K60,O60)=0,"",ROUND(AVERAGE(G60,K60,O60),2))</f>
        <v/>
      </c>
      <c r="Q60" s="24">
        <f>IF(COUNT(E60,I60,M60)=0,"",ROUND(AVERAGE(E60,I60,M60),2))</f>
        <v/>
      </c>
    </row>
    <row r="61">
      <c r="A61" s="15" t="n"/>
      <c r="B61" s="21">
        <f>IF(A61="","",IFERROR(INDEX(작품목록!$B$4:$B$103,MATCH(A61,작품목록!$A$4:$A$103,0)),"번호 확인"))</f>
        <v/>
      </c>
      <c r="C61" s="22">
        <f>IF(A61="","",IFERROR(INDEX(작품목록!$F$4:$F$103,MATCH(A61,작품목록!$A$4:$A$103,0)),"작품목록에 없음"))</f>
        <v/>
      </c>
      <c r="D61" s="15" t="n"/>
      <c r="E61" s="15" t="n"/>
      <c r="F61" s="15" t="n"/>
      <c r="G61" s="21">
        <f>IF(COUNT(D61:F61)=0,"",SUM(D61:F61))</f>
        <v/>
      </c>
      <c r="H61" s="15" t="n"/>
      <c r="I61" s="15" t="n"/>
      <c r="J61" s="15" t="n"/>
      <c r="K61" s="21">
        <f>IF(COUNT(H61:J61)=0,"",SUM(H61:J61))</f>
        <v/>
      </c>
      <c r="L61" s="15" t="n"/>
      <c r="M61" s="15" t="n"/>
      <c r="N61" s="15" t="n"/>
      <c r="O61" s="21">
        <f>IF(COUNT(L61:N61)=0,"",SUM(L61:N61))</f>
        <v/>
      </c>
      <c r="P61" s="23">
        <f>IF(COUNT(G61,K61,O61)=0,"",ROUND(AVERAGE(G61,K61,O61),2))</f>
        <v/>
      </c>
      <c r="Q61" s="24">
        <f>IF(COUNT(E61,I61,M61)=0,"",ROUND(AVERAGE(E61,I61,M61),2))</f>
        <v/>
      </c>
    </row>
    <row r="62">
      <c r="A62" s="15" t="n"/>
      <c r="B62" s="21">
        <f>IF(A62="","",IFERROR(INDEX(작품목록!$B$4:$B$103,MATCH(A62,작품목록!$A$4:$A$103,0)),"번호 확인"))</f>
        <v/>
      </c>
      <c r="C62" s="22">
        <f>IF(A62="","",IFERROR(INDEX(작품목록!$F$4:$F$103,MATCH(A62,작품목록!$A$4:$A$103,0)),"작품목록에 없음"))</f>
        <v/>
      </c>
      <c r="D62" s="15" t="n"/>
      <c r="E62" s="15" t="n"/>
      <c r="F62" s="15" t="n"/>
      <c r="G62" s="21">
        <f>IF(COUNT(D62:F62)=0,"",SUM(D62:F62))</f>
        <v/>
      </c>
      <c r="H62" s="15" t="n"/>
      <c r="I62" s="15" t="n"/>
      <c r="J62" s="15" t="n"/>
      <c r="K62" s="21">
        <f>IF(COUNT(H62:J62)=0,"",SUM(H62:J62))</f>
        <v/>
      </c>
      <c r="L62" s="15" t="n"/>
      <c r="M62" s="15" t="n"/>
      <c r="N62" s="15" t="n"/>
      <c r="O62" s="21">
        <f>IF(COUNT(L62:N62)=0,"",SUM(L62:N62))</f>
        <v/>
      </c>
      <c r="P62" s="23">
        <f>IF(COUNT(G62,K62,O62)=0,"",ROUND(AVERAGE(G62,K62,O62),2))</f>
        <v/>
      </c>
      <c r="Q62" s="24">
        <f>IF(COUNT(E62,I62,M62)=0,"",ROUND(AVERAGE(E62,I62,M62),2))</f>
        <v/>
      </c>
    </row>
    <row r="63">
      <c r="A63" s="15" t="n"/>
      <c r="B63" s="21">
        <f>IF(A63="","",IFERROR(INDEX(작품목록!$B$4:$B$103,MATCH(A63,작품목록!$A$4:$A$103,0)),"번호 확인"))</f>
        <v/>
      </c>
      <c r="C63" s="22">
        <f>IF(A63="","",IFERROR(INDEX(작품목록!$F$4:$F$103,MATCH(A63,작품목록!$A$4:$A$103,0)),"작품목록에 없음"))</f>
        <v/>
      </c>
      <c r="D63" s="15" t="n"/>
      <c r="E63" s="15" t="n"/>
      <c r="F63" s="15" t="n"/>
      <c r="G63" s="21">
        <f>IF(COUNT(D63:F63)=0,"",SUM(D63:F63))</f>
        <v/>
      </c>
      <c r="H63" s="15" t="n"/>
      <c r="I63" s="15" t="n"/>
      <c r="J63" s="15" t="n"/>
      <c r="K63" s="21">
        <f>IF(COUNT(H63:J63)=0,"",SUM(H63:J63))</f>
        <v/>
      </c>
      <c r="L63" s="15" t="n"/>
      <c r="M63" s="15" t="n"/>
      <c r="N63" s="15" t="n"/>
      <c r="O63" s="21">
        <f>IF(COUNT(L63:N63)=0,"",SUM(L63:N63))</f>
        <v/>
      </c>
      <c r="P63" s="23">
        <f>IF(COUNT(G63,K63,O63)=0,"",ROUND(AVERAGE(G63,K63,O63),2))</f>
        <v/>
      </c>
      <c r="Q63" s="24">
        <f>IF(COUNT(E63,I63,M63)=0,"",ROUND(AVERAGE(E63,I63,M63),2))</f>
        <v/>
      </c>
    </row>
    <row r="64">
      <c r="A64" s="15" t="n"/>
      <c r="B64" s="21">
        <f>IF(A64="","",IFERROR(INDEX(작품목록!$B$4:$B$103,MATCH(A64,작품목록!$A$4:$A$103,0)),"번호 확인"))</f>
        <v/>
      </c>
      <c r="C64" s="22">
        <f>IF(A64="","",IFERROR(INDEX(작품목록!$F$4:$F$103,MATCH(A64,작품목록!$A$4:$A$103,0)),"작품목록에 없음"))</f>
        <v/>
      </c>
      <c r="D64" s="15" t="n"/>
      <c r="E64" s="15" t="n"/>
      <c r="F64" s="15" t="n"/>
      <c r="G64" s="21">
        <f>IF(COUNT(D64:F64)=0,"",SUM(D64:F64))</f>
        <v/>
      </c>
      <c r="H64" s="15" t="n"/>
      <c r="I64" s="15" t="n"/>
      <c r="J64" s="15" t="n"/>
      <c r="K64" s="21">
        <f>IF(COUNT(H64:J64)=0,"",SUM(H64:J64))</f>
        <v/>
      </c>
      <c r="L64" s="15" t="n"/>
      <c r="M64" s="15" t="n"/>
      <c r="N64" s="15" t="n"/>
      <c r="O64" s="21">
        <f>IF(COUNT(L64:N64)=0,"",SUM(L64:N64))</f>
        <v/>
      </c>
      <c r="P64" s="23">
        <f>IF(COUNT(G64,K64,O64)=0,"",ROUND(AVERAGE(G64,K64,O64),2))</f>
        <v/>
      </c>
      <c r="Q64" s="24">
        <f>IF(COUNT(E64,I64,M64)=0,"",ROUND(AVERAGE(E64,I64,M64),2))</f>
        <v/>
      </c>
    </row>
    <row r="65">
      <c r="A65" s="15" t="n"/>
      <c r="B65" s="21">
        <f>IF(A65="","",IFERROR(INDEX(작품목록!$B$4:$B$103,MATCH(A65,작품목록!$A$4:$A$103,0)),"번호 확인"))</f>
        <v/>
      </c>
      <c r="C65" s="22">
        <f>IF(A65="","",IFERROR(INDEX(작품목록!$F$4:$F$103,MATCH(A65,작품목록!$A$4:$A$103,0)),"작품목록에 없음"))</f>
        <v/>
      </c>
      <c r="D65" s="15" t="n"/>
      <c r="E65" s="15" t="n"/>
      <c r="F65" s="15" t="n"/>
      <c r="G65" s="21">
        <f>IF(COUNT(D65:F65)=0,"",SUM(D65:F65))</f>
        <v/>
      </c>
      <c r="H65" s="15" t="n"/>
      <c r="I65" s="15" t="n"/>
      <c r="J65" s="15" t="n"/>
      <c r="K65" s="21">
        <f>IF(COUNT(H65:J65)=0,"",SUM(H65:J65))</f>
        <v/>
      </c>
      <c r="L65" s="15" t="n"/>
      <c r="M65" s="15" t="n"/>
      <c r="N65" s="15" t="n"/>
      <c r="O65" s="21">
        <f>IF(COUNT(L65:N65)=0,"",SUM(L65:N65))</f>
        <v/>
      </c>
      <c r="P65" s="23">
        <f>IF(COUNT(G65,K65,O65)=0,"",ROUND(AVERAGE(G65,K65,O65),2))</f>
        <v/>
      </c>
      <c r="Q65" s="24">
        <f>IF(COUNT(E65,I65,M65)=0,"",ROUND(AVERAGE(E65,I65,M65),2))</f>
        <v/>
      </c>
    </row>
    <row r="66">
      <c r="A66" s="15" t="n"/>
      <c r="B66" s="21">
        <f>IF(A66="","",IFERROR(INDEX(작품목록!$B$4:$B$103,MATCH(A66,작품목록!$A$4:$A$103,0)),"번호 확인"))</f>
        <v/>
      </c>
      <c r="C66" s="22">
        <f>IF(A66="","",IFERROR(INDEX(작품목록!$F$4:$F$103,MATCH(A66,작품목록!$A$4:$A$103,0)),"작품목록에 없음"))</f>
        <v/>
      </c>
      <c r="D66" s="15" t="n"/>
      <c r="E66" s="15" t="n"/>
      <c r="F66" s="15" t="n"/>
      <c r="G66" s="21">
        <f>IF(COUNT(D66:F66)=0,"",SUM(D66:F66))</f>
        <v/>
      </c>
      <c r="H66" s="15" t="n"/>
      <c r="I66" s="15" t="n"/>
      <c r="J66" s="15" t="n"/>
      <c r="K66" s="21">
        <f>IF(COUNT(H66:J66)=0,"",SUM(H66:J66))</f>
        <v/>
      </c>
      <c r="L66" s="15" t="n"/>
      <c r="M66" s="15" t="n"/>
      <c r="N66" s="15" t="n"/>
      <c r="O66" s="21">
        <f>IF(COUNT(L66:N66)=0,"",SUM(L66:N66))</f>
        <v/>
      </c>
      <c r="P66" s="23">
        <f>IF(COUNT(G66,K66,O66)=0,"",ROUND(AVERAGE(G66,K66,O66),2))</f>
        <v/>
      </c>
      <c r="Q66" s="24">
        <f>IF(COUNT(E66,I66,M66)=0,"",ROUND(AVERAGE(E66,I66,M66),2))</f>
        <v/>
      </c>
    </row>
    <row r="67">
      <c r="A67" s="15" t="n"/>
      <c r="B67" s="21">
        <f>IF(A67="","",IFERROR(INDEX(작품목록!$B$4:$B$103,MATCH(A67,작품목록!$A$4:$A$103,0)),"번호 확인"))</f>
        <v/>
      </c>
      <c r="C67" s="22">
        <f>IF(A67="","",IFERROR(INDEX(작품목록!$F$4:$F$103,MATCH(A67,작품목록!$A$4:$A$103,0)),"작품목록에 없음"))</f>
        <v/>
      </c>
      <c r="D67" s="15" t="n"/>
      <c r="E67" s="15" t="n"/>
      <c r="F67" s="15" t="n"/>
      <c r="G67" s="21">
        <f>IF(COUNT(D67:F67)=0,"",SUM(D67:F67))</f>
        <v/>
      </c>
      <c r="H67" s="15" t="n"/>
      <c r="I67" s="15" t="n"/>
      <c r="J67" s="15" t="n"/>
      <c r="K67" s="21">
        <f>IF(COUNT(H67:J67)=0,"",SUM(H67:J67))</f>
        <v/>
      </c>
      <c r="L67" s="15" t="n"/>
      <c r="M67" s="15" t="n"/>
      <c r="N67" s="15" t="n"/>
      <c r="O67" s="21">
        <f>IF(COUNT(L67:N67)=0,"",SUM(L67:N67))</f>
        <v/>
      </c>
      <c r="P67" s="23">
        <f>IF(COUNT(G67,K67,O67)=0,"",ROUND(AVERAGE(G67,K67,O67),2))</f>
        <v/>
      </c>
      <c r="Q67" s="24">
        <f>IF(COUNT(E67,I67,M67)=0,"",ROUND(AVERAGE(E67,I67,M67),2))</f>
        <v/>
      </c>
    </row>
    <row r="68">
      <c r="A68" s="15" t="n"/>
      <c r="B68" s="21">
        <f>IF(A68="","",IFERROR(INDEX(작품목록!$B$4:$B$103,MATCH(A68,작품목록!$A$4:$A$103,0)),"번호 확인"))</f>
        <v/>
      </c>
      <c r="C68" s="22">
        <f>IF(A68="","",IFERROR(INDEX(작품목록!$F$4:$F$103,MATCH(A68,작품목록!$A$4:$A$103,0)),"작품목록에 없음"))</f>
        <v/>
      </c>
      <c r="D68" s="15" t="n"/>
      <c r="E68" s="15" t="n"/>
      <c r="F68" s="15" t="n"/>
      <c r="G68" s="21">
        <f>IF(COUNT(D68:F68)=0,"",SUM(D68:F68))</f>
        <v/>
      </c>
      <c r="H68" s="15" t="n"/>
      <c r="I68" s="15" t="n"/>
      <c r="J68" s="15" t="n"/>
      <c r="K68" s="21">
        <f>IF(COUNT(H68:J68)=0,"",SUM(H68:J68))</f>
        <v/>
      </c>
      <c r="L68" s="15" t="n"/>
      <c r="M68" s="15" t="n"/>
      <c r="N68" s="15" t="n"/>
      <c r="O68" s="21">
        <f>IF(COUNT(L68:N68)=0,"",SUM(L68:N68))</f>
        <v/>
      </c>
      <c r="P68" s="23">
        <f>IF(COUNT(G68,K68,O68)=0,"",ROUND(AVERAGE(G68,K68,O68),2))</f>
        <v/>
      </c>
      <c r="Q68" s="24">
        <f>IF(COUNT(E68,I68,M68)=0,"",ROUND(AVERAGE(E68,I68,M68),2))</f>
        <v/>
      </c>
    </row>
    <row r="69">
      <c r="A69" s="15" t="n"/>
      <c r="B69" s="21">
        <f>IF(A69="","",IFERROR(INDEX(작품목록!$B$4:$B$103,MATCH(A69,작품목록!$A$4:$A$103,0)),"번호 확인"))</f>
        <v/>
      </c>
      <c r="C69" s="22">
        <f>IF(A69="","",IFERROR(INDEX(작품목록!$F$4:$F$103,MATCH(A69,작품목록!$A$4:$A$103,0)),"작품목록에 없음"))</f>
        <v/>
      </c>
      <c r="D69" s="15" t="n"/>
      <c r="E69" s="15" t="n"/>
      <c r="F69" s="15" t="n"/>
      <c r="G69" s="21">
        <f>IF(COUNT(D69:F69)=0,"",SUM(D69:F69))</f>
        <v/>
      </c>
      <c r="H69" s="15" t="n"/>
      <c r="I69" s="15" t="n"/>
      <c r="J69" s="15" t="n"/>
      <c r="K69" s="21">
        <f>IF(COUNT(H69:J69)=0,"",SUM(H69:J69))</f>
        <v/>
      </c>
      <c r="L69" s="15" t="n"/>
      <c r="M69" s="15" t="n"/>
      <c r="N69" s="15" t="n"/>
      <c r="O69" s="21">
        <f>IF(COUNT(L69:N69)=0,"",SUM(L69:N69))</f>
        <v/>
      </c>
      <c r="P69" s="23">
        <f>IF(COUNT(G69,K69,O69)=0,"",ROUND(AVERAGE(G69,K69,O69),2))</f>
        <v/>
      </c>
      <c r="Q69" s="24">
        <f>IF(COUNT(E69,I69,M69)=0,"",ROUND(AVERAGE(E69,I69,M69),2))</f>
        <v/>
      </c>
    </row>
    <row r="70">
      <c r="A70" s="15" t="n"/>
      <c r="B70" s="21">
        <f>IF(A70="","",IFERROR(INDEX(작품목록!$B$4:$B$103,MATCH(A70,작품목록!$A$4:$A$103,0)),"번호 확인"))</f>
        <v/>
      </c>
      <c r="C70" s="22">
        <f>IF(A70="","",IFERROR(INDEX(작품목록!$F$4:$F$103,MATCH(A70,작품목록!$A$4:$A$103,0)),"작품목록에 없음"))</f>
        <v/>
      </c>
      <c r="D70" s="15" t="n"/>
      <c r="E70" s="15" t="n"/>
      <c r="F70" s="15" t="n"/>
      <c r="G70" s="21">
        <f>IF(COUNT(D70:F70)=0,"",SUM(D70:F70))</f>
        <v/>
      </c>
      <c r="H70" s="15" t="n"/>
      <c r="I70" s="15" t="n"/>
      <c r="J70" s="15" t="n"/>
      <c r="K70" s="21">
        <f>IF(COUNT(H70:J70)=0,"",SUM(H70:J70))</f>
        <v/>
      </c>
      <c r="L70" s="15" t="n"/>
      <c r="M70" s="15" t="n"/>
      <c r="N70" s="15" t="n"/>
      <c r="O70" s="21">
        <f>IF(COUNT(L70:N70)=0,"",SUM(L70:N70))</f>
        <v/>
      </c>
      <c r="P70" s="23">
        <f>IF(COUNT(G70,K70,O70)=0,"",ROUND(AVERAGE(G70,K70,O70),2))</f>
        <v/>
      </c>
      <c r="Q70" s="24">
        <f>IF(COUNT(E70,I70,M70)=0,"",ROUND(AVERAGE(E70,I70,M70),2))</f>
        <v/>
      </c>
    </row>
    <row r="71">
      <c r="A71" s="15" t="n"/>
      <c r="B71" s="21">
        <f>IF(A71="","",IFERROR(INDEX(작품목록!$B$4:$B$103,MATCH(A71,작품목록!$A$4:$A$103,0)),"번호 확인"))</f>
        <v/>
      </c>
      <c r="C71" s="22">
        <f>IF(A71="","",IFERROR(INDEX(작품목록!$F$4:$F$103,MATCH(A71,작품목록!$A$4:$A$103,0)),"작품목록에 없음"))</f>
        <v/>
      </c>
      <c r="D71" s="15" t="n"/>
      <c r="E71" s="15" t="n"/>
      <c r="F71" s="15" t="n"/>
      <c r="G71" s="21">
        <f>IF(COUNT(D71:F71)=0,"",SUM(D71:F71))</f>
        <v/>
      </c>
      <c r="H71" s="15" t="n"/>
      <c r="I71" s="15" t="n"/>
      <c r="J71" s="15" t="n"/>
      <c r="K71" s="21">
        <f>IF(COUNT(H71:J71)=0,"",SUM(H71:J71))</f>
        <v/>
      </c>
      <c r="L71" s="15" t="n"/>
      <c r="M71" s="15" t="n"/>
      <c r="N71" s="15" t="n"/>
      <c r="O71" s="21">
        <f>IF(COUNT(L71:N71)=0,"",SUM(L71:N71))</f>
        <v/>
      </c>
      <c r="P71" s="23">
        <f>IF(COUNT(G71,K71,O71)=0,"",ROUND(AVERAGE(G71,K71,O71),2))</f>
        <v/>
      </c>
      <c r="Q71" s="24">
        <f>IF(COUNT(E71,I71,M71)=0,"",ROUND(AVERAGE(E71,I71,M71),2))</f>
        <v/>
      </c>
    </row>
    <row r="72">
      <c r="A72" s="15" t="n"/>
      <c r="B72" s="21">
        <f>IF(A72="","",IFERROR(INDEX(작품목록!$B$4:$B$103,MATCH(A72,작품목록!$A$4:$A$103,0)),"번호 확인"))</f>
        <v/>
      </c>
      <c r="C72" s="22">
        <f>IF(A72="","",IFERROR(INDEX(작품목록!$F$4:$F$103,MATCH(A72,작품목록!$A$4:$A$103,0)),"작품목록에 없음"))</f>
        <v/>
      </c>
      <c r="D72" s="15" t="n"/>
      <c r="E72" s="15" t="n"/>
      <c r="F72" s="15" t="n"/>
      <c r="G72" s="21">
        <f>IF(COUNT(D72:F72)=0,"",SUM(D72:F72))</f>
        <v/>
      </c>
      <c r="H72" s="15" t="n"/>
      <c r="I72" s="15" t="n"/>
      <c r="J72" s="15" t="n"/>
      <c r="K72" s="21">
        <f>IF(COUNT(H72:J72)=0,"",SUM(H72:J72))</f>
        <v/>
      </c>
      <c r="L72" s="15" t="n"/>
      <c r="M72" s="15" t="n"/>
      <c r="N72" s="15" t="n"/>
      <c r="O72" s="21">
        <f>IF(COUNT(L72:N72)=0,"",SUM(L72:N72))</f>
        <v/>
      </c>
      <c r="P72" s="23">
        <f>IF(COUNT(G72,K72,O72)=0,"",ROUND(AVERAGE(G72,K72,O72),2))</f>
        <v/>
      </c>
      <c r="Q72" s="24">
        <f>IF(COUNT(E72,I72,M72)=0,"",ROUND(AVERAGE(E72,I72,M72),2))</f>
        <v/>
      </c>
    </row>
    <row r="73">
      <c r="A73" s="15" t="n"/>
      <c r="B73" s="21">
        <f>IF(A73="","",IFERROR(INDEX(작품목록!$B$4:$B$103,MATCH(A73,작품목록!$A$4:$A$103,0)),"번호 확인"))</f>
        <v/>
      </c>
      <c r="C73" s="22">
        <f>IF(A73="","",IFERROR(INDEX(작품목록!$F$4:$F$103,MATCH(A73,작품목록!$A$4:$A$103,0)),"작품목록에 없음"))</f>
        <v/>
      </c>
      <c r="D73" s="15" t="n"/>
      <c r="E73" s="15" t="n"/>
      <c r="F73" s="15" t="n"/>
      <c r="G73" s="21">
        <f>IF(COUNT(D73:F73)=0,"",SUM(D73:F73))</f>
        <v/>
      </c>
      <c r="H73" s="15" t="n"/>
      <c r="I73" s="15" t="n"/>
      <c r="J73" s="15" t="n"/>
      <c r="K73" s="21">
        <f>IF(COUNT(H73:J73)=0,"",SUM(H73:J73))</f>
        <v/>
      </c>
      <c r="L73" s="15" t="n"/>
      <c r="M73" s="15" t="n"/>
      <c r="N73" s="15" t="n"/>
      <c r="O73" s="21">
        <f>IF(COUNT(L73:N73)=0,"",SUM(L73:N73))</f>
        <v/>
      </c>
      <c r="P73" s="23">
        <f>IF(COUNT(G73,K73,O73)=0,"",ROUND(AVERAGE(G73,K73,O73),2))</f>
        <v/>
      </c>
      <c r="Q73" s="24">
        <f>IF(COUNT(E73,I73,M73)=0,"",ROUND(AVERAGE(E73,I73,M73),2))</f>
        <v/>
      </c>
    </row>
    <row r="74">
      <c r="A74" s="15" t="n"/>
      <c r="B74" s="21">
        <f>IF(A74="","",IFERROR(INDEX(작품목록!$B$4:$B$103,MATCH(A74,작품목록!$A$4:$A$103,0)),"번호 확인"))</f>
        <v/>
      </c>
      <c r="C74" s="22">
        <f>IF(A74="","",IFERROR(INDEX(작품목록!$F$4:$F$103,MATCH(A74,작품목록!$A$4:$A$103,0)),"작품목록에 없음"))</f>
        <v/>
      </c>
      <c r="D74" s="15" t="n"/>
      <c r="E74" s="15" t="n"/>
      <c r="F74" s="15" t="n"/>
      <c r="G74" s="21">
        <f>IF(COUNT(D74:F74)=0,"",SUM(D74:F74))</f>
        <v/>
      </c>
      <c r="H74" s="15" t="n"/>
      <c r="I74" s="15" t="n"/>
      <c r="J74" s="15" t="n"/>
      <c r="K74" s="21">
        <f>IF(COUNT(H74:J74)=0,"",SUM(H74:J74))</f>
        <v/>
      </c>
      <c r="L74" s="15" t="n"/>
      <c r="M74" s="15" t="n"/>
      <c r="N74" s="15" t="n"/>
      <c r="O74" s="21">
        <f>IF(COUNT(L74:N74)=0,"",SUM(L74:N74))</f>
        <v/>
      </c>
      <c r="P74" s="23">
        <f>IF(COUNT(G74,K74,O74)=0,"",ROUND(AVERAGE(G74,K74,O74),2))</f>
        <v/>
      </c>
      <c r="Q74" s="24">
        <f>IF(COUNT(E74,I74,M74)=0,"",ROUND(AVERAGE(E74,I74,M74),2))</f>
        <v/>
      </c>
    </row>
    <row r="75">
      <c r="A75" s="15" t="n"/>
      <c r="B75" s="21">
        <f>IF(A75="","",IFERROR(INDEX(작품목록!$B$4:$B$103,MATCH(A75,작품목록!$A$4:$A$103,0)),"번호 확인"))</f>
        <v/>
      </c>
      <c r="C75" s="22">
        <f>IF(A75="","",IFERROR(INDEX(작품목록!$F$4:$F$103,MATCH(A75,작품목록!$A$4:$A$103,0)),"작품목록에 없음"))</f>
        <v/>
      </c>
      <c r="D75" s="15" t="n"/>
      <c r="E75" s="15" t="n"/>
      <c r="F75" s="15" t="n"/>
      <c r="G75" s="21">
        <f>IF(COUNT(D75:F75)=0,"",SUM(D75:F75))</f>
        <v/>
      </c>
      <c r="H75" s="15" t="n"/>
      <c r="I75" s="15" t="n"/>
      <c r="J75" s="15" t="n"/>
      <c r="K75" s="21">
        <f>IF(COUNT(H75:J75)=0,"",SUM(H75:J75))</f>
        <v/>
      </c>
      <c r="L75" s="15" t="n"/>
      <c r="M75" s="15" t="n"/>
      <c r="N75" s="15" t="n"/>
      <c r="O75" s="21">
        <f>IF(COUNT(L75:N75)=0,"",SUM(L75:N75))</f>
        <v/>
      </c>
      <c r="P75" s="23">
        <f>IF(COUNT(G75,K75,O75)=0,"",ROUND(AVERAGE(G75,K75,O75),2))</f>
        <v/>
      </c>
      <c r="Q75" s="24">
        <f>IF(COUNT(E75,I75,M75)=0,"",ROUND(AVERAGE(E75,I75,M75),2))</f>
        <v/>
      </c>
    </row>
    <row r="76">
      <c r="A76" s="15" t="n"/>
      <c r="B76" s="21">
        <f>IF(A76="","",IFERROR(INDEX(작품목록!$B$4:$B$103,MATCH(A76,작품목록!$A$4:$A$103,0)),"번호 확인"))</f>
        <v/>
      </c>
      <c r="C76" s="22">
        <f>IF(A76="","",IFERROR(INDEX(작품목록!$F$4:$F$103,MATCH(A76,작품목록!$A$4:$A$103,0)),"작품목록에 없음"))</f>
        <v/>
      </c>
      <c r="D76" s="15" t="n"/>
      <c r="E76" s="15" t="n"/>
      <c r="F76" s="15" t="n"/>
      <c r="G76" s="21">
        <f>IF(COUNT(D76:F76)=0,"",SUM(D76:F76))</f>
        <v/>
      </c>
      <c r="H76" s="15" t="n"/>
      <c r="I76" s="15" t="n"/>
      <c r="J76" s="15" t="n"/>
      <c r="K76" s="21">
        <f>IF(COUNT(H76:J76)=0,"",SUM(H76:J76))</f>
        <v/>
      </c>
      <c r="L76" s="15" t="n"/>
      <c r="M76" s="15" t="n"/>
      <c r="N76" s="15" t="n"/>
      <c r="O76" s="21">
        <f>IF(COUNT(L76:N76)=0,"",SUM(L76:N76))</f>
        <v/>
      </c>
      <c r="P76" s="23">
        <f>IF(COUNT(G76,K76,O76)=0,"",ROUND(AVERAGE(G76,K76,O76),2))</f>
        <v/>
      </c>
      <c r="Q76" s="24">
        <f>IF(COUNT(E76,I76,M76)=0,"",ROUND(AVERAGE(E76,I76,M76),2))</f>
        <v/>
      </c>
    </row>
    <row r="77">
      <c r="A77" s="15" t="n"/>
      <c r="B77" s="21">
        <f>IF(A77="","",IFERROR(INDEX(작품목록!$B$4:$B$103,MATCH(A77,작품목록!$A$4:$A$103,0)),"번호 확인"))</f>
        <v/>
      </c>
      <c r="C77" s="22">
        <f>IF(A77="","",IFERROR(INDEX(작품목록!$F$4:$F$103,MATCH(A77,작품목록!$A$4:$A$103,0)),"작품목록에 없음"))</f>
        <v/>
      </c>
      <c r="D77" s="15" t="n"/>
      <c r="E77" s="15" t="n"/>
      <c r="F77" s="15" t="n"/>
      <c r="G77" s="21">
        <f>IF(COUNT(D77:F77)=0,"",SUM(D77:F77))</f>
        <v/>
      </c>
      <c r="H77" s="15" t="n"/>
      <c r="I77" s="15" t="n"/>
      <c r="J77" s="15" t="n"/>
      <c r="K77" s="21">
        <f>IF(COUNT(H77:J77)=0,"",SUM(H77:J77))</f>
        <v/>
      </c>
      <c r="L77" s="15" t="n"/>
      <c r="M77" s="15" t="n"/>
      <c r="N77" s="15" t="n"/>
      <c r="O77" s="21">
        <f>IF(COUNT(L77:N77)=0,"",SUM(L77:N77))</f>
        <v/>
      </c>
      <c r="P77" s="23">
        <f>IF(COUNT(G77,K77,O77)=0,"",ROUND(AVERAGE(G77,K77,O77),2))</f>
        <v/>
      </c>
      <c r="Q77" s="24">
        <f>IF(COUNT(E77,I77,M77)=0,"",ROUND(AVERAGE(E77,I77,M77),2))</f>
        <v/>
      </c>
    </row>
    <row r="78">
      <c r="A78" s="15" t="n"/>
      <c r="B78" s="21">
        <f>IF(A78="","",IFERROR(INDEX(작품목록!$B$4:$B$103,MATCH(A78,작품목록!$A$4:$A$103,0)),"번호 확인"))</f>
        <v/>
      </c>
      <c r="C78" s="22">
        <f>IF(A78="","",IFERROR(INDEX(작품목록!$F$4:$F$103,MATCH(A78,작품목록!$A$4:$A$103,0)),"작품목록에 없음"))</f>
        <v/>
      </c>
      <c r="D78" s="15" t="n"/>
      <c r="E78" s="15" t="n"/>
      <c r="F78" s="15" t="n"/>
      <c r="G78" s="21">
        <f>IF(COUNT(D78:F78)=0,"",SUM(D78:F78))</f>
        <v/>
      </c>
      <c r="H78" s="15" t="n"/>
      <c r="I78" s="15" t="n"/>
      <c r="J78" s="15" t="n"/>
      <c r="K78" s="21">
        <f>IF(COUNT(H78:J78)=0,"",SUM(H78:J78))</f>
        <v/>
      </c>
      <c r="L78" s="15" t="n"/>
      <c r="M78" s="15" t="n"/>
      <c r="N78" s="15" t="n"/>
      <c r="O78" s="21">
        <f>IF(COUNT(L78:N78)=0,"",SUM(L78:N78))</f>
        <v/>
      </c>
      <c r="P78" s="23">
        <f>IF(COUNT(G78,K78,O78)=0,"",ROUND(AVERAGE(G78,K78,O78),2))</f>
        <v/>
      </c>
      <c r="Q78" s="24">
        <f>IF(COUNT(E78,I78,M78)=0,"",ROUND(AVERAGE(E78,I78,M78),2))</f>
        <v/>
      </c>
    </row>
    <row r="79">
      <c r="A79" s="15" t="n"/>
      <c r="B79" s="21">
        <f>IF(A79="","",IFERROR(INDEX(작품목록!$B$4:$B$103,MATCH(A79,작품목록!$A$4:$A$103,0)),"번호 확인"))</f>
        <v/>
      </c>
      <c r="C79" s="22">
        <f>IF(A79="","",IFERROR(INDEX(작품목록!$F$4:$F$103,MATCH(A79,작품목록!$A$4:$A$103,0)),"작품목록에 없음"))</f>
        <v/>
      </c>
      <c r="D79" s="15" t="n"/>
      <c r="E79" s="15" t="n"/>
      <c r="F79" s="15" t="n"/>
      <c r="G79" s="21">
        <f>IF(COUNT(D79:F79)=0,"",SUM(D79:F79))</f>
        <v/>
      </c>
      <c r="H79" s="15" t="n"/>
      <c r="I79" s="15" t="n"/>
      <c r="J79" s="15" t="n"/>
      <c r="K79" s="21">
        <f>IF(COUNT(H79:J79)=0,"",SUM(H79:J79))</f>
        <v/>
      </c>
      <c r="L79" s="15" t="n"/>
      <c r="M79" s="15" t="n"/>
      <c r="N79" s="15" t="n"/>
      <c r="O79" s="21">
        <f>IF(COUNT(L79:N79)=0,"",SUM(L79:N79))</f>
        <v/>
      </c>
      <c r="P79" s="23">
        <f>IF(COUNT(G79,K79,O79)=0,"",ROUND(AVERAGE(G79,K79,O79),2))</f>
        <v/>
      </c>
      <c r="Q79" s="24">
        <f>IF(COUNT(E79,I79,M79)=0,"",ROUND(AVERAGE(E79,I79,M79),2))</f>
        <v/>
      </c>
    </row>
    <row r="80">
      <c r="A80" s="15" t="n"/>
      <c r="B80" s="21">
        <f>IF(A80="","",IFERROR(INDEX(작품목록!$B$4:$B$103,MATCH(A80,작품목록!$A$4:$A$103,0)),"번호 확인"))</f>
        <v/>
      </c>
      <c r="C80" s="22">
        <f>IF(A80="","",IFERROR(INDEX(작품목록!$F$4:$F$103,MATCH(A80,작품목록!$A$4:$A$103,0)),"작품목록에 없음"))</f>
        <v/>
      </c>
      <c r="D80" s="15" t="n"/>
      <c r="E80" s="15" t="n"/>
      <c r="F80" s="15" t="n"/>
      <c r="G80" s="21">
        <f>IF(COUNT(D80:F80)=0,"",SUM(D80:F80))</f>
        <v/>
      </c>
      <c r="H80" s="15" t="n"/>
      <c r="I80" s="15" t="n"/>
      <c r="J80" s="15" t="n"/>
      <c r="K80" s="21">
        <f>IF(COUNT(H80:J80)=0,"",SUM(H80:J80))</f>
        <v/>
      </c>
      <c r="L80" s="15" t="n"/>
      <c r="M80" s="15" t="n"/>
      <c r="N80" s="15" t="n"/>
      <c r="O80" s="21">
        <f>IF(COUNT(L80:N80)=0,"",SUM(L80:N80))</f>
        <v/>
      </c>
      <c r="P80" s="23">
        <f>IF(COUNT(G80,K80,O80)=0,"",ROUND(AVERAGE(G80,K80,O80),2))</f>
        <v/>
      </c>
      <c r="Q80" s="24">
        <f>IF(COUNT(E80,I80,M80)=0,"",ROUND(AVERAGE(E80,I80,M80),2))</f>
        <v/>
      </c>
    </row>
    <row r="81">
      <c r="A81" s="15" t="n"/>
      <c r="B81" s="21">
        <f>IF(A81="","",IFERROR(INDEX(작품목록!$B$4:$B$103,MATCH(A81,작품목록!$A$4:$A$103,0)),"번호 확인"))</f>
        <v/>
      </c>
      <c r="C81" s="22">
        <f>IF(A81="","",IFERROR(INDEX(작품목록!$F$4:$F$103,MATCH(A81,작품목록!$A$4:$A$103,0)),"작품목록에 없음"))</f>
        <v/>
      </c>
      <c r="D81" s="15" t="n"/>
      <c r="E81" s="15" t="n"/>
      <c r="F81" s="15" t="n"/>
      <c r="G81" s="21">
        <f>IF(COUNT(D81:F81)=0,"",SUM(D81:F81))</f>
        <v/>
      </c>
      <c r="H81" s="15" t="n"/>
      <c r="I81" s="15" t="n"/>
      <c r="J81" s="15" t="n"/>
      <c r="K81" s="21">
        <f>IF(COUNT(H81:J81)=0,"",SUM(H81:J81))</f>
        <v/>
      </c>
      <c r="L81" s="15" t="n"/>
      <c r="M81" s="15" t="n"/>
      <c r="N81" s="15" t="n"/>
      <c r="O81" s="21">
        <f>IF(COUNT(L81:N81)=0,"",SUM(L81:N81))</f>
        <v/>
      </c>
      <c r="P81" s="23">
        <f>IF(COUNT(G81,K81,O81)=0,"",ROUND(AVERAGE(G81,K81,O81),2))</f>
        <v/>
      </c>
      <c r="Q81" s="24">
        <f>IF(COUNT(E81,I81,M81)=0,"",ROUND(AVERAGE(E81,I81,M81),2))</f>
        <v/>
      </c>
    </row>
    <row r="82">
      <c r="A82" s="15" t="n"/>
      <c r="B82" s="21">
        <f>IF(A82="","",IFERROR(INDEX(작품목록!$B$4:$B$103,MATCH(A82,작품목록!$A$4:$A$103,0)),"번호 확인"))</f>
        <v/>
      </c>
      <c r="C82" s="22">
        <f>IF(A82="","",IFERROR(INDEX(작품목록!$F$4:$F$103,MATCH(A82,작품목록!$A$4:$A$103,0)),"작품목록에 없음"))</f>
        <v/>
      </c>
      <c r="D82" s="15" t="n"/>
      <c r="E82" s="15" t="n"/>
      <c r="F82" s="15" t="n"/>
      <c r="G82" s="21">
        <f>IF(COUNT(D82:F82)=0,"",SUM(D82:F82))</f>
        <v/>
      </c>
      <c r="H82" s="15" t="n"/>
      <c r="I82" s="15" t="n"/>
      <c r="J82" s="15" t="n"/>
      <c r="K82" s="21">
        <f>IF(COUNT(H82:J82)=0,"",SUM(H82:J82))</f>
        <v/>
      </c>
      <c r="L82" s="15" t="n"/>
      <c r="M82" s="15" t="n"/>
      <c r="N82" s="15" t="n"/>
      <c r="O82" s="21">
        <f>IF(COUNT(L82:N82)=0,"",SUM(L82:N82))</f>
        <v/>
      </c>
      <c r="P82" s="23">
        <f>IF(COUNT(G82,K82,O82)=0,"",ROUND(AVERAGE(G82,K82,O82),2))</f>
        <v/>
      </c>
      <c r="Q82" s="24">
        <f>IF(COUNT(E82,I82,M82)=0,"",ROUND(AVERAGE(E82,I82,M82),2))</f>
        <v/>
      </c>
    </row>
    <row r="83">
      <c r="A83" s="15" t="n"/>
      <c r="B83" s="21">
        <f>IF(A83="","",IFERROR(INDEX(작품목록!$B$4:$B$103,MATCH(A83,작품목록!$A$4:$A$103,0)),"번호 확인"))</f>
        <v/>
      </c>
      <c r="C83" s="22">
        <f>IF(A83="","",IFERROR(INDEX(작품목록!$F$4:$F$103,MATCH(A83,작품목록!$A$4:$A$103,0)),"작품목록에 없음"))</f>
        <v/>
      </c>
      <c r="D83" s="15" t="n"/>
      <c r="E83" s="15" t="n"/>
      <c r="F83" s="15" t="n"/>
      <c r="G83" s="21">
        <f>IF(COUNT(D83:F83)=0,"",SUM(D83:F83))</f>
        <v/>
      </c>
      <c r="H83" s="15" t="n"/>
      <c r="I83" s="15" t="n"/>
      <c r="J83" s="15" t="n"/>
      <c r="K83" s="21">
        <f>IF(COUNT(H83:J83)=0,"",SUM(H83:J83))</f>
        <v/>
      </c>
      <c r="L83" s="15" t="n"/>
      <c r="M83" s="15" t="n"/>
      <c r="N83" s="15" t="n"/>
      <c r="O83" s="21">
        <f>IF(COUNT(L83:N83)=0,"",SUM(L83:N83))</f>
        <v/>
      </c>
      <c r="P83" s="23">
        <f>IF(COUNT(G83,K83,O83)=0,"",ROUND(AVERAGE(G83,K83,O83),2))</f>
        <v/>
      </c>
      <c r="Q83" s="24">
        <f>IF(COUNT(E83,I83,M83)=0,"",ROUND(AVERAGE(E83,I83,M83),2))</f>
        <v/>
      </c>
    </row>
    <row r="84">
      <c r="A84" s="15" t="n"/>
      <c r="B84" s="21">
        <f>IF(A84="","",IFERROR(INDEX(작품목록!$B$4:$B$103,MATCH(A84,작품목록!$A$4:$A$103,0)),"번호 확인"))</f>
        <v/>
      </c>
      <c r="C84" s="22">
        <f>IF(A84="","",IFERROR(INDEX(작품목록!$F$4:$F$103,MATCH(A84,작품목록!$A$4:$A$103,0)),"작품목록에 없음"))</f>
        <v/>
      </c>
      <c r="D84" s="15" t="n"/>
      <c r="E84" s="15" t="n"/>
      <c r="F84" s="15" t="n"/>
      <c r="G84" s="21">
        <f>IF(COUNT(D84:F84)=0,"",SUM(D84:F84))</f>
        <v/>
      </c>
      <c r="H84" s="15" t="n"/>
      <c r="I84" s="15" t="n"/>
      <c r="J84" s="15" t="n"/>
      <c r="K84" s="21">
        <f>IF(COUNT(H84:J84)=0,"",SUM(H84:J84))</f>
        <v/>
      </c>
      <c r="L84" s="15" t="n"/>
      <c r="M84" s="15" t="n"/>
      <c r="N84" s="15" t="n"/>
      <c r="O84" s="21">
        <f>IF(COUNT(L84:N84)=0,"",SUM(L84:N84))</f>
        <v/>
      </c>
      <c r="P84" s="23">
        <f>IF(COUNT(G84,K84,O84)=0,"",ROUND(AVERAGE(G84,K84,O84),2))</f>
        <v/>
      </c>
      <c r="Q84" s="24">
        <f>IF(COUNT(E84,I84,M84)=0,"",ROUND(AVERAGE(E84,I84,M84),2))</f>
        <v/>
      </c>
    </row>
    <row r="85">
      <c r="A85" s="15" t="n"/>
      <c r="B85" s="21">
        <f>IF(A85="","",IFERROR(INDEX(작품목록!$B$4:$B$103,MATCH(A85,작품목록!$A$4:$A$103,0)),"번호 확인"))</f>
        <v/>
      </c>
      <c r="C85" s="22">
        <f>IF(A85="","",IFERROR(INDEX(작품목록!$F$4:$F$103,MATCH(A85,작품목록!$A$4:$A$103,0)),"작품목록에 없음"))</f>
        <v/>
      </c>
      <c r="D85" s="15" t="n"/>
      <c r="E85" s="15" t="n"/>
      <c r="F85" s="15" t="n"/>
      <c r="G85" s="21">
        <f>IF(COUNT(D85:F85)=0,"",SUM(D85:F85))</f>
        <v/>
      </c>
      <c r="H85" s="15" t="n"/>
      <c r="I85" s="15" t="n"/>
      <c r="J85" s="15" t="n"/>
      <c r="K85" s="21">
        <f>IF(COUNT(H85:J85)=0,"",SUM(H85:J85))</f>
        <v/>
      </c>
      <c r="L85" s="15" t="n"/>
      <c r="M85" s="15" t="n"/>
      <c r="N85" s="15" t="n"/>
      <c r="O85" s="21">
        <f>IF(COUNT(L85:N85)=0,"",SUM(L85:N85))</f>
        <v/>
      </c>
      <c r="P85" s="23">
        <f>IF(COUNT(G85,K85,O85)=0,"",ROUND(AVERAGE(G85,K85,O85),2))</f>
        <v/>
      </c>
      <c r="Q85" s="24">
        <f>IF(COUNT(E85,I85,M85)=0,"",ROUND(AVERAGE(E85,I85,M85),2))</f>
        <v/>
      </c>
    </row>
    <row r="86">
      <c r="A86" s="15" t="n"/>
      <c r="B86" s="21">
        <f>IF(A86="","",IFERROR(INDEX(작품목록!$B$4:$B$103,MATCH(A86,작품목록!$A$4:$A$103,0)),"번호 확인"))</f>
        <v/>
      </c>
      <c r="C86" s="22">
        <f>IF(A86="","",IFERROR(INDEX(작품목록!$F$4:$F$103,MATCH(A86,작품목록!$A$4:$A$103,0)),"작품목록에 없음"))</f>
        <v/>
      </c>
      <c r="D86" s="15" t="n"/>
      <c r="E86" s="15" t="n"/>
      <c r="F86" s="15" t="n"/>
      <c r="G86" s="21">
        <f>IF(COUNT(D86:F86)=0,"",SUM(D86:F86))</f>
        <v/>
      </c>
      <c r="H86" s="15" t="n"/>
      <c r="I86" s="15" t="n"/>
      <c r="J86" s="15" t="n"/>
      <c r="K86" s="21">
        <f>IF(COUNT(H86:J86)=0,"",SUM(H86:J86))</f>
        <v/>
      </c>
      <c r="L86" s="15" t="n"/>
      <c r="M86" s="15" t="n"/>
      <c r="N86" s="15" t="n"/>
      <c r="O86" s="21">
        <f>IF(COUNT(L86:N86)=0,"",SUM(L86:N86))</f>
        <v/>
      </c>
      <c r="P86" s="23">
        <f>IF(COUNT(G86,K86,O86)=0,"",ROUND(AVERAGE(G86,K86,O86),2))</f>
        <v/>
      </c>
      <c r="Q86" s="24">
        <f>IF(COUNT(E86,I86,M86)=0,"",ROUND(AVERAGE(E86,I86,M86),2))</f>
        <v/>
      </c>
    </row>
    <row r="87">
      <c r="A87" s="15" t="n"/>
      <c r="B87" s="21">
        <f>IF(A87="","",IFERROR(INDEX(작품목록!$B$4:$B$103,MATCH(A87,작품목록!$A$4:$A$103,0)),"번호 확인"))</f>
        <v/>
      </c>
      <c r="C87" s="22">
        <f>IF(A87="","",IFERROR(INDEX(작품목록!$F$4:$F$103,MATCH(A87,작품목록!$A$4:$A$103,0)),"작품목록에 없음"))</f>
        <v/>
      </c>
      <c r="D87" s="15" t="n"/>
      <c r="E87" s="15" t="n"/>
      <c r="F87" s="15" t="n"/>
      <c r="G87" s="21">
        <f>IF(COUNT(D87:F87)=0,"",SUM(D87:F87))</f>
        <v/>
      </c>
      <c r="H87" s="15" t="n"/>
      <c r="I87" s="15" t="n"/>
      <c r="J87" s="15" t="n"/>
      <c r="K87" s="21">
        <f>IF(COUNT(H87:J87)=0,"",SUM(H87:J87))</f>
        <v/>
      </c>
      <c r="L87" s="15" t="n"/>
      <c r="M87" s="15" t="n"/>
      <c r="N87" s="15" t="n"/>
      <c r="O87" s="21">
        <f>IF(COUNT(L87:N87)=0,"",SUM(L87:N87))</f>
        <v/>
      </c>
      <c r="P87" s="23">
        <f>IF(COUNT(G87,K87,O87)=0,"",ROUND(AVERAGE(G87,K87,O87),2))</f>
        <v/>
      </c>
      <c r="Q87" s="24">
        <f>IF(COUNT(E87,I87,M87)=0,"",ROUND(AVERAGE(E87,I87,M87),2))</f>
        <v/>
      </c>
    </row>
    <row r="88">
      <c r="A88" s="15" t="n"/>
      <c r="B88" s="21">
        <f>IF(A88="","",IFERROR(INDEX(작품목록!$B$4:$B$103,MATCH(A88,작품목록!$A$4:$A$103,0)),"번호 확인"))</f>
        <v/>
      </c>
      <c r="C88" s="22">
        <f>IF(A88="","",IFERROR(INDEX(작품목록!$F$4:$F$103,MATCH(A88,작품목록!$A$4:$A$103,0)),"작품목록에 없음"))</f>
        <v/>
      </c>
      <c r="D88" s="15" t="n"/>
      <c r="E88" s="15" t="n"/>
      <c r="F88" s="15" t="n"/>
      <c r="G88" s="21">
        <f>IF(COUNT(D88:F88)=0,"",SUM(D88:F88))</f>
        <v/>
      </c>
      <c r="H88" s="15" t="n"/>
      <c r="I88" s="15" t="n"/>
      <c r="J88" s="15" t="n"/>
      <c r="K88" s="21">
        <f>IF(COUNT(H88:J88)=0,"",SUM(H88:J88))</f>
        <v/>
      </c>
      <c r="L88" s="15" t="n"/>
      <c r="M88" s="15" t="n"/>
      <c r="N88" s="15" t="n"/>
      <c r="O88" s="21">
        <f>IF(COUNT(L88:N88)=0,"",SUM(L88:N88))</f>
        <v/>
      </c>
      <c r="P88" s="23">
        <f>IF(COUNT(G88,K88,O88)=0,"",ROUND(AVERAGE(G88,K88,O88),2))</f>
        <v/>
      </c>
      <c r="Q88" s="24">
        <f>IF(COUNT(E88,I88,M88)=0,"",ROUND(AVERAGE(E88,I88,M88),2))</f>
        <v/>
      </c>
    </row>
    <row r="89">
      <c r="A89" s="15" t="n"/>
      <c r="B89" s="21">
        <f>IF(A89="","",IFERROR(INDEX(작품목록!$B$4:$B$103,MATCH(A89,작품목록!$A$4:$A$103,0)),"번호 확인"))</f>
        <v/>
      </c>
      <c r="C89" s="22">
        <f>IF(A89="","",IFERROR(INDEX(작품목록!$F$4:$F$103,MATCH(A89,작품목록!$A$4:$A$103,0)),"작품목록에 없음"))</f>
        <v/>
      </c>
      <c r="D89" s="15" t="n"/>
      <c r="E89" s="15" t="n"/>
      <c r="F89" s="15" t="n"/>
      <c r="G89" s="21">
        <f>IF(COUNT(D89:F89)=0,"",SUM(D89:F89))</f>
        <v/>
      </c>
      <c r="H89" s="15" t="n"/>
      <c r="I89" s="15" t="n"/>
      <c r="J89" s="15" t="n"/>
      <c r="K89" s="21">
        <f>IF(COUNT(H89:J89)=0,"",SUM(H89:J89))</f>
        <v/>
      </c>
      <c r="L89" s="15" t="n"/>
      <c r="M89" s="15" t="n"/>
      <c r="N89" s="15" t="n"/>
      <c r="O89" s="21">
        <f>IF(COUNT(L89:N89)=0,"",SUM(L89:N89))</f>
        <v/>
      </c>
      <c r="P89" s="23">
        <f>IF(COUNT(G89,K89,O89)=0,"",ROUND(AVERAGE(G89,K89,O89),2))</f>
        <v/>
      </c>
      <c r="Q89" s="24">
        <f>IF(COUNT(E89,I89,M89)=0,"",ROUND(AVERAGE(E89,I89,M89),2))</f>
        <v/>
      </c>
    </row>
    <row r="90">
      <c r="A90" s="15" t="n"/>
      <c r="B90" s="21">
        <f>IF(A90="","",IFERROR(INDEX(작품목록!$B$4:$B$103,MATCH(A90,작품목록!$A$4:$A$103,0)),"번호 확인"))</f>
        <v/>
      </c>
      <c r="C90" s="22">
        <f>IF(A90="","",IFERROR(INDEX(작품목록!$F$4:$F$103,MATCH(A90,작품목록!$A$4:$A$103,0)),"작품목록에 없음"))</f>
        <v/>
      </c>
      <c r="D90" s="15" t="n"/>
      <c r="E90" s="15" t="n"/>
      <c r="F90" s="15" t="n"/>
      <c r="G90" s="21">
        <f>IF(COUNT(D90:F90)=0,"",SUM(D90:F90))</f>
        <v/>
      </c>
      <c r="H90" s="15" t="n"/>
      <c r="I90" s="15" t="n"/>
      <c r="J90" s="15" t="n"/>
      <c r="K90" s="21">
        <f>IF(COUNT(H90:J90)=0,"",SUM(H90:J90))</f>
        <v/>
      </c>
      <c r="L90" s="15" t="n"/>
      <c r="M90" s="15" t="n"/>
      <c r="N90" s="15" t="n"/>
      <c r="O90" s="21">
        <f>IF(COUNT(L90:N90)=0,"",SUM(L90:N90))</f>
        <v/>
      </c>
      <c r="P90" s="23">
        <f>IF(COUNT(G90,K90,O90)=0,"",ROUND(AVERAGE(G90,K90,O90),2))</f>
        <v/>
      </c>
      <c r="Q90" s="24">
        <f>IF(COUNT(E90,I90,M90)=0,"",ROUND(AVERAGE(E90,I90,M90),2))</f>
        <v/>
      </c>
    </row>
    <row r="91">
      <c r="A91" s="15" t="n"/>
      <c r="B91" s="21">
        <f>IF(A91="","",IFERROR(INDEX(작품목록!$B$4:$B$103,MATCH(A91,작품목록!$A$4:$A$103,0)),"번호 확인"))</f>
        <v/>
      </c>
      <c r="C91" s="22">
        <f>IF(A91="","",IFERROR(INDEX(작품목록!$F$4:$F$103,MATCH(A91,작품목록!$A$4:$A$103,0)),"작품목록에 없음"))</f>
        <v/>
      </c>
      <c r="D91" s="15" t="n"/>
      <c r="E91" s="15" t="n"/>
      <c r="F91" s="15" t="n"/>
      <c r="G91" s="21">
        <f>IF(COUNT(D91:F91)=0,"",SUM(D91:F91))</f>
        <v/>
      </c>
      <c r="H91" s="15" t="n"/>
      <c r="I91" s="15" t="n"/>
      <c r="J91" s="15" t="n"/>
      <c r="K91" s="21">
        <f>IF(COUNT(H91:J91)=0,"",SUM(H91:J91))</f>
        <v/>
      </c>
      <c r="L91" s="15" t="n"/>
      <c r="M91" s="15" t="n"/>
      <c r="N91" s="15" t="n"/>
      <c r="O91" s="21">
        <f>IF(COUNT(L91:N91)=0,"",SUM(L91:N91))</f>
        <v/>
      </c>
      <c r="P91" s="23">
        <f>IF(COUNT(G91,K91,O91)=0,"",ROUND(AVERAGE(G91,K91,O91),2))</f>
        <v/>
      </c>
      <c r="Q91" s="24">
        <f>IF(COUNT(E91,I91,M91)=0,"",ROUND(AVERAGE(E91,I91,M91),2))</f>
        <v/>
      </c>
    </row>
    <row r="92">
      <c r="A92" s="15" t="n"/>
      <c r="B92" s="21">
        <f>IF(A92="","",IFERROR(INDEX(작품목록!$B$4:$B$103,MATCH(A92,작품목록!$A$4:$A$103,0)),"번호 확인"))</f>
        <v/>
      </c>
      <c r="C92" s="22">
        <f>IF(A92="","",IFERROR(INDEX(작품목록!$F$4:$F$103,MATCH(A92,작품목록!$A$4:$A$103,0)),"작품목록에 없음"))</f>
        <v/>
      </c>
      <c r="D92" s="15" t="n"/>
      <c r="E92" s="15" t="n"/>
      <c r="F92" s="15" t="n"/>
      <c r="G92" s="21">
        <f>IF(COUNT(D92:F92)=0,"",SUM(D92:F92))</f>
        <v/>
      </c>
      <c r="H92" s="15" t="n"/>
      <c r="I92" s="15" t="n"/>
      <c r="J92" s="15" t="n"/>
      <c r="K92" s="21">
        <f>IF(COUNT(H92:J92)=0,"",SUM(H92:J92))</f>
        <v/>
      </c>
      <c r="L92" s="15" t="n"/>
      <c r="M92" s="15" t="n"/>
      <c r="N92" s="15" t="n"/>
      <c r="O92" s="21">
        <f>IF(COUNT(L92:N92)=0,"",SUM(L92:N92))</f>
        <v/>
      </c>
      <c r="P92" s="23">
        <f>IF(COUNT(G92,K92,O92)=0,"",ROUND(AVERAGE(G92,K92,O92),2))</f>
        <v/>
      </c>
      <c r="Q92" s="24">
        <f>IF(COUNT(E92,I92,M92)=0,"",ROUND(AVERAGE(E92,I92,M92),2))</f>
        <v/>
      </c>
    </row>
    <row r="93">
      <c r="A93" s="15" t="n"/>
      <c r="B93" s="21">
        <f>IF(A93="","",IFERROR(INDEX(작품목록!$B$4:$B$103,MATCH(A93,작품목록!$A$4:$A$103,0)),"번호 확인"))</f>
        <v/>
      </c>
      <c r="C93" s="22">
        <f>IF(A93="","",IFERROR(INDEX(작품목록!$F$4:$F$103,MATCH(A93,작품목록!$A$4:$A$103,0)),"작품목록에 없음"))</f>
        <v/>
      </c>
      <c r="D93" s="15" t="n"/>
      <c r="E93" s="15" t="n"/>
      <c r="F93" s="15" t="n"/>
      <c r="G93" s="21">
        <f>IF(COUNT(D93:F93)=0,"",SUM(D93:F93))</f>
        <v/>
      </c>
      <c r="H93" s="15" t="n"/>
      <c r="I93" s="15" t="n"/>
      <c r="J93" s="15" t="n"/>
      <c r="K93" s="21">
        <f>IF(COUNT(H93:J93)=0,"",SUM(H93:J93))</f>
        <v/>
      </c>
      <c r="L93" s="15" t="n"/>
      <c r="M93" s="15" t="n"/>
      <c r="N93" s="15" t="n"/>
      <c r="O93" s="21">
        <f>IF(COUNT(L93:N93)=0,"",SUM(L93:N93))</f>
        <v/>
      </c>
      <c r="P93" s="23">
        <f>IF(COUNT(G93,K93,O93)=0,"",ROUND(AVERAGE(G93,K93,O93),2))</f>
        <v/>
      </c>
      <c r="Q93" s="24">
        <f>IF(COUNT(E93,I93,M93)=0,"",ROUND(AVERAGE(E93,I93,M93),2))</f>
        <v/>
      </c>
    </row>
    <row r="94">
      <c r="A94" s="15" t="n"/>
      <c r="B94" s="21">
        <f>IF(A94="","",IFERROR(INDEX(작품목록!$B$4:$B$103,MATCH(A94,작품목록!$A$4:$A$103,0)),"번호 확인"))</f>
        <v/>
      </c>
      <c r="C94" s="22">
        <f>IF(A94="","",IFERROR(INDEX(작품목록!$F$4:$F$103,MATCH(A94,작품목록!$A$4:$A$103,0)),"작품목록에 없음"))</f>
        <v/>
      </c>
      <c r="D94" s="15" t="n"/>
      <c r="E94" s="15" t="n"/>
      <c r="F94" s="15" t="n"/>
      <c r="G94" s="21">
        <f>IF(COUNT(D94:F94)=0,"",SUM(D94:F94))</f>
        <v/>
      </c>
      <c r="H94" s="15" t="n"/>
      <c r="I94" s="15" t="n"/>
      <c r="J94" s="15" t="n"/>
      <c r="K94" s="21">
        <f>IF(COUNT(H94:J94)=0,"",SUM(H94:J94))</f>
        <v/>
      </c>
      <c r="L94" s="15" t="n"/>
      <c r="M94" s="15" t="n"/>
      <c r="N94" s="15" t="n"/>
      <c r="O94" s="21">
        <f>IF(COUNT(L94:N94)=0,"",SUM(L94:N94))</f>
        <v/>
      </c>
      <c r="P94" s="23">
        <f>IF(COUNT(G94,K94,O94)=0,"",ROUND(AVERAGE(G94,K94,O94),2))</f>
        <v/>
      </c>
      <c r="Q94" s="24">
        <f>IF(COUNT(E94,I94,M94)=0,"",ROUND(AVERAGE(E94,I94,M94),2))</f>
        <v/>
      </c>
    </row>
    <row r="95">
      <c r="A95" s="15" t="n"/>
      <c r="B95" s="21">
        <f>IF(A95="","",IFERROR(INDEX(작품목록!$B$4:$B$103,MATCH(A95,작품목록!$A$4:$A$103,0)),"번호 확인"))</f>
        <v/>
      </c>
      <c r="C95" s="22">
        <f>IF(A95="","",IFERROR(INDEX(작품목록!$F$4:$F$103,MATCH(A95,작품목록!$A$4:$A$103,0)),"작품목록에 없음"))</f>
        <v/>
      </c>
      <c r="D95" s="15" t="n"/>
      <c r="E95" s="15" t="n"/>
      <c r="F95" s="15" t="n"/>
      <c r="G95" s="21">
        <f>IF(COUNT(D95:F95)=0,"",SUM(D95:F95))</f>
        <v/>
      </c>
      <c r="H95" s="15" t="n"/>
      <c r="I95" s="15" t="n"/>
      <c r="J95" s="15" t="n"/>
      <c r="K95" s="21">
        <f>IF(COUNT(H95:J95)=0,"",SUM(H95:J95))</f>
        <v/>
      </c>
      <c r="L95" s="15" t="n"/>
      <c r="M95" s="15" t="n"/>
      <c r="N95" s="15" t="n"/>
      <c r="O95" s="21">
        <f>IF(COUNT(L95:N95)=0,"",SUM(L95:N95))</f>
        <v/>
      </c>
      <c r="P95" s="23">
        <f>IF(COUNT(G95,K95,O95)=0,"",ROUND(AVERAGE(G95,K95,O95),2))</f>
        <v/>
      </c>
      <c r="Q95" s="24">
        <f>IF(COUNT(E95,I95,M95)=0,"",ROUND(AVERAGE(E95,I95,M95),2))</f>
        <v/>
      </c>
    </row>
    <row r="96">
      <c r="A96" s="15" t="n"/>
      <c r="B96" s="21">
        <f>IF(A96="","",IFERROR(INDEX(작품목록!$B$4:$B$103,MATCH(A96,작품목록!$A$4:$A$103,0)),"번호 확인"))</f>
        <v/>
      </c>
      <c r="C96" s="22">
        <f>IF(A96="","",IFERROR(INDEX(작품목록!$F$4:$F$103,MATCH(A96,작품목록!$A$4:$A$103,0)),"작품목록에 없음"))</f>
        <v/>
      </c>
      <c r="D96" s="15" t="n"/>
      <c r="E96" s="15" t="n"/>
      <c r="F96" s="15" t="n"/>
      <c r="G96" s="21">
        <f>IF(COUNT(D96:F96)=0,"",SUM(D96:F96))</f>
        <v/>
      </c>
      <c r="H96" s="15" t="n"/>
      <c r="I96" s="15" t="n"/>
      <c r="J96" s="15" t="n"/>
      <c r="K96" s="21">
        <f>IF(COUNT(H96:J96)=0,"",SUM(H96:J96))</f>
        <v/>
      </c>
      <c r="L96" s="15" t="n"/>
      <c r="M96" s="15" t="n"/>
      <c r="N96" s="15" t="n"/>
      <c r="O96" s="21">
        <f>IF(COUNT(L96:N96)=0,"",SUM(L96:N96))</f>
        <v/>
      </c>
      <c r="P96" s="23">
        <f>IF(COUNT(G96,K96,O96)=0,"",ROUND(AVERAGE(G96,K96,O96),2))</f>
        <v/>
      </c>
      <c r="Q96" s="24">
        <f>IF(COUNT(E96,I96,M96)=0,"",ROUND(AVERAGE(E96,I96,M96),2))</f>
        <v/>
      </c>
    </row>
    <row r="97">
      <c r="A97" s="15" t="n"/>
      <c r="B97" s="21">
        <f>IF(A97="","",IFERROR(INDEX(작품목록!$B$4:$B$103,MATCH(A97,작품목록!$A$4:$A$103,0)),"번호 확인"))</f>
        <v/>
      </c>
      <c r="C97" s="22">
        <f>IF(A97="","",IFERROR(INDEX(작품목록!$F$4:$F$103,MATCH(A97,작품목록!$A$4:$A$103,0)),"작품목록에 없음"))</f>
        <v/>
      </c>
      <c r="D97" s="15" t="n"/>
      <c r="E97" s="15" t="n"/>
      <c r="F97" s="15" t="n"/>
      <c r="G97" s="21">
        <f>IF(COUNT(D97:F97)=0,"",SUM(D97:F97))</f>
        <v/>
      </c>
      <c r="H97" s="15" t="n"/>
      <c r="I97" s="15" t="n"/>
      <c r="J97" s="15" t="n"/>
      <c r="K97" s="21">
        <f>IF(COUNT(H97:J97)=0,"",SUM(H97:J97))</f>
        <v/>
      </c>
      <c r="L97" s="15" t="n"/>
      <c r="M97" s="15" t="n"/>
      <c r="N97" s="15" t="n"/>
      <c r="O97" s="21">
        <f>IF(COUNT(L97:N97)=0,"",SUM(L97:N97))</f>
        <v/>
      </c>
      <c r="P97" s="23">
        <f>IF(COUNT(G97,K97,O97)=0,"",ROUND(AVERAGE(G97,K97,O97),2))</f>
        <v/>
      </c>
      <c r="Q97" s="24">
        <f>IF(COUNT(E97,I97,M97)=0,"",ROUND(AVERAGE(E97,I97,M97),2))</f>
        <v/>
      </c>
    </row>
    <row r="98">
      <c r="A98" s="15" t="n"/>
      <c r="B98" s="21">
        <f>IF(A98="","",IFERROR(INDEX(작품목록!$B$4:$B$103,MATCH(A98,작품목록!$A$4:$A$103,0)),"번호 확인"))</f>
        <v/>
      </c>
      <c r="C98" s="22">
        <f>IF(A98="","",IFERROR(INDEX(작품목록!$F$4:$F$103,MATCH(A98,작품목록!$A$4:$A$103,0)),"작품목록에 없음"))</f>
        <v/>
      </c>
      <c r="D98" s="15" t="n"/>
      <c r="E98" s="15" t="n"/>
      <c r="F98" s="15" t="n"/>
      <c r="G98" s="21">
        <f>IF(COUNT(D98:F98)=0,"",SUM(D98:F98))</f>
        <v/>
      </c>
      <c r="H98" s="15" t="n"/>
      <c r="I98" s="15" t="n"/>
      <c r="J98" s="15" t="n"/>
      <c r="K98" s="21">
        <f>IF(COUNT(H98:J98)=0,"",SUM(H98:J98))</f>
        <v/>
      </c>
      <c r="L98" s="15" t="n"/>
      <c r="M98" s="15" t="n"/>
      <c r="N98" s="15" t="n"/>
      <c r="O98" s="21">
        <f>IF(COUNT(L98:N98)=0,"",SUM(L98:N98))</f>
        <v/>
      </c>
      <c r="P98" s="23">
        <f>IF(COUNT(G98,K98,O98)=0,"",ROUND(AVERAGE(G98,K98,O98),2))</f>
        <v/>
      </c>
      <c r="Q98" s="24">
        <f>IF(COUNT(E98,I98,M98)=0,"",ROUND(AVERAGE(E98,I98,M98),2))</f>
        <v/>
      </c>
    </row>
    <row r="99">
      <c r="A99" s="15" t="n"/>
      <c r="B99" s="21">
        <f>IF(A99="","",IFERROR(INDEX(작품목록!$B$4:$B$103,MATCH(A99,작품목록!$A$4:$A$103,0)),"번호 확인"))</f>
        <v/>
      </c>
      <c r="C99" s="22">
        <f>IF(A99="","",IFERROR(INDEX(작품목록!$F$4:$F$103,MATCH(A99,작품목록!$A$4:$A$103,0)),"작품목록에 없음"))</f>
        <v/>
      </c>
      <c r="D99" s="15" t="n"/>
      <c r="E99" s="15" t="n"/>
      <c r="F99" s="15" t="n"/>
      <c r="G99" s="21">
        <f>IF(COUNT(D99:F99)=0,"",SUM(D99:F99))</f>
        <v/>
      </c>
      <c r="H99" s="15" t="n"/>
      <c r="I99" s="15" t="n"/>
      <c r="J99" s="15" t="n"/>
      <c r="K99" s="21">
        <f>IF(COUNT(H99:J99)=0,"",SUM(H99:J99))</f>
        <v/>
      </c>
      <c r="L99" s="15" t="n"/>
      <c r="M99" s="15" t="n"/>
      <c r="N99" s="15" t="n"/>
      <c r="O99" s="21">
        <f>IF(COUNT(L99:N99)=0,"",SUM(L99:N99))</f>
        <v/>
      </c>
      <c r="P99" s="23">
        <f>IF(COUNT(G99,K99,O99)=0,"",ROUND(AVERAGE(G99,K99,O99),2))</f>
        <v/>
      </c>
      <c r="Q99" s="24">
        <f>IF(COUNT(E99,I99,M99)=0,"",ROUND(AVERAGE(E99,I99,M99),2))</f>
        <v/>
      </c>
    </row>
    <row r="100">
      <c r="A100" s="15" t="n"/>
      <c r="B100" s="21">
        <f>IF(A100="","",IFERROR(INDEX(작품목록!$B$4:$B$103,MATCH(A100,작품목록!$A$4:$A$103,0)),"번호 확인"))</f>
        <v/>
      </c>
      <c r="C100" s="22">
        <f>IF(A100="","",IFERROR(INDEX(작품목록!$F$4:$F$103,MATCH(A100,작품목록!$A$4:$A$103,0)),"작품목록에 없음"))</f>
        <v/>
      </c>
      <c r="D100" s="15" t="n"/>
      <c r="E100" s="15" t="n"/>
      <c r="F100" s="15" t="n"/>
      <c r="G100" s="21">
        <f>IF(COUNT(D100:F100)=0,"",SUM(D100:F100))</f>
        <v/>
      </c>
      <c r="H100" s="15" t="n"/>
      <c r="I100" s="15" t="n"/>
      <c r="J100" s="15" t="n"/>
      <c r="K100" s="21">
        <f>IF(COUNT(H100:J100)=0,"",SUM(H100:J100))</f>
        <v/>
      </c>
      <c r="L100" s="15" t="n"/>
      <c r="M100" s="15" t="n"/>
      <c r="N100" s="15" t="n"/>
      <c r="O100" s="21">
        <f>IF(COUNT(L100:N100)=0,"",SUM(L100:N100))</f>
        <v/>
      </c>
      <c r="P100" s="23">
        <f>IF(COUNT(G100,K100,O100)=0,"",ROUND(AVERAGE(G100,K100,O100),2))</f>
        <v/>
      </c>
      <c r="Q100" s="24">
        <f>IF(COUNT(E100,I100,M100)=0,"",ROUND(AVERAGE(E100,I100,M100),2))</f>
        <v/>
      </c>
    </row>
    <row r="101">
      <c r="A101" s="15" t="n"/>
      <c r="B101" s="21">
        <f>IF(A101="","",IFERROR(INDEX(작품목록!$B$4:$B$103,MATCH(A101,작품목록!$A$4:$A$103,0)),"번호 확인"))</f>
        <v/>
      </c>
      <c r="C101" s="22">
        <f>IF(A101="","",IFERROR(INDEX(작품목록!$F$4:$F$103,MATCH(A101,작품목록!$A$4:$A$103,0)),"작품목록에 없음"))</f>
        <v/>
      </c>
      <c r="D101" s="15" t="n"/>
      <c r="E101" s="15" t="n"/>
      <c r="F101" s="15" t="n"/>
      <c r="G101" s="21">
        <f>IF(COUNT(D101:F101)=0,"",SUM(D101:F101))</f>
        <v/>
      </c>
      <c r="H101" s="15" t="n"/>
      <c r="I101" s="15" t="n"/>
      <c r="J101" s="15" t="n"/>
      <c r="K101" s="21">
        <f>IF(COUNT(H101:J101)=0,"",SUM(H101:J101))</f>
        <v/>
      </c>
      <c r="L101" s="15" t="n"/>
      <c r="M101" s="15" t="n"/>
      <c r="N101" s="15" t="n"/>
      <c r="O101" s="21">
        <f>IF(COUNT(L101:N101)=0,"",SUM(L101:N101))</f>
        <v/>
      </c>
      <c r="P101" s="23">
        <f>IF(COUNT(G101,K101,O101)=0,"",ROUND(AVERAGE(G101,K101,O101),2))</f>
        <v/>
      </c>
      <c r="Q101" s="24">
        <f>IF(COUNT(E101,I101,M101)=0,"",ROUND(AVERAGE(E101,I101,M101),2))</f>
        <v/>
      </c>
    </row>
    <row r="102">
      <c r="A102" s="15" t="n"/>
      <c r="B102" s="21">
        <f>IF(A102="","",IFERROR(INDEX(작품목록!$B$4:$B$103,MATCH(A102,작품목록!$A$4:$A$103,0)),"번호 확인"))</f>
        <v/>
      </c>
      <c r="C102" s="22">
        <f>IF(A102="","",IFERROR(INDEX(작품목록!$F$4:$F$103,MATCH(A102,작품목록!$A$4:$A$103,0)),"작품목록에 없음"))</f>
        <v/>
      </c>
      <c r="D102" s="15" t="n"/>
      <c r="E102" s="15" t="n"/>
      <c r="F102" s="15" t="n"/>
      <c r="G102" s="21">
        <f>IF(COUNT(D102:F102)=0,"",SUM(D102:F102))</f>
        <v/>
      </c>
      <c r="H102" s="15" t="n"/>
      <c r="I102" s="15" t="n"/>
      <c r="J102" s="15" t="n"/>
      <c r="K102" s="21">
        <f>IF(COUNT(H102:J102)=0,"",SUM(H102:J102))</f>
        <v/>
      </c>
      <c r="L102" s="15" t="n"/>
      <c r="M102" s="15" t="n"/>
      <c r="N102" s="15" t="n"/>
      <c r="O102" s="21">
        <f>IF(COUNT(L102:N102)=0,"",SUM(L102:N102))</f>
        <v/>
      </c>
      <c r="P102" s="23">
        <f>IF(COUNT(G102,K102,O102)=0,"",ROUND(AVERAGE(G102,K102,O102),2))</f>
        <v/>
      </c>
      <c r="Q102" s="24">
        <f>IF(COUNT(E102,I102,M102)=0,"",ROUND(AVERAGE(E102,I102,M102),2))</f>
        <v/>
      </c>
    </row>
    <row r="103">
      <c r="A103" s="15" t="n"/>
      <c r="B103" s="21">
        <f>IF(A103="","",IFERROR(INDEX(작품목록!$B$4:$B$103,MATCH(A103,작품목록!$A$4:$A$103,0)),"번호 확인"))</f>
        <v/>
      </c>
      <c r="C103" s="22">
        <f>IF(A103="","",IFERROR(INDEX(작품목록!$F$4:$F$103,MATCH(A103,작품목록!$A$4:$A$103,0)),"작품목록에 없음"))</f>
        <v/>
      </c>
      <c r="D103" s="15" t="n"/>
      <c r="E103" s="15" t="n"/>
      <c r="F103" s="15" t="n"/>
      <c r="G103" s="21">
        <f>IF(COUNT(D103:F103)=0,"",SUM(D103:F103))</f>
        <v/>
      </c>
      <c r="H103" s="15" t="n"/>
      <c r="I103" s="15" t="n"/>
      <c r="J103" s="15" t="n"/>
      <c r="K103" s="21">
        <f>IF(COUNT(H103:J103)=0,"",SUM(H103:J103))</f>
        <v/>
      </c>
      <c r="L103" s="15" t="n"/>
      <c r="M103" s="15" t="n"/>
      <c r="N103" s="15" t="n"/>
      <c r="O103" s="21">
        <f>IF(COUNT(L103:N103)=0,"",SUM(L103:N103))</f>
        <v/>
      </c>
      <c r="P103" s="23">
        <f>IF(COUNT(G103,K103,O103)=0,"",ROUND(AVERAGE(G103,K103,O103),2))</f>
        <v/>
      </c>
      <c r="Q103" s="24">
        <f>IF(COUNT(E103,I103,M103)=0,"",ROUND(AVERAGE(E103,I103,M103),2))</f>
        <v/>
      </c>
    </row>
    <row r="104">
      <c r="A104" s="15" t="n"/>
      <c r="B104" s="21">
        <f>IF(A104="","",IFERROR(INDEX(작품목록!$B$4:$B$103,MATCH(A104,작품목록!$A$4:$A$103,0)),"번호 확인"))</f>
        <v/>
      </c>
      <c r="C104" s="22">
        <f>IF(A104="","",IFERROR(INDEX(작품목록!$F$4:$F$103,MATCH(A104,작품목록!$A$4:$A$103,0)),"작품목록에 없음"))</f>
        <v/>
      </c>
      <c r="D104" s="15" t="n"/>
      <c r="E104" s="15" t="n"/>
      <c r="F104" s="15" t="n"/>
      <c r="G104" s="21">
        <f>IF(COUNT(D104:F104)=0,"",SUM(D104:F104))</f>
        <v/>
      </c>
      <c r="H104" s="15" t="n"/>
      <c r="I104" s="15" t="n"/>
      <c r="J104" s="15" t="n"/>
      <c r="K104" s="21">
        <f>IF(COUNT(H104:J104)=0,"",SUM(H104:J104))</f>
        <v/>
      </c>
      <c r="L104" s="15" t="n"/>
      <c r="M104" s="15" t="n"/>
      <c r="N104" s="15" t="n"/>
      <c r="O104" s="21">
        <f>IF(COUNT(L104:N104)=0,"",SUM(L104:N104))</f>
        <v/>
      </c>
      <c r="P104" s="23">
        <f>IF(COUNT(G104,K104,O104)=0,"",ROUND(AVERAGE(G104,K104,O104),2))</f>
        <v/>
      </c>
      <c r="Q104" s="24">
        <f>IF(COUNT(E104,I104,M104)=0,"",ROUND(AVERAGE(E104,I104,M104),2))</f>
        <v/>
      </c>
    </row>
  </sheetData>
  <mergeCells count="8">
    <mergeCell ref="D3:G3"/>
    <mergeCell ref="H3:K3"/>
    <mergeCell ref="C3:C4"/>
    <mergeCell ref="B3:B4"/>
    <mergeCell ref="A3:A4"/>
    <mergeCell ref="L3:O3"/>
    <mergeCell ref="P3:P4"/>
    <mergeCell ref="Q3:Q4"/>
  </mergeCells>
  <dataValidations count="9">
    <dataValidation sqref="D5:D104" showDropDown="0" showInputMessage="1" showErrorMessage="0" allowBlank="1" errorTitle="점수 범위" error="교과&#10;연계성은(는) 0~15점 사이로 입력하세요." prompt="0~15점" type="decimal" operator="between">
      <formula1>0</formula1>
      <formula2>15</formula2>
    </dataValidation>
    <dataValidation sqref="E5:E104" showDropDown="0" showInputMessage="1" showErrorMessage="0" allowBlank="1" errorTitle="점수 범위" error="아이디어&#10;독창성은(는) 0~20점 사이로 입력하세요." prompt="0~20점" type="decimal" operator="between">
      <formula1>0</formula1>
      <formula2>20</formula2>
    </dataValidation>
    <dataValidation sqref="F5:F104" showDropDown="0" showInputMessage="1" showErrorMessage="0" allowBlank="1" errorTitle="점수 범위" error="표현력&#10;(그림·설명)은(는) 0~15점 사이로 입력하세요." prompt="0~15점" type="decimal" operator="between">
      <formula1>0</formula1>
      <formula2>15</formula2>
    </dataValidation>
    <dataValidation sqref="H5:H104" showDropDown="0" showInputMessage="1" showErrorMessage="0" allowBlank="1" errorTitle="점수 범위" error="교과&#10;연계성은(는) 0~15점 사이로 입력하세요." prompt="0~15점" type="decimal" operator="between">
      <formula1>0</formula1>
      <formula2>15</formula2>
    </dataValidation>
    <dataValidation sqref="I5:I104" showDropDown="0" showInputMessage="1" showErrorMessage="0" allowBlank="1" errorTitle="점수 범위" error="아이디어&#10;독창성은(는) 0~20점 사이로 입력하세요." prompt="0~20점" type="decimal" operator="between">
      <formula1>0</formula1>
      <formula2>20</formula2>
    </dataValidation>
    <dataValidation sqref="J5:J104" showDropDown="0" showInputMessage="1" showErrorMessage="0" allowBlank="1" errorTitle="점수 범위" error="표현력&#10;(그림·설명)은(는) 0~15점 사이로 입력하세요." prompt="0~15점" type="decimal" operator="between">
      <formula1>0</formula1>
      <formula2>15</formula2>
    </dataValidation>
    <dataValidation sqref="L5:L104" showDropDown="0" showInputMessage="1" showErrorMessage="0" allowBlank="1" errorTitle="점수 범위" error="교과&#10;연계성은(는) 0~15점 사이로 입력하세요." prompt="0~15점" type="decimal" operator="between">
      <formula1>0</formula1>
      <formula2>15</formula2>
    </dataValidation>
    <dataValidation sqref="M5:M104" showDropDown="0" showInputMessage="1" showErrorMessage="0" allowBlank="1" errorTitle="점수 범위" error="아이디어&#10;독창성은(는) 0~20점 사이로 입력하세요." prompt="0~20점" type="decimal" operator="between">
      <formula1>0</formula1>
      <formula2>20</formula2>
    </dataValidation>
    <dataValidation sqref="N5:N104" showDropDown="0" showInputMessage="1" showErrorMessage="0" allowBlank="1" errorTitle="점수 범위" error="표현력&#10;(그림·설명)은(는) 0~15점 사이로 입력하세요." prompt="0~15점" type="decimal" operator="between">
      <formula1>0</formula1>
      <formula2>15</formula2>
    </dataValidation>
  </dataValidations>
  <pageMargins left="0.4" right="0.4" top="0.5" bottom="0.5" header="0.5" footer="0.5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44" customWidth="1" min="3" max="3"/>
    <col width="44" customWidth="1" min="4" max="4"/>
    <col width="7" customWidth="1" min="5" max="5"/>
    <col width="7" customWidth="1" min="6" max="6"/>
    <col width="6" customWidth="1" min="7" max="7"/>
    <col width="6" customWidth="1" min="8" max="8"/>
    <col width="26" customWidth="1" min="9" max="9"/>
    <col width="2" customWidth="1" min="10" max="10"/>
    <col width="9" customWidth="1" min="11" max="11"/>
    <col width="7" customWidth="1" min="12" max="12"/>
    <col width="24" customWidth="1" min="13" max="13"/>
    <col width="9" customWidth="1" min="14" max="14"/>
    <col width="11" customWidth="1" min="15" max="15"/>
    <col width="9" customWidth="1" min="16" max="16"/>
  </cols>
  <sheetData>
    <row r="1" ht="28" customHeight="1">
      <c r="A1" s="1" t="inlineStr">
        <is>
          <t>학생 투표 집계 (블록·바이브: 구글 폼 / 상상: 스티커)</t>
        </is>
      </c>
    </row>
    <row r="2">
      <c r="A2" s="2" t="inlineStr">
        <is>
          <t>A6부터 구글 폼 응답(타임스탬프, 이메일, 블록코딩 투표, 바이브코딩 투표)을 붙여 넣으세요. 최대 1000명. 3개 초과·중복 응답은 자동 제외돼요.</t>
        </is>
      </c>
    </row>
    <row r="3">
      <c r="A3" s="25" t="inlineStr">
        <is>
          <t>① 구글 폼 응답 붙여넣기 (노란 칸)</t>
        </is>
      </c>
      <c r="K3" s="25" t="inlineStr">
        <is>
          <t>② 작품별 득표 (자동) — 상상 부문은 O열에 스티커 수 입력</t>
        </is>
      </c>
    </row>
    <row r="4">
      <c r="I4" s="26">
        <f>IF(COUNTA(A6:D1005)=0,"","유효 응답 "&amp;COUNTIF(H6:H1005,1)&amp;"명 / 제외 "&amp;COUNTIF(H6:H1005,0)&amp;"명")</f>
        <v/>
      </c>
    </row>
    <row r="5" ht="36" customHeight="1">
      <c r="A5" s="3" t="inlineStr">
        <is>
          <t>타임스탬프</t>
        </is>
      </c>
      <c r="B5" s="3" t="inlineStr">
        <is>
          <t>이메일 주소</t>
        </is>
      </c>
      <c r="C5" s="3" t="inlineStr">
        <is>
          <t>블록코딩 투표
(최대 3개)</t>
        </is>
      </c>
      <c r="D5" s="3" t="inlineStr">
        <is>
          <t>바이브코딩 투표
(최대 3개)</t>
        </is>
      </c>
      <c r="E5" s="3" t="inlineStr">
        <is>
          <t>블록
선택 수</t>
        </is>
      </c>
      <c r="F5" s="3" t="inlineStr">
        <is>
          <t>바이브
선택 수</t>
        </is>
      </c>
      <c r="G5" s="3" t="inlineStr">
        <is>
          <t>중복
응답</t>
        </is>
      </c>
      <c r="H5" s="3" t="inlineStr">
        <is>
          <t>유효
(1/0)</t>
        </is>
      </c>
      <c r="I5" s="3" t="inlineStr">
        <is>
          <t>확인 메시지</t>
        </is>
      </c>
      <c r="K5" s="3" t="inlineStr">
        <is>
          <t>작품번호</t>
        </is>
      </c>
      <c r="L5" s="3" t="inlineStr">
        <is>
          <t>부문</t>
        </is>
      </c>
      <c r="M5" s="3" t="inlineStr">
        <is>
          <t>작품 이름</t>
        </is>
      </c>
      <c r="N5" s="3" t="inlineStr">
        <is>
          <t>구글 폼
득표</t>
        </is>
      </c>
      <c r="O5" s="3" t="inlineStr">
        <is>
          <t>스티커 수
(상상 입력)</t>
        </is>
      </c>
      <c r="P5" s="3" t="inlineStr">
        <is>
          <t>최종 득표</t>
        </is>
      </c>
    </row>
    <row r="6">
      <c r="A6" s="15" t="inlineStr">
        <is>
          <t>2026. 10. 21. 오전 9:00:00</t>
        </is>
      </c>
      <c r="B6" s="15" t="inlineStr">
        <is>
          <t>wirye001@sen.go.kr</t>
        </is>
      </c>
      <c r="C6" s="16" t="inlineStr">
        <is>
          <t>B-03 씨앗 키우기 순서 게임, B-04 배수 사냥꾼</t>
        </is>
      </c>
      <c r="D6" s="16" t="inlineStr">
        <is>
          <t>V-01 각도 탐정 게임, V-02 우리나라 시·도 퀴즈, V-05 영어 시장 놀이</t>
        </is>
      </c>
      <c r="E6" s="21">
        <f>IF(AND(A6="",B6="",C6="",D6=""),"",IF(TRIM(C6)="",0,LEN(C6)-LEN(SUBSTITUTE(C6,",",""))+1))</f>
        <v/>
      </c>
      <c r="F6" s="21">
        <f>IF(AND(A6="",B6="",C6="",D6=""),"",IF(TRIM(D6)="",0,LEN(D6)-LEN(SUBSTITUTE(D6,",",""))+1))</f>
        <v/>
      </c>
      <c r="G6" s="21">
        <f>IF(B6="","",IF(COUNTIF($B$6:B6,B6)&gt;1,"중복",""))</f>
        <v/>
      </c>
      <c r="H6" s="21">
        <f>IF(AND(A6="",B6="",C6="",D6=""),"",IF(AND(E6&lt;=3,F6&lt;=3,G6=""),1,0))</f>
        <v/>
      </c>
      <c r="I6" s="22">
        <f>IF(H6=0,IF(G6="중복","제외: 같은 이메일 중복 응답","제외: 3개 넘게 선택"),"")</f>
        <v/>
      </c>
      <c r="K6" s="21">
        <f>IF(작품목록!A4="","",작품목록!A4)</f>
        <v/>
      </c>
      <c r="L6" s="21">
        <f>IF(K6="","",작품목록!B4)</f>
        <v/>
      </c>
      <c r="M6" s="22">
        <f>IF(K6="","",작품목록!F4)</f>
        <v/>
      </c>
      <c r="N6" s="21">
        <f>IF(K6="","",IF(L6="상상","-",COUNTIFS($C$6:$C$1005,"*"&amp;K6&amp;"*",$H$6:$H$1005,1)+COUNTIFS($D$6:$D$1005,"*"&amp;K6&amp;"*",$H$6:$H$1005,1)))</f>
        <v/>
      </c>
      <c r="O6" s="15" t="n"/>
      <c r="P6" s="27">
        <f>IF(K6="","",IF(L6="상상",N(O6),N6))</f>
        <v/>
      </c>
    </row>
    <row r="7">
      <c r="A7" s="15" t="inlineStr">
        <is>
          <t>2026. 10. 21. 오전 10:07:00</t>
        </is>
      </c>
      <c r="B7" s="15" t="inlineStr">
        <is>
          <t>wirye002@sen.go.kr</t>
        </is>
      </c>
      <c r="C7" s="16" t="inlineStr">
        <is>
          <t>B-02 영어 단어 짝 맞추기, B-08 분수 피자 가게</t>
        </is>
      </c>
      <c r="D7" s="16" t="inlineStr">
        <is>
          <t>V-01 각도 탐정 게임, V-02 우리나라 시·도 퀴즈, V-06 얼음·물·수증기 변신 퀴즈</t>
        </is>
      </c>
      <c r="E7" s="21">
        <f>IF(AND(A7="",B7="",C7="",D7=""),"",IF(TRIM(C7)="",0,LEN(C7)-LEN(SUBSTITUTE(C7,",",""))+1))</f>
        <v/>
      </c>
      <c r="F7" s="21">
        <f>IF(AND(A7="",B7="",C7="",D7=""),"",IF(TRIM(D7)="",0,LEN(D7)-LEN(SUBSTITUTE(D7,",",""))+1))</f>
        <v/>
      </c>
      <c r="G7" s="21">
        <f>IF(B7="","",IF(COUNTIF($B$6:B7,B7)&gt;1,"중복",""))</f>
        <v/>
      </c>
      <c r="H7" s="21">
        <f>IF(AND(A7="",B7="",C7="",D7=""),"",IF(AND(E7&lt;=3,F7&lt;=3,G7=""),1,0))</f>
        <v/>
      </c>
      <c r="I7" s="22">
        <f>IF(H7=0,IF(G7="중복","제외: 같은 이메일 중복 응답","제외: 3개 넘게 선택"),"")</f>
        <v/>
      </c>
      <c r="K7" s="21">
        <f>IF(작품목록!A5="","",작품목록!A5)</f>
        <v/>
      </c>
      <c r="L7" s="21">
        <f>IF(K7="","",작품목록!B5)</f>
        <v/>
      </c>
      <c r="M7" s="22">
        <f>IF(K7="","",작품목록!F5)</f>
        <v/>
      </c>
      <c r="N7" s="21">
        <f>IF(K7="","",IF(L7="상상","-",COUNTIFS($C$6:$C$1005,"*"&amp;K7&amp;"*",$H$6:$H$1005,1)+COUNTIFS($D$6:$D$1005,"*"&amp;K7&amp;"*",$H$6:$H$1005,1)))</f>
        <v/>
      </c>
      <c r="O7" s="15" t="n"/>
      <c r="P7" s="27">
        <f>IF(K7="","",IF(L7="상상",N(O7),N7))</f>
        <v/>
      </c>
    </row>
    <row r="8">
      <c r="A8" s="15" t="inlineStr">
        <is>
          <t>2026. 10. 21. 오전 11:14:00</t>
        </is>
      </c>
      <c r="B8" s="15" t="inlineStr">
        <is>
          <t>wirye003@sen.go.kr</t>
        </is>
      </c>
      <c r="C8" s="16" t="inlineStr">
        <is>
          <t>B-06 행성 순서 맞히기, B-08 분수 피자 가게</t>
        </is>
      </c>
      <c r="D8" s="16" t="inlineStr">
        <is>
          <t>V-02 우리나라 시·도 퀴즈, V-04 중심 문장 찾기 놀이</t>
        </is>
      </c>
      <c r="E8" s="21">
        <f>IF(AND(A8="",B8="",C8="",D8=""),"",IF(TRIM(C8)="",0,LEN(C8)-LEN(SUBSTITUTE(C8,",",""))+1))</f>
        <v/>
      </c>
      <c r="F8" s="21">
        <f>IF(AND(A8="",B8="",C8="",D8=""),"",IF(TRIM(D8)="",0,LEN(D8)-LEN(SUBSTITUTE(D8,",",""))+1))</f>
        <v/>
      </c>
      <c r="G8" s="21">
        <f>IF(B8="","",IF(COUNTIF($B$6:B8,B8)&gt;1,"중복",""))</f>
        <v/>
      </c>
      <c r="H8" s="21">
        <f>IF(AND(A8="",B8="",C8="",D8=""),"",IF(AND(E8&lt;=3,F8&lt;=3,G8=""),1,0))</f>
        <v/>
      </c>
      <c r="I8" s="22">
        <f>IF(H8=0,IF(G8="중복","제외: 같은 이메일 중복 응답","제외: 3개 넘게 선택"),"")</f>
        <v/>
      </c>
      <c r="K8" s="21">
        <f>IF(작품목록!A6="","",작품목록!A6)</f>
        <v/>
      </c>
      <c r="L8" s="21">
        <f>IF(K8="","",작품목록!B6)</f>
        <v/>
      </c>
      <c r="M8" s="22">
        <f>IF(K8="","",작품목록!F6)</f>
        <v/>
      </c>
      <c r="N8" s="21">
        <f>IF(K8="","",IF(L8="상상","-",COUNTIFS($C$6:$C$1005,"*"&amp;K8&amp;"*",$H$6:$H$1005,1)+COUNTIFS($D$6:$D$1005,"*"&amp;K8&amp;"*",$H$6:$H$1005,1)))</f>
        <v/>
      </c>
      <c r="O8" s="15" t="n"/>
      <c r="P8" s="27">
        <f>IF(K8="","",IF(L8="상상",N(O8),N8))</f>
        <v/>
      </c>
    </row>
    <row r="9">
      <c r="A9" s="15" t="inlineStr">
        <is>
          <t>2026. 10. 21. 오전 9:21:00</t>
        </is>
      </c>
      <c r="B9" s="15" t="inlineStr">
        <is>
          <t>wirye004@sen.go.kr</t>
        </is>
      </c>
      <c r="C9" s="16" t="inlineStr">
        <is>
          <t>B-08 분수 피자 가게</t>
        </is>
      </c>
      <c r="D9" s="16" t="inlineStr">
        <is>
          <t>V-01 각도 탐정 게임, V-08 고장 지도 기호 카드</t>
        </is>
      </c>
      <c r="E9" s="21">
        <f>IF(AND(A9="",B9="",C9="",D9=""),"",IF(TRIM(C9)="",0,LEN(C9)-LEN(SUBSTITUTE(C9,",",""))+1))</f>
        <v/>
      </c>
      <c r="F9" s="21">
        <f>IF(AND(A9="",B9="",C9="",D9=""),"",IF(TRIM(D9)="",0,LEN(D9)-LEN(SUBSTITUTE(D9,",",""))+1))</f>
        <v/>
      </c>
      <c r="G9" s="21">
        <f>IF(B9="","",IF(COUNTIF($B$6:B9,B9)&gt;1,"중복",""))</f>
        <v/>
      </c>
      <c r="H9" s="21">
        <f>IF(AND(A9="",B9="",C9="",D9=""),"",IF(AND(E9&lt;=3,F9&lt;=3,G9=""),1,0))</f>
        <v/>
      </c>
      <c r="I9" s="22">
        <f>IF(H9=0,IF(G9="중복","제외: 같은 이메일 중복 응답","제외: 3개 넘게 선택"),"")</f>
        <v/>
      </c>
      <c r="K9" s="21">
        <f>IF(작품목록!A7="","",작품목록!A7)</f>
        <v/>
      </c>
      <c r="L9" s="21">
        <f>IF(K9="","",작품목록!B7)</f>
        <v/>
      </c>
      <c r="M9" s="22">
        <f>IF(K9="","",작품목록!F7)</f>
        <v/>
      </c>
      <c r="N9" s="21">
        <f>IF(K9="","",IF(L9="상상","-",COUNTIFS($C$6:$C$1005,"*"&amp;K9&amp;"*",$H$6:$H$1005,1)+COUNTIFS($D$6:$D$1005,"*"&amp;K9&amp;"*",$H$6:$H$1005,1)))</f>
        <v/>
      </c>
      <c r="O9" s="15" t="n"/>
      <c r="P9" s="27">
        <f>IF(K9="","",IF(L9="상상",N(O9),N9))</f>
        <v/>
      </c>
    </row>
    <row r="10">
      <c r="A10" s="15" t="inlineStr">
        <is>
          <t>2026. 10. 21. 오전 10:28:00</t>
        </is>
      </c>
      <c r="B10" s="15" t="inlineStr">
        <is>
          <t>wirye005@sen.go.kr</t>
        </is>
      </c>
      <c r="C10" s="16" t="inlineStr">
        <is>
          <t>B-01 구구단 우주선</t>
        </is>
      </c>
      <c r="D10" s="16" t="inlineStr">
        <is>
          <t>V-03 지시약 색깔 실험실, V-04 중심 문장 찾기 놀이, V-08 고장 지도 기호 카드</t>
        </is>
      </c>
      <c r="E10" s="21">
        <f>IF(AND(A10="",B10="",C10="",D10=""),"",IF(TRIM(C10)="",0,LEN(C10)-LEN(SUBSTITUTE(C10,",",""))+1))</f>
        <v/>
      </c>
      <c r="F10" s="21">
        <f>IF(AND(A10="",B10="",C10="",D10=""),"",IF(TRIM(D10)="",0,LEN(D10)-LEN(SUBSTITUTE(D10,",",""))+1))</f>
        <v/>
      </c>
      <c r="G10" s="21">
        <f>IF(B10="","",IF(COUNTIF($B$6:B10,B10)&gt;1,"중복",""))</f>
        <v/>
      </c>
      <c r="H10" s="21">
        <f>IF(AND(A10="",B10="",C10="",D10=""),"",IF(AND(E10&lt;=3,F10&lt;=3,G10=""),1,0))</f>
        <v/>
      </c>
      <c r="I10" s="22">
        <f>IF(H10=0,IF(G10="중복","제외: 같은 이메일 중복 응답","제외: 3개 넘게 선택"),"")</f>
        <v/>
      </c>
      <c r="K10" s="21">
        <f>IF(작품목록!A8="","",작품목록!A8)</f>
        <v/>
      </c>
      <c r="L10" s="21">
        <f>IF(K10="","",작품목록!B8)</f>
        <v/>
      </c>
      <c r="M10" s="22">
        <f>IF(K10="","",작품목록!F8)</f>
        <v/>
      </c>
      <c r="N10" s="21">
        <f>IF(K10="","",IF(L10="상상","-",COUNTIFS($C$6:$C$1005,"*"&amp;K10&amp;"*",$H$6:$H$1005,1)+COUNTIFS($D$6:$D$1005,"*"&amp;K10&amp;"*",$H$6:$H$1005,1)))</f>
        <v/>
      </c>
      <c r="O10" s="15" t="n"/>
      <c r="P10" s="27">
        <f>IF(K10="","",IF(L10="상상",N(O10),N10))</f>
        <v/>
      </c>
    </row>
    <row r="11">
      <c r="A11" s="15" t="inlineStr">
        <is>
          <t>2026. 10. 22. 오전 11:35:00</t>
        </is>
      </c>
      <c r="B11" s="15" t="inlineStr">
        <is>
          <t>wirye006@sen.go.kr</t>
        </is>
      </c>
      <c r="C11" s="16" t="inlineStr">
        <is>
          <t>B-01 구구단 우주선, B-03 씨앗 키우기 순서 게임</t>
        </is>
      </c>
      <c r="D11" s="16" t="inlineStr">
        <is>
          <t>V-02 우리나라 시·도 퀴즈</t>
        </is>
      </c>
      <c r="E11" s="21">
        <f>IF(AND(A11="",B11="",C11="",D11=""),"",IF(TRIM(C11)="",0,LEN(C11)-LEN(SUBSTITUTE(C11,",",""))+1))</f>
        <v/>
      </c>
      <c r="F11" s="21">
        <f>IF(AND(A11="",B11="",C11="",D11=""),"",IF(TRIM(D11)="",0,LEN(D11)-LEN(SUBSTITUTE(D11,",",""))+1))</f>
        <v/>
      </c>
      <c r="G11" s="21">
        <f>IF(B11="","",IF(COUNTIF($B$6:B11,B11)&gt;1,"중복",""))</f>
        <v/>
      </c>
      <c r="H11" s="21">
        <f>IF(AND(A11="",B11="",C11="",D11=""),"",IF(AND(E11&lt;=3,F11&lt;=3,G11=""),1,0))</f>
        <v/>
      </c>
      <c r="I11" s="22">
        <f>IF(H11=0,IF(G11="중복","제외: 같은 이메일 중복 응답","제외: 3개 넘게 선택"),"")</f>
        <v/>
      </c>
      <c r="K11" s="21">
        <f>IF(작품목록!A9="","",작품목록!A9)</f>
        <v/>
      </c>
      <c r="L11" s="21">
        <f>IF(K11="","",작품목록!B9)</f>
        <v/>
      </c>
      <c r="M11" s="22">
        <f>IF(K11="","",작품목록!F9)</f>
        <v/>
      </c>
      <c r="N11" s="21">
        <f>IF(K11="","",IF(L11="상상","-",COUNTIFS($C$6:$C$1005,"*"&amp;K11&amp;"*",$H$6:$H$1005,1)+COUNTIFS($D$6:$D$1005,"*"&amp;K11&amp;"*",$H$6:$H$1005,1)))</f>
        <v/>
      </c>
      <c r="O11" s="15" t="n"/>
      <c r="P11" s="27">
        <f>IF(K11="","",IF(L11="상상",N(O11),N11))</f>
        <v/>
      </c>
    </row>
    <row r="12">
      <c r="A12" s="15" t="inlineStr">
        <is>
          <t>2026. 10. 22. 오전 9:42:00</t>
        </is>
      </c>
      <c r="B12" s="15" t="inlineStr">
        <is>
          <t>wirye007@sen.go.kr</t>
        </is>
      </c>
      <c r="C12" s="16" t="inlineStr">
        <is>
          <t>B-01 구구단 우주선, B-06 행성 순서 맞히기</t>
        </is>
      </c>
      <c r="D12" s="16" t="inlineStr">
        <is>
          <t>V-03 지시약 색깔 실험실, V-05 영어 시장 놀이</t>
        </is>
      </c>
      <c r="E12" s="21">
        <f>IF(AND(A12="",B12="",C12="",D12=""),"",IF(TRIM(C12)="",0,LEN(C12)-LEN(SUBSTITUTE(C12,",",""))+1))</f>
        <v/>
      </c>
      <c r="F12" s="21">
        <f>IF(AND(A12="",B12="",C12="",D12=""),"",IF(TRIM(D12)="",0,LEN(D12)-LEN(SUBSTITUTE(D12,",",""))+1))</f>
        <v/>
      </c>
      <c r="G12" s="21">
        <f>IF(B12="","",IF(COUNTIF($B$6:B12,B12)&gt;1,"중복",""))</f>
        <v/>
      </c>
      <c r="H12" s="21">
        <f>IF(AND(A12="",B12="",C12="",D12=""),"",IF(AND(E12&lt;=3,F12&lt;=3,G12=""),1,0))</f>
        <v/>
      </c>
      <c r="I12" s="22">
        <f>IF(H12=0,IF(G12="중복","제외: 같은 이메일 중복 응답","제외: 3개 넘게 선택"),"")</f>
        <v/>
      </c>
      <c r="K12" s="21">
        <f>IF(작품목록!A10="","",작품목록!A10)</f>
        <v/>
      </c>
      <c r="L12" s="21">
        <f>IF(K12="","",작품목록!B10)</f>
        <v/>
      </c>
      <c r="M12" s="22">
        <f>IF(K12="","",작품목록!F10)</f>
        <v/>
      </c>
      <c r="N12" s="21">
        <f>IF(K12="","",IF(L12="상상","-",COUNTIFS($C$6:$C$1005,"*"&amp;K12&amp;"*",$H$6:$H$1005,1)+COUNTIFS($D$6:$D$1005,"*"&amp;K12&amp;"*",$H$6:$H$1005,1)))</f>
        <v/>
      </c>
      <c r="O12" s="15" t="n"/>
      <c r="P12" s="27">
        <f>IF(K12="","",IF(L12="상상",N(O12),N12))</f>
        <v/>
      </c>
    </row>
    <row r="13">
      <c r="A13" s="15" t="inlineStr">
        <is>
          <t>2026. 10. 22. 오전 10:49:00</t>
        </is>
      </c>
      <c r="B13" s="15" t="inlineStr">
        <is>
          <t>wirye008@sen.go.kr</t>
        </is>
      </c>
      <c r="C13" s="16" t="inlineStr">
        <is>
          <t>B-01 구구단 우주선, B-06 행성 순서 맞히기, B-08 분수 피자 가게</t>
        </is>
      </c>
      <c r="D13" s="16" t="inlineStr"/>
      <c r="E13" s="21">
        <f>IF(AND(A13="",B13="",C13="",D13=""),"",IF(TRIM(C13)="",0,LEN(C13)-LEN(SUBSTITUTE(C13,",",""))+1))</f>
        <v/>
      </c>
      <c r="F13" s="21">
        <f>IF(AND(A13="",B13="",C13="",D13=""),"",IF(TRIM(D13)="",0,LEN(D13)-LEN(SUBSTITUTE(D13,",",""))+1))</f>
        <v/>
      </c>
      <c r="G13" s="21">
        <f>IF(B13="","",IF(COUNTIF($B$6:B13,B13)&gt;1,"중복",""))</f>
        <v/>
      </c>
      <c r="H13" s="21">
        <f>IF(AND(A13="",B13="",C13="",D13=""),"",IF(AND(E13&lt;=3,F13&lt;=3,G13=""),1,0))</f>
        <v/>
      </c>
      <c r="I13" s="22">
        <f>IF(H13=0,IF(G13="중복","제외: 같은 이메일 중복 응답","제외: 3개 넘게 선택"),"")</f>
        <v/>
      </c>
      <c r="K13" s="21">
        <f>IF(작품목록!A11="","",작품목록!A11)</f>
        <v/>
      </c>
      <c r="L13" s="21">
        <f>IF(K13="","",작품목록!B11)</f>
        <v/>
      </c>
      <c r="M13" s="22">
        <f>IF(K13="","",작품목록!F11)</f>
        <v/>
      </c>
      <c r="N13" s="21">
        <f>IF(K13="","",IF(L13="상상","-",COUNTIFS($C$6:$C$1005,"*"&amp;K13&amp;"*",$H$6:$H$1005,1)+COUNTIFS($D$6:$D$1005,"*"&amp;K13&amp;"*",$H$6:$H$1005,1)))</f>
        <v/>
      </c>
      <c r="O13" s="15" t="n"/>
      <c r="P13" s="27">
        <f>IF(K13="","",IF(L13="상상",N(O13),N13))</f>
        <v/>
      </c>
    </row>
    <row r="14">
      <c r="A14" s="15" t="inlineStr">
        <is>
          <t>2026. 10. 22. 오전 11:56:00</t>
        </is>
      </c>
      <c r="B14" s="15" t="inlineStr">
        <is>
          <t>wirye009@sen.go.kr</t>
        </is>
      </c>
      <c r="C14" s="16" t="inlineStr">
        <is>
          <t>B-04 배수 사냥꾼, B-07 우리 지역 지도 탐험, B-08 분수 피자 가게</t>
        </is>
      </c>
      <c r="D14" s="16" t="inlineStr">
        <is>
          <t>V-03 지시약 색깔 실험실, V-05 영어 시장 놀이</t>
        </is>
      </c>
      <c r="E14" s="21">
        <f>IF(AND(A14="",B14="",C14="",D14=""),"",IF(TRIM(C14)="",0,LEN(C14)-LEN(SUBSTITUTE(C14,",",""))+1))</f>
        <v/>
      </c>
      <c r="F14" s="21">
        <f>IF(AND(A14="",B14="",C14="",D14=""),"",IF(TRIM(D14)="",0,LEN(D14)-LEN(SUBSTITUTE(D14,",",""))+1))</f>
        <v/>
      </c>
      <c r="G14" s="21">
        <f>IF(B14="","",IF(COUNTIF($B$6:B14,B14)&gt;1,"중복",""))</f>
        <v/>
      </c>
      <c r="H14" s="21">
        <f>IF(AND(A14="",B14="",C14="",D14=""),"",IF(AND(E14&lt;=3,F14&lt;=3,G14=""),1,0))</f>
        <v/>
      </c>
      <c r="I14" s="22">
        <f>IF(H14=0,IF(G14="중복","제외: 같은 이메일 중복 응답","제외: 3개 넘게 선택"),"")</f>
        <v/>
      </c>
      <c r="K14" s="21">
        <f>IF(작품목록!A12="","",작품목록!A12)</f>
        <v/>
      </c>
      <c r="L14" s="21">
        <f>IF(K14="","",작품목록!B12)</f>
        <v/>
      </c>
      <c r="M14" s="22">
        <f>IF(K14="","",작품목록!F12)</f>
        <v/>
      </c>
      <c r="N14" s="21">
        <f>IF(K14="","",IF(L14="상상","-",COUNTIFS($C$6:$C$1005,"*"&amp;K14&amp;"*",$H$6:$H$1005,1)+COUNTIFS($D$6:$D$1005,"*"&amp;K14&amp;"*",$H$6:$H$1005,1)))</f>
        <v/>
      </c>
      <c r="O14" s="15" t="n"/>
      <c r="P14" s="27">
        <f>IF(K14="","",IF(L14="상상",N(O14),N14))</f>
        <v/>
      </c>
    </row>
    <row r="15">
      <c r="A15" s="15" t="inlineStr">
        <is>
          <t>2026. 10. 22. 오전 9:03:00</t>
        </is>
      </c>
      <c r="B15" s="15" t="inlineStr">
        <is>
          <t>wirye010@sen.go.kr</t>
        </is>
      </c>
      <c r="C15" s="16" t="inlineStr">
        <is>
          <t>B-02 영어 단어 짝 맞추기, B-04 배수 사냥꾼, B-06 행성 순서 맞히기</t>
        </is>
      </c>
      <c r="D15" s="16" t="inlineStr">
        <is>
          <t>V-01 각도 탐정 게임, V-05 영어 시장 놀이, V-07 비율 요리사</t>
        </is>
      </c>
      <c r="E15" s="21">
        <f>IF(AND(A15="",B15="",C15="",D15=""),"",IF(TRIM(C15)="",0,LEN(C15)-LEN(SUBSTITUTE(C15,",",""))+1))</f>
        <v/>
      </c>
      <c r="F15" s="21">
        <f>IF(AND(A15="",B15="",C15="",D15=""),"",IF(TRIM(D15)="",0,LEN(D15)-LEN(SUBSTITUTE(D15,",",""))+1))</f>
        <v/>
      </c>
      <c r="G15" s="21">
        <f>IF(B15="","",IF(COUNTIF($B$6:B15,B15)&gt;1,"중복",""))</f>
        <v/>
      </c>
      <c r="H15" s="21">
        <f>IF(AND(A15="",B15="",C15="",D15=""),"",IF(AND(E15&lt;=3,F15&lt;=3,G15=""),1,0))</f>
        <v/>
      </c>
      <c r="I15" s="22">
        <f>IF(H15=0,IF(G15="중복","제외: 같은 이메일 중복 응답","제외: 3개 넘게 선택"),"")</f>
        <v/>
      </c>
      <c r="K15" s="21">
        <f>IF(작품목록!A13="","",작품목록!A13)</f>
        <v/>
      </c>
      <c r="L15" s="21">
        <f>IF(K15="","",작품목록!B13)</f>
        <v/>
      </c>
      <c r="M15" s="22">
        <f>IF(K15="","",작품목록!F13)</f>
        <v/>
      </c>
      <c r="N15" s="21">
        <f>IF(K15="","",IF(L15="상상","-",COUNTIFS($C$6:$C$1005,"*"&amp;K15&amp;"*",$H$6:$H$1005,1)+COUNTIFS($D$6:$D$1005,"*"&amp;K15&amp;"*",$H$6:$H$1005,1)))</f>
        <v/>
      </c>
      <c r="O15" s="15" t="n"/>
      <c r="P15" s="27">
        <f>IF(K15="","",IF(L15="상상",N(O15),N15))</f>
        <v/>
      </c>
    </row>
    <row r="16">
      <c r="A16" s="15" t="inlineStr">
        <is>
          <t>2026. 10. 23. 오전 10:10:00</t>
        </is>
      </c>
      <c r="B16" s="15" t="inlineStr">
        <is>
          <t>wirye011@sen.go.kr</t>
        </is>
      </c>
      <c r="C16" s="16" t="inlineStr">
        <is>
          <t>B-01 구구단 우주선</t>
        </is>
      </c>
      <c r="D16" s="16" t="inlineStr">
        <is>
          <t>V-01 각도 탐정 게임, V-03 지시약 색깔 실험실, V-06 얼음·물·수증기 변신 퀴즈</t>
        </is>
      </c>
      <c r="E16" s="21">
        <f>IF(AND(A16="",B16="",C16="",D16=""),"",IF(TRIM(C16)="",0,LEN(C16)-LEN(SUBSTITUTE(C16,",",""))+1))</f>
        <v/>
      </c>
      <c r="F16" s="21">
        <f>IF(AND(A16="",B16="",C16="",D16=""),"",IF(TRIM(D16)="",0,LEN(D16)-LEN(SUBSTITUTE(D16,",",""))+1))</f>
        <v/>
      </c>
      <c r="G16" s="21">
        <f>IF(B16="","",IF(COUNTIF($B$6:B16,B16)&gt;1,"중복",""))</f>
        <v/>
      </c>
      <c r="H16" s="21">
        <f>IF(AND(A16="",B16="",C16="",D16=""),"",IF(AND(E16&lt;=3,F16&lt;=3,G16=""),1,0))</f>
        <v/>
      </c>
      <c r="I16" s="22">
        <f>IF(H16=0,IF(G16="중복","제외: 같은 이메일 중복 응답","제외: 3개 넘게 선택"),"")</f>
        <v/>
      </c>
      <c r="K16" s="21">
        <f>IF(작품목록!A14="","",작품목록!A14)</f>
        <v/>
      </c>
      <c r="L16" s="21">
        <f>IF(K16="","",작품목록!B14)</f>
        <v/>
      </c>
      <c r="M16" s="22">
        <f>IF(K16="","",작품목록!F14)</f>
        <v/>
      </c>
      <c r="N16" s="21">
        <f>IF(K16="","",IF(L16="상상","-",COUNTIFS($C$6:$C$1005,"*"&amp;K16&amp;"*",$H$6:$H$1005,1)+COUNTIFS($D$6:$D$1005,"*"&amp;K16&amp;"*",$H$6:$H$1005,1)))</f>
        <v/>
      </c>
      <c r="O16" s="15" t="n"/>
      <c r="P16" s="27">
        <f>IF(K16="","",IF(L16="상상",N(O16),N16))</f>
        <v/>
      </c>
    </row>
    <row r="17">
      <c r="A17" s="15" t="inlineStr">
        <is>
          <t>2026. 10. 23. 오전 11:17:00</t>
        </is>
      </c>
      <c r="B17" s="15" t="inlineStr">
        <is>
          <t>wirye012@sen.go.kr</t>
        </is>
      </c>
      <c r="C17" s="16" t="inlineStr">
        <is>
          <t>B-01 구구단 우주선, B-07 우리 지역 지도 탐험, B-08 분수 피자 가게</t>
        </is>
      </c>
      <c r="D17" s="16" t="inlineStr">
        <is>
          <t>V-01 각도 탐정 게임, V-02 우리나라 시·도 퀴즈</t>
        </is>
      </c>
      <c r="E17" s="21">
        <f>IF(AND(A17="",B17="",C17="",D17=""),"",IF(TRIM(C17)="",0,LEN(C17)-LEN(SUBSTITUTE(C17,",",""))+1))</f>
        <v/>
      </c>
      <c r="F17" s="21">
        <f>IF(AND(A17="",B17="",C17="",D17=""),"",IF(TRIM(D17)="",0,LEN(D17)-LEN(SUBSTITUTE(D17,",",""))+1))</f>
        <v/>
      </c>
      <c r="G17" s="21">
        <f>IF(B17="","",IF(COUNTIF($B$6:B17,B17)&gt;1,"중복",""))</f>
        <v/>
      </c>
      <c r="H17" s="21">
        <f>IF(AND(A17="",B17="",C17="",D17=""),"",IF(AND(E17&lt;=3,F17&lt;=3,G17=""),1,0))</f>
        <v/>
      </c>
      <c r="I17" s="22">
        <f>IF(H17=0,IF(G17="중복","제외: 같은 이메일 중복 응답","제외: 3개 넘게 선택"),"")</f>
        <v/>
      </c>
      <c r="K17" s="21">
        <f>IF(작품목록!A15="","",작품목록!A15)</f>
        <v/>
      </c>
      <c r="L17" s="21">
        <f>IF(K17="","",작품목록!B15)</f>
        <v/>
      </c>
      <c r="M17" s="22">
        <f>IF(K17="","",작품목록!F15)</f>
        <v/>
      </c>
      <c r="N17" s="21">
        <f>IF(K17="","",IF(L17="상상","-",COUNTIFS($C$6:$C$1005,"*"&amp;K17&amp;"*",$H$6:$H$1005,1)+COUNTIFS($D$6:$D$1005,"*"&amp;K17&amp;"*",$H$6:$H$1005,1)))</f>
        <v/>
      </c>
      <c r="O17" s="15" t="n"/>
      <c r="P17" s="27">
        <f>IF(K17="","",IF(L17="상상",N(O17),N17))</f>
        <v/>
      </c>
    </row>
    <row r="18">
      <c r="A18" s="15" t="inlineStr">
        <is>
          <t>2026. 10. 23. 오전 9:24:00</t>
        </is>
      </c>
      <c r="B18" s="15" t="inlineStr">
        <is>
          <t>wirye013@sen.go.kr</t>
        </is>
      </c>
      <c r="C18" s="16" t="inlineStr">
        <is>
          <t>B-01 구구단 우주선, B-02 영어 단어 짝 맞추기, B-04 배수 사냥꾼, B-08 분수 피자 가게</t>
        </is>
      </c>
      <c r="D18" s="16" t="inlineStr">
        <is>
          <t>V-01 각도 탐정 게임, V-02 우리나라 시·도 퀴즈</t>
        </is>
      </c>
      <c r="E18" s="21">
        <f>IF(AND(A18="",B18="",C18="",D18=""),"",IF(TRIM(C18)="",0,LEN(C18)-LEN(SUBSTITUTE(C18,",",""))+1))</f>
        <v/>
      </c>
      <c r="F18" s="21">
        <f>IF(AND(A18="",B18="",C18="",D18=""),"",IF(TRIM(D18)="",0,LEN(D18)-LEN(SUBSTITUTE(D18,",",""))+1))</f>
        <v/>
      </c>
      <c r="G18" s="21">
        <f>IF(B18="","",IF(COUNTIF($B$6:B18,B18)&gt;1,"중복",""))</f>
        <v/>
      </c>
      <c r="H18" s="21">
        <f>IF(AND(A18="",B18="",C18="",D18=""),"",IF(AND(E18&lt;=3,F18&lt;=3,G18=""),1,0))</f>
        <v/>
      </c>
      <c r="I18" s="22">
        <f>IF(H18=0,IF(G18="중복","제외: 같은 이메일 중복 응답","제외: 3개 넘게 선택"),"")</f>
        <v/>
      </c>
      <c r="K18" s="21">
        <f>IF(작품목록!A16="","",작품목록!A16)</f>
        <v/>
      </c>
      <c r="L18" s="21">
        <f>IF(K18="","",작품목록!B16)</f>
        <v/>
      </c>
      <c r="M18" s="22">
        <f>IF(K18="","",작품목록!F16)</f>
        <v/>
      </c>
      <c r="N18" s="21">
        <f>IF(K18="","",IF(L18="상상","-",COUNTIFS($C$6:$C$1005,"*"&amp;K18&amp;"*",$H$6:$H$1005,1)+COUNTIFS($D$6:$D$1005,"*"&amp;K18&amp;"*",$H$6:$H$1005,1)))</f>
        <v/>
      </c>
      <c r="O18" s="15" t="n"/>
      <c r="P18" s="27">
        <f>IF(K18="","",IF(L18="상상",N(O18),N18))</f>
        <v/>
      </c>
    </row>
    <row r="19">
      <c r="A19" s="15" t="inlineStr">
        <is>
          <t>2026. 10. 23. 오전 10:31:00</t>
        </is>
      </c>
      <c r="B19" s="15" t="inlineStr">
        <is>
          <t>wirye014@sen.go.kr</t>
        </is>
      </c>
      <c r="C19" s="16" t="inlineStr">
        <is>
          <t>B-07 우리 지역 지도 탐험, B-08 분수 피자 가게</t>
        </is>
      </c>
      <c r="D19" s="16" t="inlineStr">
        <is>
          <t>V-05 영어 시장 놀이</t>
        </is>
      </c>
      <c r="E19" s="21">
        <f>IF(AND(A19="",B19="",C19="",D19=""),"",IF(TRIM(C19)="",0,LEN(C19)-LEN(SUBSTITUTE(C19,",",""))+1))</f>
        <v/>
      </c>
      <c r="F19" s="21">
        <f>IF(AND(A19="",B19="",C19="",D19=""),"",IF(TRIM(D19)="",0,LEN(D19)-LEN(SUBSTITUTE(D19,",",""))+1))</f>
        <v/>
      </c>
      <c r="G19" s="21">
        <f>IF(B19="","",IF(COUNTIF($B$6:B19,B19)&gt;1,"중복",""))</f>
        <v/>
      </c>
      <c r="H19" s="21">
        <f>IF(AND(A19="",B19="",C19="",D19=""),"",IF(AND(E19&lt;=3,F19&lt;=3,G19=""),1,0))</f>
        <v/>
      </c>
      <c r="I19" s="22">
        <f>IF(H19=0,IF(G19="중복","제외: 같은 이메일 중복 응답","제외: 3개 넘게 선택"),"")</f>
        <v/>
      </c>
      <c r="K19" s="21">
        <f>IF(작품목록!A17="","",작품목록!A17)</f>
        <v/>
      </c>
      <c r="L19" s="21">
        <f>IF(K19="","",작품목록!B17)</f>
        <v/>
      </c>
      <c r="M19" s="22">
        <f>IF(K19="","",작품목록!F17)</f>
        <v/>
      </c>
      <c r="N19" s="21">
        <f>IF(K19="","",IF(L19="상상","-",COUNTIFS($C$6:$C$1005,"*"&amp;K19&amp;"*",$H$6:$H$1005,1)+COUNTIFS($D$6:$D$1005,"*"&amp;K19&amp;"*",$H$6:$H$1005,1)))</f>
        <v/>
      </c>
      <c r="O19" s="15" t="n"/>
      <c r="P19" s="27">
        <f>IF(K19="","",IF(L19="상상",N(O19),N19))</f>
        <v/>
      </c>
    </row>
    <row r="20">
      <c r="A20" s="15" t="inlineStr">
        <is>
          <t>2026. 10. 23. 오전 11:38:00</t>
        </is>
      </c>
      <c r="B20" s="15" t="inlineStr">
        <is>
          <t>wirye015@sen.go.kr</t>
        </is>
      </c>
      <c r="C20" s="16" t="inlineStr">
        <is>
          <t>B-01 구구단 우주선</t>
        </is>
      </c>
      <c r="D20" s="16" t="inlineStr">
        <is>
          <t>V-02 우리나라 시·도 퀴즈, V-06 얼음·물·수증기 변신 퀴즈</t>
        </is>
      </c>
      <c r="E20" s="21">
        <f>IF(AND(A20="",B20="",C20="",D20=""),"",IF(TRIM(C20)="",0,LEN(C20)-LEN(SUBSTITUTE(C20,",",""))+1))</f>
        <v/>
      </c>
      <c r="F20" s="21">
        <f>IF(AND(A20="",B20="",C20="",D20=""),"",IF(TRIM(D20)="",0,LEN(D20)-LEN(SUBSTITUTE(D20,",",""))+1))</f>
        <v/>
      </c>
      <c r="G20" s="21">
        <f>IF(B20="","",IF(COUNTIF($B$6:B20,B20)&gt;1,"중복",""))</f>
        <v/>
      </c>
      <c r="H20" s="21">
        <f>IF(AND(A20="",B20="",C20="",D20=""),"",IF(AND(E20&lt;=3,F20&lt;=3,G20=""),1,0))</f>
        <v/>
      </c>
      <c r="I20" s="22">
        <f>IF(H20=0,IF(G20="중복","제외: 같은 이메일 중복 응답","제외: 3개 넘게 선택"),"")</f>
        <v/>
      </c>
      <c r="K20" s="21">
        <f>IF(작품목록!A18="","",작품목록!A18)</f>
        <v/>
      </c>
      <c r="L20" s="21">
        <f>IF(K20="","",작품목록!B18)</f>
        <v/>
      </c>
      <c r="M20" s="22">
        <f>IF(K20="","",작품목록!F18)</f>
        <v/>
      </c>
      <c r="N20" s="21">
        <f>IF(K20="","",IF(L20="상상","-",COUNTIFS($C$6:$C$1005,"*"&amp;K20&amp;"*",$H$6:$H$1005,1)+COUNTIFS($D$6:$D$1005,"*"&amp;K20&amp;"*",$H$6:$H$1005,1)))</f>
        <v/>
      </c>
      <c r="O20" s="15" t="n"/>
      <c r="P20" s="27">
        <f>IF(K20="","",IF(L20="상상",N(O20),N20))</f>
        <v/>
      </c>
    </row>
    <row r="21">
      <c r="A21" s="15" t="inlineStr">
        <is>
          <t>2026. 10. 24. 오전 9:45:00</t>
        </is>
      </c>
      <c r="B21" s="15" t="inlineStr">
        <is>
          <t>wirye016@sen.go.kr</t>
        </is>
      </c>
      <c r="C21" s="16" t="inlineStr">
        <is>
          <t>B-01 구구단 우주선, B-08 분수 피자 가게</t>
        </is>
      </c>
      <c r="D21" s="16" t="inlineStr">
        <is>
          <t>V-01 각도 탐정 게임</t>
        </is>
      </c>
      <c r="E21" s="21">
        <f>IF(AND(A21="",B21="",C21="",D21=""),"",IF(TRIM(C21)="",0,LEN(C21)-LEN(SUBSTITUTE(C21,",",""))+1))</f>
        <v/>
      </c>
      <c r="F21" s="21">
        <f>IF(AND(A21="",B21="",C21="",D21=""),"",IF(TRIM(D21)="",0,LEN(D21)-LEN(SUBSTITUTE(D21,",",""))+1))</f>
        <v/>
      </c>
      <c r="G21" s="21">
        <f>IF(B21="","",IF(COUNTIF($B$6:B21,B21)&gt;1,"중복",""))</f>
        <v/>
      </c>
      <c r="H21" s="21">
        <f>IF(AND(A21="",B21="",C21="",D21=""),"",IF(AND(E21&lt;=3,F21&lt;=3,G21=""),1,0))</f>
        <v/>
      </c>
      <c r="I21" s="22">
        <f>IF(H21=0,IF(G21="중복","제외: 같은 이메일 중복 응답","제외: 3개 넘게 선택"),"")</f>
        <v/>
      </c>
      <c r="K21" s="21">
        <f>IF(작품목록!A19="","",작품목록!A19)</f>
        <v/>
      </c>
      <c r="L21" s="21">
        <f>IF(K21="","",작품목록!B19)</f>
        <v/>
      </c>
      <c r="M21" s="22">
        <f>IF(K21="","",작품목록!F19)</f>
        <v/>
      </c>
      <c r="N21" s="21">
        <f>IF(K21="","",IF(L21="상상","-",COUNTIFS($C$6:$C$1005,"*"&amp;K21&amp;"*",$H$6:$H$1005,1)+COUNTIFS($D$6:$D$1005,"*"&amp;K21&amp;"*",$H$6:$H$1005,1)))</f>
        <v/>
      </c>
      <c r="O21" s="15" t="n"/>
      <c r="P21" s="27">
        <f>IF(K21="","",IF(L21="상상",N(O21),N21))</f>
        <v/>
      </c>
    </row>
    <row r="22">
      <c r="A22" s="15" t="inlineStr">
        <is>
          <t>2026. 10. 24. 오전 10:52:00</t>
        </is>
      </c>
      <c r="B22" s="15" t="inlineStr">
        <is>
          <t>wirye017@sen.go.kr</t>
        </is>
      </c>
      <c r="C22" s="16" t="inlineStr">
        <is>
          <t>B-02 영어 단어 짝 맞추기, B-04 배수 사냥꾼, B-08 분수 피자 가게</t>
        </is>
      </c>
      <c r="D22" s="16" t="inlineStr">
        <is>
          <t>V-03 지시약 색깔 실험실, V-05 영어 시장 놀이, V-08 고장 지도 기호 카드</t>
        </is>
      </c>
      <c r="E22" s="21">
        <f>IF(AND(A22="",B22="",C22="",D22=""),"",IF(TRIM(C22)="",0,LEN(C22)-LEN(SUBSTITUTE(C22,",",""))+1))</f>
        <v/>
      </c>
      <c r="F22" s="21">
        <f>IF(AND(A22="",B22="",C22="",D22=""),"",IF(TRIM(D22)="",0,LEN(D22)-LEN(SUBSTITUTE(D22,",",""))+1))</f>
        <v/>
      </c>
      <c r="G22" s="21">
        <f>IF(B22="","",IF(COUNTIF($B$6:B22,B22)&gt;1,"중복",""))</f>
        <v/>
      </c>
      <c r="H22" s="21">
        <f>IF(AND(A22="",B22="",C22="",D22=""),"",IF(AND(E22&lt;=3,F22&lt;=3,G22=""),1,0))</f>
        <v/>
      </c>
      <c r="I22" s="22">
        <f>IF(H22=0,IF(G22="중복","제외: 같은 이메일 중복 응답","제외: 3개 넘게 선택"),"")</f>
        <v/>
      </c>
      <c r="K22" s="21">
        <f>IF(작품목록!A20="","",작품목록!A20)</f>
        <v/>
      </c>
      <c r="L22" s="21">
        <f>IF(K22="","",작품목록!B20)</f>
        <v/>
      </c>
      <c r="M22" s="22">
        <f>IF(K22="","",작품목록!F20)</f>
        <v/>
      </c>
      <c r="N22" s="21">
        <f>IF(K22="","",IF(L22="상상","-",COUNTIFS($C$6:$C$1005,"*"&amp;K22&amp;"*",$H$6:$H$1005,1)+COUNTIFS($D$6:$D$1005,"*"&amp;K22&amp;"*",$H$6:$H$1005,1)))</f>
        <v/>
      </c>
      <c r="O22" s="15" t="n">
        <v>38</v>
      </c>
      <c r="P22" s="27">
        <f>IF(K22="","",IF(L22="상상",N(O22),N22))</f>
        <v/>
      </c>
    </row>
    <row r="23">
      <c r="A23" s="15" t="inlineStr">
        <is>
          <t>2026. 10. 24. 오전 11:59:00</t>
        </is>
      </c>
      <c r="B23" s="15" t="inlineStr">
        <is>
          <t>wirye018@sen.go.kr</t>
        </is>
      </c>
      <c r="C23" s="16" t="inlineStr">
        <is>
          <t>B-01 구구단 우주선</t>
        </is>
      </c>
      <c r="D23" s="16" t="inlineStr">
        <is>
          <t>V-02 우리나라 시·도 퀴즈, V-03 지시약 색깔 실험실</t>
        </is>
      </c>
      <c r="E23" s="21">
        <f>IF(AND(A23="",B23="",C23="",D23=""),"",IF(TRIM(C23)="",0,LEN(C23)-LEN(SUBSTITUTE(C23,",",""))+1))</f>
        <v/>
      </c>
      <c r="F23" s="21">
        <f>IF(AND(A23="",B23="",C23="",D23=""),"",IF(TRIM(D23)="",0,LEN(D23)-LEN(SUBSTITUTE(D23,",",""))+1))</f>
        <v/>
      </c>
      <c r="G23" s="21">
        <f>IF(B23="","",IF(COUNTIF($B$6:B23,B23)&gt;1,"중복",""))</f>
        <v/>
      </c>
      <c r="H23" s="21">
        <f>IF(AND(A23="",B23="",C23="",D23=""),"",IF(AND(E23&lt;=3,F23&lt;=3,G23=""),1,0))</f>
        <v/>
      </c>
      <c r="I23" s="22">
        <f>IF(H23=0,IF(G23="중복","제외: 같은 이메일 중복 응답","제외: 3개 넘게 선택"),"")</f>
        <v/>
      </c>
      <c r="K23" s="21">
        <f>IF(작품목록!A21="","",작품목록!A21)</f>
        <v/>
      </c>
      <c r="L23" s="21">
        <f>IF(K23="","",작품목록!B21)</f>
        <v/>
      </c>
      <c r="M23" s="22">
        <f>IF(K23="","",작품목록!F21)</f>
        <v/>
      </c>
      <c r="N23" s="21">
        <f>IF(K23="","",IF(L23="상상","-",COUNTIFS($C$6:$C$1005,"*"&amp;K23&amp;"*",$H$6:$H$1005,1)+COUNTIFS($D$6:$D$1005,"*"&amp;K23&amp;"*",$H$6:$H$1005,1)))</f>
        <v/>
      </c>
      <c r="O23" s="15" t="n">
        <v>27</v>
      </c>
      <c r="P23" s="27">
        <f>IF(K23="","",IF(L23="상상",N(O23),N23))</f>
        <v/>
      </c>
    </row>
    <row r="24">
      <c r="A24" s="15" t="inlineStr">
        <is>
          <t>2026. 10. 24. 오전 9:06:00</t>
        </is>
      </c>
      <c r="B24" s="15" t="inlineStr">
        <is>
          <t>wirye019@sen.go.kr</t>
        </is>
      </c>
      <c r="C24" s="16" t="inlineStr">
        <is>
          <t>B-01 구구단 우주선, B-02 영어 단어 짝 맞추기, B-04 배수 사냥꾼</t>
        </is>
      </c>
      <c r="D24" s="16" t="inlineStr">
        <is>
          <t>V-02 우리나라 시·도 퀴즈, V-08 고장 지도 기호 카드</t>
        </is>
      </c>
      <c r="E24" s="21">
        <f>IF(AND(A24="",B24="",C24="",D24=""),"",IF(TRIM(C24)="",0,LEN(C24)-LEN(SUBSTITUTE(C24,",",""))+1))</f>
        <v/>
      </c>
      <c r="F24" s="21">
        <f>IF(AND(A24="",B24="",C24="",D24=""),"",IF(TRIM(D24)="",0,LEN(D24)-LEN(SUBSTITUTE(D24,",",""))+1))</f>
        <v/>
      </c>
      <c r="G24" s="21">
        <f>IF(B24="","",IF(COUNTIF($B$6:B24,B24)&gt;1,"중복",""))</f>
        <v/>
      </c>
      <c r="H24" s="21">
        <f>IF(AND(A24="",B24="",C24="",D24=""),"",IF(AND(E24&lt;=3,F24&lt;=3,G24=""),1,0))</f>
        <v/>
      </c>
      <c r="I24" s="22">
        <f>IF(H24=0,IF(G24="중복","제외: 같은 이메일 중복 응답","제외: 3개 넘게 선택"),"")</f>
        <v/>
      </c>
      <c r="K24" s="21">
        <f>IF(작품목록!A22="","",작품목록!A22)</f>
        <v/>
      </c>
      <c r="L24" s="21">
        <f>IF(K24="","",작품목록!B22)</f>
        <v/>
      </c>
      <c r="M24" s="22">
        <f>IF(K24="","",작품목록!F22)</f>
        <v/>
      </c>
      <c r="N24" s="21">
        <f>IF(K24="","",IF(L24="상상","-",COUNTIFS($C$6:$C$1005,"*"&amp;K24&amp;"*",$H$6:$H$1005,1)+COUNTIFS($D$6:$D$1005,"*"&amp;K24&amp;"*",$H$6:$H$1005,1)))</f>
        <v/>
      </c>
      <c r="O24" s="15" t="n">
        <v>19</v>
      </c>
      <c r="P24" s="27">
        <f>IF(K24="","",IF(L24="상상",N(O24),N24))</f>
        <v/>
      </c>
    </row>
    <row r="25">
      <c r="A25" s="15" t="inlineStr">
        <is>
          <t>2026. 10. 24. 오전 10:13:00</t>
        </is>
      </c>
      <c r="B25" s="15" t="inlineStr">
        <is>
          <t>wirye020@sen.go.kr</t>
        </is>
      </c>
      <c r="C25" s="16" t="inlineStr">
        <is>
          <t>B-05 낱말 바구니 분류하기, B-08 분수 피자 가게</t>
        </is>
      </c>
      <c r="D25" s="16" t="inlineStr">
        <is>
          <t>V-07 비율 요리사</t>
        </is>
      </c>
      <c r="E25" s="21">
        <f>IF(AND(A25="",B25="",C25="",D25=""),"",IF(TRIM(C25)="",0,LEN(C25)-LEN(SUBSTITUTE(C25,",",""))+1))</f>
        <v/>
      </c>
      <c r="F25" s="21">
        <f>IF(AND(A25="",B25="",C25="",D25=""),"",IF(TRIM(D25)="",0,LEN(D25)-LEN(SUBSTITUTE(D25,",",""))+1))</f>
        <v/>
      </c>
      <c r="G25" s="21">
        <f>IF(B25="","",IF(COUNTIF($B$6:B25,B25)&gt;1,"중복",""))</f>
        <v/>
      </c>
      <c r="H25" s="21">
        <f>IF(AND(A25="",B25="",C25="",D25=""),"",IF(AND(E25&lt;=3,F25&lt;=3,G25=""),1,0))</f>
        <v/>
      </c>
      <c r="I25" s="22">
        <f>IF(H25=0,IF(G25="중복","제외: 같은 이메일 중복 응답","제외: 3개 넘게 선택"),"")</f>
        <v/>
      </c>
      <c r="K25" s="21">
        <f>IF(작품목록!A23="","",작품목록!A23)</f>
        <v/>
      </c>
      <c r="L25" s="21">
        <f>IF(K25="","",작품목록!B23)</f>
        <v/>
      </c>
      <c r="M25" s="22">
        <f>IF(K25="","",작품목록!F23)</f>
        <v/>
      </c>
      <c r="N25" s="21">
        <f>IF(K25="","",IF(L25="상상","-",COUNTIFS($C$6:$C$1005,"*"&amp;K25&amp;"*",$H$6:$H$1005,1)+COUNTIFS($D$6:$D$1005,"*"&amp;K25&amp;"*",$H$6:$H$1005,1)))</f>
        <v/>
      </c>
      <c r="O25" s="15" t="n">
        <v>22</v>
      </c>
      <c r="P25" s="27">
        <f>IF(K25="","",IF(L25="상상",N(O25),N25))</f>
        <v/>
      </c>
    </row>
    <row r="26">
      <c r="A26" s="15" t="inlineStr">
        <is>
          <t>2026. 10. 25. 오전 11:20:00</t>
        </is>
      </c>
      <c r="B26" s="15" t="inlineStr">
        <is>
          <t>wirye021@sen.go.kr</t>
        </is>
      </c>
      <c r="C26" s="16" t="inlineStr">
        <is>
          <t>B-01 구구단 우주선, B-04 배수 사냥꾼</t>
        </is>
      </c>
      <c r="D26" s="16" t="inlineStr">
        <is>
          <t>V-01 각도 탐정 게임, V-03 지시약 색깔 실험실, V-07 비율 요리사</t>
        </is>
      </c>
      <c r="E26" s="21">
        <f>IF(AND(A26="",B26="",C26="",D26=""),"",IF(TRIM(C26)="",0,LEN(C26)-LEN(SUBSTITUTE(C26,",",""))+1))</f>
        <v/>
      </c>
      <c r="F26" s="21">
        <f>IF(AND(A26="",B26="",C26="",D26=""),"",IF(TRIM(D26)="",0,LEN(D26)-LEN(SUBSTITUTE(D26,",",""))+1))</f>
        <v/>
      </c>
      <c r="G26" s="21">
        <f>IF(B26="","",IF(COUNTIF($B$6:B26,B26)&gt;1,"중복",""))</f>
        <v/>
      </c>
      <c r="H26" s="21">
        <f>IF(AND(A26="",B26="",C26="",D26=""),"",IF(AND(E26&lt;=3,F26&lt;=3,G26=""),1,0))</f>
        <v/>
      </c>
      <c r="I26" s="22">
        <f>IF(H26=0,IF(G26="중복","제외: 같은 이메일 중복 응답","제외: 3개 넘게 선택"),"")</f>
        <v/>
      </c>
      <c r="K26" s="21">
        <f>IF(작품목록!A24="","",작품목록!A24)</f>
        <v/>
      </c>
      <c r="L26" s="21">
        <f>IF(K26="","",작품목록!B24)</f>
        <v/>
      </c>
      <c r="M26" s="22">
        <f>IF(K26="","",작품목록!F24)</f>
        <v/>
      </c>
      <c r="N26" s="21">
        <f>IF(K26="","",IF(L26="상상","-",COUNTIFS($C$6:$C$1005,"*"&amp;K26&amp;"*",$H$6:$H$1005,1)+COUNTIFS($D$6:$D$1005,"*"&amp;K26&amp;"*",$H$6:$H$1005,1)))</f>
        <v/>
      </c>
      <c r="O26" s="15" t="n">
        <v>31</v>
      </c>
      <c r="P26" s="27">
        <f>IF(K26="","",IF(L26="상상",N(O26),N26))</f>
        <v/>
      </c>
    </row>
    <row r="27">
      <c r="A27" s="15" t="inlineStr">
        <is>
          <t>2026. 10. 25. 오전 9:27:00</t>
        </is>
      </c>
      <c r="B27" s="15" t="inlineStr">
        <is>
          <t>wirye022@sen.go.kr</t>
        </is>
      </c>
      <c r="C27" s="16" t="inlineStr">
        <is>
          <t>B-01 구구단 우주선, B-02 영어 단어 짝 맞추기, B-08 분수 피자 가게</t>
        </is>
      </c>
      <c r="D27" s="16" t="inlineStr">
        <is>
          <t>V-03 지시약 색깔 실험실</t>
        </is>
      </c>
      <c r="E27" s="21">
        <f>IF(AND(A27="",B27="",C27="",D27=""),"",IF(TRIM(C27)="",0,LEN(C27)-LEN(SUBSTITUTE(C27,",",""))+1))</f>
        <v/>
      </c>
      <c r="F27" s="21">
        <f>IF(AND(A27="",B27="",C27="",D27=""),"",IF(TRIM(D27)="",0,LEN(D27)-LEN(SUBSTITUTE(D27,",",""))+1))</f>
        <v/>
      </c>
      <c r="G27" s="21">
        <f>IF(B27="","",IF(COUNTIF($B$6:B27,B27)&gt;1,"중복",""))</f>
        <v/>
      </c>
      <c r="H27" s="21">
        <f>IF(AND(A27="",B27="",C27="",D27=""),"",IF(AND(E27&lt;=3,F27&lt;=3,G27=""),1,0))</f>
        <v/>
      </c>
      <c r="I27" s="22">
        <f>IF(H27=0,IF(G27="중복","제외: 같은 이메일 중복 응답","제외: 3개 넘게 선택"),"")</f>
        <v/>
      </c>
      <c r="K27" s="21">
        <f>IF(작품목록!A25="","",작품목록!A25)</f>
        <v/>
      </c>
      <c r="L27" s="21">
        <f>IF(K27="","",작품목록!B25)</f>
        <v/>
      </c>
      <c r="M27" s="22">
        <f>IF(K27="","",작품목록!F25)</f>
        <v/>
      </c>
      <c r="N27" s="21">
        <f>IF(K27="","",IF(L27="상상","-",COUNTIFS($C$6:$C$1005,"*"&amp;K27&amp;"*",$H$6:$H$1005,1)+COUNTIFS($D$6:$D$1005,"*"&amp;K27&amp;"*",$H$6:$H$1005,1)))</f>
        <v/>
      </c>
      <c r="O27" s="15" t="n">
        <v>15</v>
      </c>
      <c r="P27" s="27">
        <f>IF(K27="","",IF(L27="상상",N(O27),N27))</f>
        <v/>
      </c>
    </row>
    <row r="28">
      <c r="A28" s="15" t="inlineStr">
        <is>
          <t>2026. 10. 25. 오전 10:34:00</t>
        </is>
      </c>
      <c r="B28" s="15" t="inlineStr">
        <is>
          <t>wirye023@sen.go.kr</t>
        </is>
      </c>
      <c r="C28" s="16" t="inlineStr">
        <is>
          <t>B-01 구구단 우주선, B-02 영어 단어 짝 맞추기</t>
        </is>
      </c>
      <c r="D28" s="16" t="inlineStr">
        <is>
          <t>V-01 각도 탐정 게임, V-07 비율 요리사</t>
        </is>
      </c>
      <c r="E28" s="21">
        <f>IF(AND(A28="",B28="",C28="",D28=""),"",IF(TRIM(C28)="",0,LEN(C28)-LEN(SUBSTITUTE(C28,",",""))+1))</f>
        <v/>
      </c>
      <c r="F28" s="21">
        <f>IF(AND(A28="",B28="",C28="",D28=""),"",IF(TRIM(D28)="",0,LEN(D28)-LEN(SUBSTITUTE(D28,",",""))+1))</f>
        <v/>
      </c>
      <c r="G28" s="21">
        <f>IF(B28="","",IF(COUNTIF($B$6:B28,B28)&gt;1,"중복",""))</f>
        <v/>
      </c>
      <c r="H28" s="21">
        <f>IF(AND(A28="",B28="",C28="",D28=""),"",IF(AND(E28&lt;=3,F28&lt;=3,G28=""),1,0))</f>
        <v/>
      </c>
      <c r="I28" s="22">
        <f>IF(H28=0,IF(G28="중복","제외: 같은 이메일 중복 응답","제외: 3개 넘게 선택"),"")</f>
        <v/>
      </c>
      <c r="K28" s="21">
        <f>IF(작품목록!A26="","",작품목록!A26)</f>
        <v/>
      </c>
      <c r="L28" s="21">
        <f>IF(K28="","",작품목록!B26)</f>
        <v/>
      </c>
      <c r="M28" s="22">
        <f>IF(K28="","",작품목록!F26)</f>
        <v/>
      </c>
      <c r="N28" s="21">
        <f>IF(K28="","",IF(L28="상상","-",COUNTIFS($C$6:$C$1005,"*"&amp;K28&amp;"*",$H$6:$H$1005,1)+COUNTIFS($D$6:$D$1005,"*"&amp;K28&amp;"*",$H$6:$H$1005,1)))</f>
        <v/>
      </c>
      <c r="O28" s="15" t="n">
        <v>24</v>
      </c>
      <c r="P28" s="27">
        <f>IF(K28="","",IF(L28="상상",N(O28),N28))</f>
        <v/>
      </c>
    </row>
    <row r="29">
      <c r="A29" s="15" t="inlineStr">
        <is>
          <t>2026. 10. 25. 오전 11:41:00</t>
        </is>
      </c>
      <c r="B29" s="15" t="inlineStr">
        <is>
          <t>wirye024@sen.go.kr</t>
        </is>
      </c>
      <c r="C29" s="16" t="inlineStr">
        <is>
          <t>B-01 구구단 우주선, B-02 영어 단어 짝 맞추기, B-03 씨앗 키우기 순서 게임</t>
        </is>
      </c>
      <c r="D29" s="16" t="inlineStr">
        <is>
          <t>V-02 우리나라 시·도 퀴즈, V-03 지시약 색깔 실험실</t>
        </is>
      </c>
      <c r="E29" s="21">
        <f>IF(AND(A29="",B29="",C29="",D29=""),"",IF(TRIM(C29)="",0,LEN(C29)-LEN(SUBSTITUTE(C29,",",""))+1))</f>
        <v/>
      </c>
      <c r="F29" s="21">
        <f>IF(AND(A29="",B29="",C29="",D29=""),"",IF(TRIM(D29)="",0,LEN(D29)-LEN(SUBSTITUTE(D29,",",""))+1))</f>
        <v/>
      </c>
      <c r="G29" s="21">
        <f>IF(B29="","",IF(COUNTIF($B$6:B29,B29)&gt;1,"중복",""))</f>
        <v/>
      </c>
      <c r="H29" s="21">
        <f>IF(AND(A29="",B29="",C29="",D29=""),"",IF(AND(E29&lt;=3,F29&lt;=3,G29=""),1,0))</f>
        <v/>
      </c>
      <c r="I29" s="22">
        <f>IF(H29=0,IF(G29="중복","제외: 같은 이메일 중복 응답","제외: 3개 넘게 선택"),"")</f>
        <v/>
      </c>
      <c r="K29" s="21">
        <f>IF(작품목록!A27="","",작품목록!A27)</f>
        <v/>
      </c>
      <c r="L29" s="21">
        <f>IF(K29="","",작품목록!B27)</f>
        <v/>
      </c>
      <c r="M29" s="22">
        <f>IF(K29="","",작품목록!F27)</f>
        <v/>
      </c>
      <c r="N29" s="21">
        <f>IF(K29="","",IF(L29="상상","-",COUNTIFS($C$6:$C$1005,"*"&amp;K29&amp;"*",$H$6:$H$1005,1)+COUNTIFS($D$6:$D$1005,"*"&amp;K29&amp;"*",$H$6:$H$1005,1)))</f>
        <v/>
      </c>
      <c r="O29" s="15" t="n">
        <v>12</v>
      </c>
      <c r="P29" s="27">
        <f>IF(K29="","",IF(L29="상상",N(O29),N29))</f>
        <v/>
      </c>
    </row>
    <row r="30">
      <c r="A30" s="15" t="inlineStr">
        <is>
          <t>2026. 10. 25. 오전 9:48:00</t>
        </is>
      </c>
      <c r="B30" s="15" t="inlineStr">
        <is>
          <t>wirye025@sen.go.kr</t>
        </is>
      </c>
      <c r="C30" s="16" t="inlineStr">
        <is>
          <t>B-01 구구단 우주선, B-02 영어 단어 짝 맞추기, B-08 분수 피자 가게</t>
        </is>
      </c>
      <c r="D30" s="16" t="inlineStr">
        <is>
          <t>V-06 얼음·물·수증기 변신 퀴즈, V-07 비율 요리사, V-08 고장 지도 기호 카드</t>
        </is>
      </c>
      <c r="E30" s="21">
        <f>IF(AND(A30="",B30="",C30="",D30=""),"",IF(TRIM(C30)="",0,LEN(C30)-LEN(SUBSTITUTE(C30,",",""))+1))</f>
        <v/>
      </c>
      <c r="F30" s="21">
        <f>IF(AND(A30="",B30="",C30="",D30=""),"",IF(TRIM(D30)="",0,LEN(D30)-LEN(SUBSTITUTE(D30,",",""))+1))</f>
        <v/>
      </c>
      <c r="G30" s="21">
        <f>IF(B30="","",IF(COUNTIF($B$6:B30,B30)&gt;1,"중복",""))</f>
        <v/>
      </c>
      <c r="H30" s="21">
        <f>IF(AND(A30="",B30="",C30="",D30=""),"",IF(AND(E30&lt;=3,F30&lt;=3,G30=""),1,0))</f>
        <v/>
      </c>
      <c r="I30" s="22">
        <f>IF(H30=0,IF(G30="중복","제외: 같은 이메일 중복 응답","제외: 3개 넘게 선택"),"")</f>
        <v/>
      </c>
      <c r="K30" s="21">
        <f>IF(작품목록!A28="","",작품목록!A28)</f>
        <v/>
      </c>
      <c r="L30" s="21">
        <f>IF(K30="","",작품목록!B28)</f>
        <v/>
      </c>
      <c r="M30" s="22">
        <f>IF(K30="","",작품목록!F28)</f>
        <v/>
      </c>
      <c r="N30" s="21">
        <f>IF(K30="","",IF(L30="상상","-",COUNTIFS($C$6:$C$1005,"*"&amp;K30&amp;"*",$H$6:$H$1005,1)+COUNTIFS($D$6:$D$1005,"*"&amp;K30&amp;"*",$H$6:$H$1005,1)))</f>
        <v/>
      </c>
      <c r="O30" s="15" t="n"/>
      <c r="P30" s="27">
        <f>IF(K30="","",IF(L30="상상",N(O30),N30))</f>
        <v/>
      </c>
    </row>
    <row r="31">
      <c r="A31" s="15" t="inlineStr">
        <is>
          <t>2026. 10. 26. 오전 10:55:00</t>
        </is>
      </c>
      <c r="B31" s="15" t="inlineStr">
        <is>
          <t>wirye004@sen.go.kr</t>
        </is>
      </c>
      <c r="C31" s="16" t="inlineStr">
        <is>
          <t>B-01 구구단 우주선, B-03 씨앗 키우기 순서 게임, B-04 배수 사냥꾼</t>
        </is>
      </c>
      <c r="D31" s="16" t="inlineStr">
        <is>
          <t>V-02 우리나라 시·도 퀴즈, V-07 비율 요리사</t>
        </is>
      </c>
      <c r="E31" s="21">
        <f>IF(AND(A31="",B31="",C31="",D31=""),"",IF(TRIM(C31)="",0,LEN(C31)-LEN(SUBSTITUTE(C31,",",""))+1))</f>
        <v/>
      </c>
      <c r="F31" s="21">
        <f>IF(AND(A31="",B31="",C31="",D31=""),"",IF(TRIM(D31)="",0,LEN(D31)-LEN(SUBSTITUTE(D31,",",""))+1))</f>
        <v/>
      </c>
      <c r="G31" s="21">
        <f>IF(B31="","",IF(COUNTIF($B$6:B31,B31)&gt;1,"중복",""))</f>
        <v/>
      </c>
      <c r="H31" s="21">
        <f>IF(AND(A31="",B31="",C31="",D31=""),"",IF(AND(E31&lt;=3,F31&lt;=3,G31=""),1,0))</f>
        <v/>
      </c>
      <c r="I31" s="22">
        <f>IF(H31=0,IF(G31="중복","제외: 같은 이메일 중복 응답","제외: 3개 넘게 선택"),"")</f>
        <v/>
      </c>
      <c r="K31" s="21">
        <f>IF(작품목록!A29="","",작품목록!A29)</f>
        <v/>
      </c>
      <c r="L31" s="21">
        <f>IF(K31="","",작품목록!B29)</f>
        <v/>
      </c>
      <c r="M31" s="22">
        <f>IF(K31="","",작품목록!F29)</f>
        <v/>
      </c>
      <c r="N31" s="21">
        <f>IF(K31="","",IF(L31="상상","-",COUNTIFS($C$6:$C$1005,"*"&amp;K31&amp;"*",$H$6:$H$1005,1)+COUNTIFS($D$6:$D$1005,"*"&amp;K31&amp;"*",$H$6:$H$1005,1)))</f>
        <v/>
      </c>
      <c r="O31" s="15" t="n"/>
      <c r="P31" s="27">
        <f>IF(K31="","",IF(L31="상상",N(O31),N31))</f>
        <v/>
      </c>
    </row>
    <row r="32">
      <c r="A32" s="15" t="inlineStr">
        <is>
          <t>2026. 10. 26. 오전 11:02:00</t>
        </is>
      </c>
      <c r="B32" s="15" t="inlineStr">
        <is>
          <t>wirye027@sen.go.kr</t>
        </is>
      </c>
      <c r="C32" s="16" t="inlineStr">
        <is>
          <t>B-01 구구단 우주선, B-02 영어 단어 짝 맞추기, B-03 씨앗 키우기 순서 게임</t>
        </is>
      </c>
      <c r="D32" s="16" t="inlineStr">
        <is>
          <t>V-06 얼음·물·수증기 변신 퀴즈, V-07 비율 요리사</t>
        </is>
      </c>
      <c r="E32" s="21">
        <f>IF(AND(A32="",B32="",C32="",D32=""),"",IF(TRIM(C32)="",0,LEN(C32)-LEN(SUBSTITUTE(C32,",",""))+1))</f>
        <v/>
      </c>
      <c r="F32" s="21">
        <f>IF(AND(A32="",B32="",C32="",D32=""),"",IF(TRIM(D32)="",0,LEN(D32)-LEN(SUBSTITUTE(D32,",",""))+1))</f>
        <v/>
      </c>
      <c r="G32" s="21">
        <f>IF(B32="","",IF(COUNTIF($B$6:B32,B32)&gt;1,"중복",""))</f>
        <v/>
      </c>
      <c r="H32" s="21">
        <f>IF(AND(A32="",B32="",C32="",D32=""),"",IF(AND(E32&lt;=3,F32&lt;=3,G32=""),1,0))</f>
        <v/>
      </c>
      <c r="I32" s="22">
        <f>IF(H32=0,IF(G32="중복","제외: 같은 이메일 중복 응답","제외: 3개 넘게 선택"),"")</f>
        <v/>
      </c>
      <c r="K32" s="21">
        <f>IF(작품목록!A30="","",작품목록!A30)</f>
        <v/>
      </c>
      <c r="L32" s="21">
        <f>IF(K32="","",작품목록!B30)</f>
        <v/>
      </c>
      <c r="M32" s="22">
        <f>IF(K32="","",작품목록!F30)</f>
        <v/>
      </c>
      <c r="N32" s="21">
        <f>IF(K32="","",IF(L32="상상","-",COUNTIFS($C$6:$C$1005,"*"&amp;K32&amp;"*",$H$6:$H$1005,1)+COUNTIFS($D$6:$D$1005,"*"&amp;K32&amp;"*",$H$6:$H$1005,1)))</f>
        <v/>
      </c>
      <c r="O32" s="15" t="n"/>
      <c r="P32" s="27">
        <f>IF(K32="","",IF(L32="상상",N(O32),N32))</f>
        <v/>
      </c>
    </row>
    <row r="33">
      <c r="A33" s="15" t="inlineStr">
        <is>
          <t>2026. 10. 26. 오전 9:09:00</t>
        </is>
      </c>
      <c r="B33" s="15" t="inlineStr">
        <is>
          <t>wirye028@sen.go.kr</t>
        </is>
      </c>
      <c r="C33" s="16" t="inlineStr">
        <is>
          <t>B-01 구구단 우주선, B-04 배수 사냥꾼, B-07 우리 지역 지도 탐험</t>
        </is>
      </c>
      <c r="D33" s="16" t="inlineStr">
        <is>
          <t>V-03 지시약 색깔 실험실, V-04 중심 문장 찾기 놀이, V-06 얼음·물·수증기 변신 퀴즈</t>
        </is>
      </c>
      <c r="E33" s="21">
        <f>IF(AND(A33="",B33="",C33="",D33=""),"",IF(TRIM(C33)="",0,LEN(C33)-LEN(SUBSTITUTE(C33,",",""))+1))</f>
        <v/>
      </c>
      <c r="F33" s="21">
        <f>IF(AND(A33="",B33="",C33="",D33=""),"",IF(TRIM(D33)="",0,LEN(D33)-LEN(SUBSTITUTE(D33,",",""))+1))</f>
        <v/>
      </c>
      <c r="G33" s="21">
        <f>IF(B33="","",IF(COUNTIF($B$6:B33,B33)&gt;1,"중복",""))</f>
        <v/>
      </c>
      <c r="H33" s="21">
        <f>IF(AND(A33="",B33="",C33="",D33=""),"",IF(AND(E33&lt;=3,F33&lt;=3,G33=""),1,0))</f>
        <v/>
      </c>
      <c r="I33" s="22">
        <f>IF(H33=0,IF(G33="중복","제외: 같은 이메일 중복 응답","제외: 3개 넘게 선택"),"")</f>
        <v/>
      </c>
      <c r="K33" s="21">
        <f>IF(작품목록!A31="","",작품목록!A31)</f>
        <v/>
      </c>
      <c r="L33" s="21">
        <f>IF(K33="","",작품목록!B31)</f>
        <v/>
      </c>
      <c r="M33" s="22">
        <f>IF(K33="","",작품목록!F31)</f>
        <v/>
      </c>
      <c r="N33" s="21">
        <f>IF(K33="","",IF(L33="상상","-",COUNTIFS($C$6:$C$1005,"*"&amp;K33&amp;"*",$H$6:$H$1005,1)+COUNTIFS($D$6:$D$1005,"*"&amp;K33&amp;"*",$H$6:$H$1005,1)))</f>
        <v/>
      </c>
      <c r="O33" s="15" t="n"/>
      <c r="P33" s="27">
        <f>IF(K33="","",IF(L33="상상",N(O33),N33))</f>
        <v/>
      </c>
    </row>
    <row r="34">
      <c r="A34" s="15" t="inlineStr">
        <is>
          <t>2026. 10. 26. 오전 10:16:00</t>
        </is>
      </c>
      <c r="B34" s="15" t="inlineStr">
        <is>
          <t>wirye029@sen.go.kr</t>
        </is>
      </c>
      <c r="C34" s="16" t="inlineStr">
        <is>
          <t>B-01 구구단 우주선, B-02 영어 단어 짝 맞추기</t>
        </is>
      </c>
      <c r="D34" s="16" t="inlineStr">
        <is>
          <t>V-02 우리나라 시·도 퀴즈, V-03 지시약 색깔 실험실, V-07 비율 요리사</t>
        </is>
      </c>
      <c r="E34" s="21">
        <f>IF(AND(A34="",B34="",C34="",D34=""),"",IF(TRIM(C34)="",0,LEN(C34)-LEN(SUBSTITUTE(C34,",",""))+1))</f>
        <v/>
      </c>
      <c r="F34" s="21">
        <f>IF(AND(A34="",B34="",C34="",D34=""),"",IF(TRIM(D34)="",0,LEN(D34)-LEN(SUBSTITUTE(D34,",",""))+1))</f>
        <v/>
      </c>
      <c r="G34" s="21">
        <f>IF(B34="","",IF(COUNTIF($B$6:B34,B34)&gt;1,"중복",""))</f>
        <v/>
      </c>
      <c r="H34" s="21">
        <f>IF(AND(A34="",B34="",C34="",D34=""),"",IF(AND(E34&lt;=3,F34&lt;=3,G34=""),1,0))</f>
        <v/>
      </c>
      <c r="I34" s="22">
        <f>IF(H34=0,IF(G34="중복","제외: 같은 이메일 중복 응답","제외: 3개 넘게 선택"),"")</f>
        <v/>
      </c>
      <c r="K34" s="21">
        <f>IF(작품목록!A32="","",작품목록!A32)</f>
        <v/>
      </c>
      <c r="L34" s="21">
        <f>IF(K34="","",작품목록!B32)</f>
        <v/>
      </c>
      <c r="M34" s="22">
        <f>IF(K34="","",작품목록!F32)</f>
        <v/>
      </c>
      <c r="N34" s="21">
        <f>IF(K34="","",IF(L34="상상","-",COUNTIFS($C$6:$C$1005,"*"&amp;K34&amp;"*",$H$6:$H$1005,1)+COUNTIFS($D$6:$D$1005,"*"&amp;K34&amp;"*",$H$6:$H$1005,1)))</f>
        <v/>
      </c>
      <c r="O34" s="15" t="n"/>
      <c r="P34" s="27">
        <f>IF(K34="","",IF(L34="상상",N(O34),N34))</f>
        <v/>
      </c>
    </row>
    <row r="35">
      <c r="A35" s="15" t="inlineStr">
        <is>
          <t>2026. 10. 26. 오전 11:23:00</t>
        </is>
      </c>
      <c r="B35" s="15" t="inlineStr">
        <is>
          <t>wirye030@sen.go.kr</t>
        </is>
      </c>
      <c r="C35" s="16" t="inlineStr">
        <is>
          <t>B-01 구구단 우주선, B-02 영어 단어 짝 맞추기, B-06 행성 순서 맞히기</t>
        </is>
      </c>
      <c r="D35" s="16" t="inlineStr">
        <is>
          <t>V-02 우리나라 시·도 퀴즈, V-04 중심 문장 찾기 놀이</t>
        </is>
      </c>
      <c r="E35" s="21">
        <f>IF(AND(A35="",B35="",C35="",D35=""),"",IF(TRIM(C35)="",0,LEN(C35)-LEN(SUBSTITUTE(C35,",",""))+1))</f>
        <v/>
      </c>
      <c r="F35" s="21">
        <f>IF(AND(A35="",B35="",C35="",D35=""),"",IF(TRIM(D35)="",0,LEN(D35)-LEN(SUBSTITUTE(D35,",",""))+1))</f>
        <v/>
      </c>
      <c r="G35" s="21">
        <f>IF(B35="","",IF(COUNTIF($B$6:B35,B35)&gt;1,"중복",""))</f>
        <v/>
      </c>
      <c r="H35" s="21">
        <f>IF(AND(A35="",B35="",C35="",D35=""),"",IF(AND(E35&lt;=3,F35&lt;=3,G35=""),1,0))</f>
        <v/>
      </c>
      <c r="I35" s="22">
        <f>IF(H35=0,IF(G35="중복","제외: 같은 이메일 중복 응답","제외: 3개 넘게 선택"),"")</f>
        <v/>
      </c>
      <c r="K35" s="21">
        <f>IF(작품목록!A33="","",작품목록!A33)</f>
        <v/>
      </c>
      <c r="L35" s="21">
        <f>IF(K35="","",작품목록!B33)</f>
        <v/>
      </c>
      <c r="M35" s="22">
        <f>IF(K35="","",작품목록!F33)</f>
        <v/>
      </c>
      <c r="N35" s="21">
        <f>IF(K35="","",IF(L35="상상","-",COUNTIFS($C$6:$C$1005,"*"&amp;K35&amp;"*",$H$6:$H$1005,1)+COUNTIFS($D$6:$D$1005,"*"&amp;K35&amp;"*",$H$6:$H$1005,1)))</f>
        <v/>
      </c>
      <c r="O35" s="15" t="n"/>
      <c r="P35" s="27">
        <f>IF(K35="","",IF(L35="상상",N(O35),N35))</f>
        <v/>
      </c>
    </row>
    <row r="36">
      <c r="A36" s="15" t="n"/>
      <c r="B36" s="15" t="n"/>
      <c r="C36" s="16" t="n"/>
      <c r="D36" s="16" t="n"/>
      <c r="E36" s="21">
        <f>IF(AND(A36="",B36="",C36="",D36=""),"",IF(TRIM(C36)="",0,LEN(C36)-LEN(SUBSTITUTE(C36,",",""))+1))</f>
        <v/>
      </c>
      <c r="F36" s="21">
        <f>IF(AND(A36="",B36="",C36="",D36=""),"",IF(TRIM(D36)="",0,LEN(D36)-LEN(SUBSTITUTE(D36,",",""))+1))</f>
        <v/>
      </c>
      <c r="G36" s="21">
        <f>IF(B36="","",IF(COUNTIF($B$6:B36,B36)&gt;1,"중복",""))</f>
        <v/>
      </c>
      <c r="H36" s="21">
        <f>IF(AND(A36="",B36="",C36="",D36=""),"",IF(AND(E36&lt;=3,F36&lt;=3,G36=""),1,0))</f>
        <v/>
      </c>
      <c r="I36" s="22">
        <f>IF(H36=0,IF(G36="중복","제외: 같은 이메일 중복 응답","제외: 3개 넘게 선택"),"")</f>
        <v/>
      </c>
      <c r="K36" s="21">
        <f>IF(작품목록!A34="","",작품목록!A34)</f>
        <v/>
      </c>
      <c r="L36" s="21">
        <f>IF(K36="","",작품목록!B34)</f>
        <v/>
      </c>
      <c r="M36" s="22">
        <f>IF(K36="","",작품목록!F34)</f>
        <v/>
      </c>
      <c r="N36" s="21">
        <f>IF(K36="","",IF(L36="상상","-",COUNTIFS($C$6:$C$1005,"*"&amp;K36&amp;"*",$H$6:$H$1005,1)+COUNTIFS($D$6:$D$1005,"*"&amp;K36&amp;"*",$H$6:$H$1005,1)))</f>
        <v/>
      </c>
      <c r="O36" s="15" t="n"/>
      <c r="P36" s="27">
        <f>IF(K36="","",IF(L36="상상",N(O36),N36))</f>
        <v/>
      </c>
    </row>
    <row r="37">
      <c r="A37" s="15" t="n"/>
      <c r="B37" s="15" t="n"/>
      <c r="C37" s="16" t="n"/>
      <c r="D37" s="16" t="n"/>
      <c r="E37" s="21">
        <f>IF(AND(A37="",B37="",C37="",D37=""),"",IF(TRIM(C37)="",0,LEN(C37)-LEN(SUBSTITUTE(C37,",",""))+1))</f>
        <v/>
      </c>
      <c r="F37" s="21">
        <f>IF(AND(A37="",B37="",C37="",D37=""),"",IF(TRIM(D37)="",0,LEN(D37)-LEN(SUBSTITUTE(D37,",",""))+1))</f>
        <v/>
      </c>
      <c r="G37" s="21">
        <f>IF(B37="","",IF(COUNTIF($B$6:B37,B37)&gt;1,"중복",""))</f>
        <v/>
      </c>
      <c r="H37" s="21">
        <f>IF(AND(A37="",B37="",C37="",D37=""),"",IF(AND(E37&lt;=3,F37&lt;=3,G37=""),1,0))</f>
        <v/>
      </c>
      <c r="I37" s="22">
        <f>IF(H37=0,IF(G37="중복","제외: 같은 이메일 중복 응답","제외: 3개 넘게 선택"),"")</f>
        <v/>
      </c>
      <c r="K37" s="21">
        <f>IF(작품목록!A35="","",작품목록!A35)</f>
        <v/>
      </c>
      <c r="L37" s="21">
        <f>IF(K37="","",작품목록!B35)</f>
        <v/>
      </c>
      <c r="M37" s="22">
        <f>IF(K37="","",작품목록!F35)</f>
        <v/>
      </c>
      <c r="N37" s="21">
        <f>IF(K37="","",IF(L37="상상","-",COUNTIFS($C$6:$C$1005,"*"&amp;K37&amp;"*",$H$6:$H$1005,1)+COUNTIFS($D$6:$D$1005,"*"&amp;K37&amp;"*",$H$6:$H$1005,1)))</f>
        <v/>
      </c>
      <c r="O37" s="15" t="n"/>
      <c r="P37" s="27">
        <f>IF(K37="","",IF(L37="상상",N(O37),N37))</f>
        <v/>
      </c>
    </row>
    <row r="38">
      <c r="A38" s="15" t="n"/>
      <c r="B38" s="15" t="n"/>
      <c r="C38" s="16" t="n"/>
      <c r="D38" s="16" t="n"/>
      <c r="E38" s="21">
        <f>IF(AND(A38="",B38="",C38="",D38=""),"",IF(TRIM(C38)="",0,LEN(C38)-LEN(SUBSTITUTE(C38,",",""))+1))</f>
        <v/>
      </c>
      <c r="F38" s="21">
        <f>IF(AND(A38="",B38="",C38="",D38=""),"",IF(TRIM(D38)="",0,LEN(D38)-LEN(SUBSTITUTE(D38,",",""))+1))</f>
        <v/>
      </c>
      <c r="G38" s="21">
        <f>IF(B38="","",IF(COUNTIF($B$6:B38,B38)&gt;1,"중복",""))</f>
        <v/>
      </c>
      <c r="H38" s="21">
        <f>IF(AND(A38="",B38="",C38="",D38=""),"",IF(AND(E38&lt;=3,F38&lt;=3,G38=""),1,0))</f>
        <v/>
      </c>
      <c r="I38" s="22">
        <f>IF(H38=0,IF(G38="중복","제외: 같은 이메일 중복 응답","제외: 3개 넘게 선택"),"")</f>
        <v/>
      </c>
      <c r="K38" s="21">
        <f>IF(작품목록!A36="","",작품목록!A36)</f>
        <v/>
      </c>
      <c r="L38" s="21">
        <f>IF(K38="","",작품목록!B36)</f>
        <v/>
      </c>
      <c r="M38" s="22">
        <f>IF(K38="","",작품목록!F36)</f>
        <v/>
      </c>
      <c r="N38" s="21">
        <f>IF(K38="","",IF(L38="상상","-",COUNTIFS($C$6:$C$1005,"*"&amp;K38&amp;"*",$H$6:$H$1005,1)+COUNTIFS($D$6:$D$1005,"*"&amp;K38&amp;"*",$H$6:$H$1005,1)))</f>
        <v/>
      </c>
      <c r="O38" s="15" t="n"/>
      <c r="P38" s="27">
        <f>IF(K38="","",IF(L38="상상",N(O38),N38))</f>
        <v/>
      </c>
    </row>
    <row r="39">
      <c r="A39" s="15" t="n"/>
      <c r="B39" s="15" t="n"/>
      <c r="C39" s="16" t="n"/>
      <c r="D39" s="16" t="n"/>
      <c r="E39" s="21">
        <f>IF(AND(A39="",B39="",C39="",D39=""),"",IF(TRIM(C39)="",0,LEN(C39)-LEN(SUBSTITUTE(C39,",",""))+1))</f>
        <v/>
      </c>
      <c r="F39" s="21">
        <f>IF(AND(A39="",B39="",C39="",D39=""),"",IF(TRIM(D39)="",0,LEN(D39)-LEN(SUBSTITUTE(D39,",",""))+1))</f>
        <v/>
      </c>
      <c r="G39" s="21">
        <f>IF(B39="","",IF(COUNTIF($B$6:B39,B39)&gt;1,"중복",""))</f>
        <v/>
      </c>
      <c r="H39" s="21">
        <f>IF(AND(A39="",B39="",C39="",D39=""),"",IF(AND(E39&lt;=3,F39&lt;=3,G39=""),1,0))</f>
        <v/>
      </c>
      <c r="I39" s="22">
        <f>IF(H39=0,IF(G39="중복","제외: 같은 이메일 중복 응답","제외: 3개 넘게 선택"),"")</f>
        <v/>
      </c>
      <c r="K39" s="21">
        <f>IF(작품목록!A37="","",작품목록!A37)</f>
        <v/>
      </c>
      <c r="L39" s="21">
        <f>IF(K39="","",작품목록!B37)</f>
        <v/>
      </c>
      <c r="M39" s="22">
        <f>IF(K39="","",작품목록!F37)</f>
        <v/>
      </c>
      <c r="N39" s="21">
        <f>IF(K39="","",IF(L39="상상","-",COUNTIFS($C$6:$C$1005,"*"&amp;K39&amp;"*",$H$6:$H$1005,1)+COUNTIFS($D$6:$D$1005,"*"&amp;K39&amp;"*",$H$6:$H$1005,1)))</f>
        <v/>
      </c>
      <c r="O39" s="15" t="n"/>
      <c r="P39" s="27">
        <f>IF(K39="","",IF(L39="상상",N(O39),N39))</f>
        <v/>
      </c>
    </row>
    <row r="40">
      <c r="A40" s="15" t="n"/>
      <c r="B40" s="15" t="n"/>
      <c r="C40" s="16" t="n"/>
      <c r="D40" s="16" t="n"/>
      <c r="E40" s="21">
        <f>IF(AND(A40="",B40="",C40="",D40=""),"",IF(TRIM(C40)="",0,LEN(C40)-LEN(SUBSTITUTE(C40,",",""))+1))</f>
        <v/>
      </c>
      <c r="F40" s="21">
        <f>IF(AND(A40="",B40="",C40="",D40=""),"",IF(TRIM(D40)="",0,LEN(D40)-LEN(SUBSTITUTE(D40,",",""))+1))</f>
        <v/>
      </c>
      <c r="G40" s="21">
        <f>IF(B40="","",IF(COUNTIF($B$6:B40,B40)&gt;1,"중복",""))</f>
        <v/>
      </c>
      <c r="H40" s="21">
        <f>IF(AND(A40="",B40="",C40="",D40=""),"",IF(AND(E40&lt;=3,F40&lt;=3,G40=""),1,0))</f>
        <v/>
      </c>
      <c r="I40" s="22">
        <f>IF(H40=0,IF(G40="중복","제외: 같은 이메일 중복 응답","제외: 3개 넘게 선택"),"")</f>
        <v/>
      </c>
      <c r="K40" s="21">
        <f>IF(작품목록!A38="","",작품목록!A38)</f>
        <v/>
      </c>
      <c r="L40" s="21">
        <f>IF(K40="","",작품목록!B38)</f>
        <v/>
      </c>
      <c r="M40" s="22">
        <f>IF(K40="","",작품목록!F38)</f>
        <v/>
      </c>
      <c r="N40" s="21">
        <f>IF(K40="","",IF(L40="상상","-",COUNTIFS($C$6:$C$1005,"*"&amp;K40&amp;"*",$H$6:$H$1005,1)+COUNTIFS($D$6:$D$1005,"*"&amp;K40&amp;"*",$H$6:$H$1005,1)))</f>
        <v/>
      </c>
      <c r="O40" s="15" t="n"/>
      <c r="P40" s="27">
        <f>IF(K40="","",IF(L40="상상",N(O40),N40))</f>
        <v/>
      </c>
    </row>
    <row r="41">
      <c r="A41" s="15" t="n"/>
      <c r="B41" s="15" t="n"/>
      <c r="C41" s="16" t="n"/>
      <c r="D41" s="16" t="n"/>
      <c r="E41" s="21">
        <f>IF(AND(A41="",B41="",C41="",D41=""),"",IF(TRIM(C41)="",0,LEN(C41)-LEN(SUBSTITUTE(C41,",",""))+1))</f>
        <v/>
      </c>
      <c r="F41" s="21">
        <f>IF(AND(A41="",B41="",C41="",D41=""),"",IF(TRIM(D41)="",0,LEN(D41)-LEN(SUBSTITUTE(D41,",",""))+1))</f>
        <v/>
      </c>
      <c r="G41" s="21">
        <f>IF(B41="","",IF(COUNTIF($B$6:B41,B41)&gt;1,"중복",""))</f>
        <v/>
      </c>
      <c r="H41" s="21">
        <f>IF(AND(A41="",B41="",C41="",D41=""),"",IF(AND(E41&lt;=3,F41&lt;=3,G41=""),1,0))</f>
        <v/>
      </c>
      <c r="I41" s="22">
        <f>IF(H41=0,IF(G41="중복","제외: 같은 이메일 중복 응답","제외: 3개 넘게 선택"),"")</f>
        <v/>
      </c>
      <c r="K41" s="21">
        <f>IF(작품목록!A39="","",작품목록!A39)</f>
        <v/>
      </c>
      <c r="L41" s="21">
        <f>IF(K41="","",작품목록!B39)</f>
        <v/>
      </c>
      <c r="M41" s="22">
        <f>IF(K41="","",작품목록!F39)</f>
        <v/>
      </c>
      <c r="N41" s="21">
        <f>IF(K41="","",IF(L41="상상","-",COUNTIFS($C$6:$C$1005,"*"&amp;K41&amp;"*",$H$6:$H$1005,1)+COUNTIFS($D$6:$D$1005,"*"&amp;K41&amp;"*",$H$6:$H$1005,1)))</f>
        <v/>
      </c>
      <c r="O41" s="15" t="n"/>
      <c r="P41" s="27">
        <f>IF(K41="","",IF(L41="상상",N(O41),N41))</f>
        <v/>
      </c>
    </row>
    <row r="42">
      <c r="A42" s="15" t="n"/>
      <c r="B42" s="15" t="n"/>
      <c r="C42" s="16" t="n"/>
      <c r="D42" s="16" t="n"/>
      <c r="E42" s="21">
        <f>IF(AND(A42="",B42="",C42="",D42=""),"",IF(TRIM(C42)="",0,LEN(C42)-LEN(SUBSTITUTE(C42,",",""))+1))</f>
        <v/>
      </c>
      <c r="F42" s="21">
        <f>IF(AND(A42="",B42="",C42="",D42=""),"",IF(TRIM(D42)="",0,LEN(D42)-LEN(SUBSTITUTE(D42,",",""))+1))</f>
        <v/>
      </c>
      <c r="G42" s="21">
        <f>IF(B42="","",IF(COUNTIF($B$6:B42,B42)&gt;1,"중복",""))</f>
        <v/>
      </c>
      <c r="H42" s="21">
        <f>IF(AND(A42="",B42="",C42="",D42=""),"",IF(AND(E42&lt;=3,F42&lt;=3,G42=""),1,0))</f>
        <v/>
      </c>
      <c r="I42" s="22">
        <f>IF(H42=0,IF(G42="중복","제외: 같은 이메일 중복 응답","제외: 3개 넘게 선택"),"")</f>
        <v/>
      </c>
      <c r="K42" s="21">
        <f>IF(작품목록!A40="","",작품목록!A40)</f>
        <v/>
      </c>
      <c r="L42" s="21">
        <f>IF(K42="","",작품목록!B40)</f>
        <v/>
      </c>
      <c r="M42" s="22">
        <f>IF(K42="","",작품목록!F40)</f>
        <v/>
      </c>
      <c r="N42" s="21">
        <f>IF(K42="","",IF(L42="상상","-",COUNTIFS($C$6:$C$1005,"*"&amp;K42&amp;"*",$H$6:$H$1005,1)+COUNTIFS($D$6:$D$1005,"*"&amp;K42&amp;"*",$H$6:$H$1005,1)))</f>
        <v/>
      </c>
      <c r="O42" s="15" t="n"/>
      <c r="P42" s="27">
        <f>IF(K42="","",IF(L42="상상",N(O42),N42))</f>
        <v/>
      </c>
    </row>
    <row r="43">
      <c r="A43" s="15" t="n"/>
      <c r="B43" s="15" t="n"/>
      <c r="C43" s="16" t="n"/>
      <c r="D43" s="16" t="n"/>
      <c r="E43" s="21">
        <f>IF(AND(A43="",B43="",C43="",D43=""),"",IF(TRIM(C43)="",0,LEN(C43)-LEN(SUBSTITUTE(C43,",",""))+1))</f>
        <v/>
      </c>
      <c r="F43" s="21">
        <f>IF(AND(A43="",B43="",C43="",D43=""),"",IF(TRIM(D43)="",0,LEN(D43)-LEN(SUBSTITUTE(D43,",",""))+1))</f>
        <v/>
      </c>
      <c r="G43" s="21">
        <f>IF(B43="","",IF(COUNTIF($B$6:B43,B43)&gt;1,"중복",""))</f>
        <v/>
      </c>
      <c r="H43" s="21">
        <f>IF(AND(A43="",B43="",C43="",D43=""),"",IF(AND(E43&lt;=3,F43&lt;=3,G43=""),1,0))</f>
        <v/>
      </c>
      <c r="I43" s="22">
        <f>IF(H43=0,IF(G43="중복","제외: 같은 이메일 중복 응답","제외: 3개 넘게 선택"),"")</f>
        <v/>
      </c>
      <c r="K43" s="21">
        <f>IF(작품목록!A41="","",작품목록!A41)</f>
        <v/>
      </c>
      <c r="L43" s="21">
        <f>IF(K43="","",작품목록!B41)</f>
        <v/>
      </c>
      <c r="M43" s="22">
        <f>IF(K43="","",작품목록!F41)</f>
        <v/>
      </c>
      <c r="N43" s="21">
        <f>IF(K43="","",IF(L43="상상","-",COUNTIFS($C$6:$C$1005,"*"&amp;K43&amp;"*",$H$6:$H$1005,1)+COUNTIFS($D$6:$D$1005,"*"&amp;K43&amp;"*",$H$6:$H$1005,1)))</f>
        <v/>
      </c>
      <c r="O43" s="15" t="n"/>
      <c r="P43" s="27">
        <f>IF(K43="","",IF(L43="상상",N(O43),N43))</f>
        <v/>
      </c>
    </row>
    <row r="44">
      <c r="A44" s="15" t="n"/>
      <c r="B44" s="15" t="n"/>
      <c r="C44" s="16" t="n"/>
      <c r="D44" s="16" t="n"/>
      <c r="E44" s="21">
        <f>IF(AND(A44="",B44="",C44="",D44=""),"",IF(TRIM(C44)="",0,LEN(C44)-LEN(SUBSTITUTE(C44,",",""))+1))</f>
        <v/>
      </c>
      <c r="F44" s="21">
        <f>IF(AND(A44="",B44="",C44="",D44=""),"",IF(TRIM(D44)="",0,LEN(D44)-LEN(SUBSTITUTE(D44,",",""))+1))</f>
        <v/>
      </c>
      <c r="G44" s="21">
        <f>IF(B44="","",IF(COUNTIF($B$6:B44,B44)&gt;1,"중복",""))</f>
        <v/>
      </c>
      <c r="H44" s="21">
        <f>IF(AND(A44="",B44="",C44="",D44=""),"",IF(AND(E44&lt;=3,F44&lt;=3,G44=""),1,0))</f>
        <v/>
      </c>
      <c r="I44" s="22">
        <f>IF(H44=0,IF(G44="중복","제외: 같은 이메일 중복 응답","제외: 3개 넘게 선택"),"")</f>
        <v/>
      </c>
      <c r="K44" s="21">
        <f>IF(작품목록!A42="","",작품목록!A42)</f>
        <v/>
      </c>
      <c r="L44" s="21">
        <f>IF(K44="","",작품목록!B42)</f>
        <v/>
      </c>
      <c r="M44" s="22">
        <f>IF(K44="","",작품목록!F42)</f>
        <v/>
      </c>
      <c r="N44" s="21">
        <f>IF(K44="","",IF(L44="상상","-",COUNTIFS($C$6:$C$1005,"*"&amp;K44&amp;"*",$H$6:$H$1005,1)+COUNTIFS($D$6:$D$1005,"*"&amp;K44&amp;"*",$H$6:$H$1005,1)))</f>
        <v/>
      </c>
      <c r="O44" s="15" t="n"/>
      <c r="P44" s="27">
        <f>IF(K44="","",IF(L44="상상",N(O44),N44))</f>
        <v/>
      </c>
    </row>
    <row r="45">
      <c r="A45" s="15" t="n"/>
      <c r="B45" s="15" t="n"/>
      <c r="C45" s="16" t="n"/>
      <c r="D45" s="16" t="n"/>
      <c r="E45" s="21">
        <f>IF(AND(A45="",B45="",C45="",D45=""),"",IF(TRIM(C45)="",0,LEN(C45)-LEN(SUBSTITUTE(C45,",",""))+1))</f>
        <v/>
      </c>
      <c r="F45" s="21">
        <f>IF(AND(A45="",B45="",C45="",D45=""),"",IF(TRIM(D45)="",0,LEN(D45)-LEN(SUBSTITUTE(D45,",",""))+1))</f>
        <v/>
      </c>
      <c r="G45" s="21">
        <f>IF(B45="","",IF(COUNTIF($B$6:B45,B45)&gt;1,"중복",""))</f>
        <v/>
      </c>
      <c r="H45" s="21">
        <f>IF(AND(A45="",B45="",C45="",D45=""),"",IF(AND(E45&lt;=3,F45&lt;=3,G45=""),1,0))</f>
        <v/>
      </c>
      <c r="I45" s="22">
        <f>IF(H45=0,IF(G45="중복","제외: 같은 이메일 중복 응답","제외: 3개 넘게 선택"),"")</f>
        <v/>
      </c>
      <c r="K45" s="21">
        <f>IF(작품목록!A43="","",작품목록!A43)</f>
        <v/>
      </c>
      <c r="L45" s="21">
        <f>IF(K45="","",작품목록!B43)</f>
        <v/>
      </c>
      <c r="M45" s="22">
        <f>IF(K45="","",작품목록!F43)</f>
        <v/>
      </c>
      <c r="N45" s="21">
        <f>IF(K45="","",IF(L45="상상","-",COUNTIFS($C$6:$C$1005,"*"&amp;K45&amp;"*",$H$6:$H$1005,1)+COUNTIFS($D$6:$D$1005,"*"&amp;K45&amp;"*",$H$6:$H$1005,1)))</f>
        <v/>
      </c>
      <c r="O45" s="15" t="n"/>
      <c r="P45" s="27">
        <f>IF(K45="","",IF(L45="상상",N(O45),N45))</f>
        <v/>
      </c>
    </row>
    <row r="46">
      <c r="A46" s="15" t="n"/>
      <c r="B46" s="15" t="n"/>
      <c r="C46" s="16" t="n"/>
      <c r="D46" s="16" t="n"/>
      <c r="E46" s="21">
        <f>IF(AND(A46="",B46="",C46="",D46=""),"",IF(TRIM(C46)="",0,LEN(C46)-LEN(SUBSTITUTE(C46,",",""))+1))</f>
        <v/>
      </c>
      <c r="F46" s="21">
        <f>IF(AND(A46="",B46="",C46="",D46=""),"",IF(TRIM(D46)="",0,LEN(D46)-LEN(SUBSTITUTE(D46,",",""))+1))</f>
        <v/>
      </c>
      <c r="G46" s="21">
        <f>IF(B46="","",IF(COUNTIF($B$6:B46,B46)&gt;1,"중복",""))</f>
        <v/>
      </c>
      <c r="H46" s="21">
        <f>IF(AND(A46="",B46="",C46="",D46=""),"",IF(AND(E46&lt;=3,F46&lt;=3,G46=""),1,0))</f>
        <v/>
      </c>
      <c r="I46" s="22">
        <f>IF(H46=0,IF(G46="중복","제외: 같은 이메일 중복 응답","제외: 3개 넘게 선택"),"")</f>
        <v/>
      </c>
      <c r="K46" s="21">
        <f>IF(작품목록!A44="","",작품목록!A44)</f>
        <v/>
      </c>
      <c r="L46" s="21">
        <f>IF(K46="","",작품목록!B44)</f>
        <v/>
      </c>
      <c r="M46" s="22">
        <f>IF(K46="","",작품목록!F44)</f>
        <v/>
      </c>
      <c r="N46" s="21">
        <f>IF(K46="","",IF(L46="상상","-",COUNTIFS($C$6:$C$1005,"*"&amp;K46&amp;"*",$H$6:$H$1005,1)+COUNTIFS($D$6:$D$1005,"*"&amp;K46&amp;"*",$H$6:$H$1005,1)))</f>
        <v/>
      </c>
      <c r="O46" s="15" t="n"/>
      <c r="P46" s="27">
        <f>IF(K46="","",IF(L46="상상",N(O46),N46))</f>
        <v/>
      </c>
    </row>
    <row r="47">
      <c r="A47" s="15" t="n"/>
      <c r="B47" s="15" t="n"/>
      <c r="C47" s="16" t="n"/>
      <c r="D47" s="16" t="n"/>
      <c r="E47" s="21">
        <f>IF(AND(A47="",B47="",C47="",D47=""),"",IF(TRIM(C47)="",0,LEN(C47)-LEN(SUBSTITUTE(C47,",",""))+1))</f>
        <v/>
      </c>
      <c r="F47" s="21">
        <f>IF(AND(A47="",B47="",C47="",D47=""),"",IF(TRIM(D47)="",0,LEN(D47)-LEN(SUBSTITUTE(D47,",",""))+1))</f>
        <v/>
      </c>
      <c r="G47" s="21">
        <f>IF(B47="","",IF(COUNTIF($B$6:B47,B47)&gt;1,"중복",""))</f>
        <v/>
      </c>
      <c r="H47" s="21">
        <f>IF(AND(A47="",B47="",C47="",D47=""),"",IF(AND(E47&lt;=3,F47&lt;=3,G47=""),1,0))</f>
        <v/>
      </c>
      <c r="I47" s="22">
        <f>IF(H47=0,IF(G47="중복","제외: 같은 이메일 중복 응답","제외: 3개 넘게 선택"),"")</f>
        <v/>
      </c>
      <c r="K47" s="21">
        <f>IF(작품목록!A45="","",작품목록!A45)</f>
        <v/>
      </c>
      <c r="L47" s="21">
        <f>IF(K47="","",작품목록!B45)</f>
        <v/>
      </c>
      <c r="M47" s="22">
        <f>IF(K47="","",작품목록!F45)</f>
        <v/>
      </c>
      <c r="N47" s="21">
        <f>IF(K47="","",IF(L47="상상","-",COUNTIFS($C$6:$C$1005,"*"&amp;K47&amp;"*",$H$6:$H$1005,1)+COUNTIFS($D$6:$D$1005,"*"&amp;K47&amp;"*",$H$6:$H$1005,1)))</f>
        <v/>
      </c>
      <c r="O47" s="15" t="n"/>
      <c r="P47" s="27">
        <f>IF(K47="","",IF(L47="상상",N(O47),N47))</f>
        <v/>
      </c>
    </row>
    <row r="48">
      <c r="A48" s="15" t="n"/>
      <c r="B48" s="15" t="n"/>
      <c r="C48" s="16" t="n"/>
      <c r="D48" s="16" t="n"/>
      <c r="E48" s="21">
        <f>IF(AND(A48="",B48="",C48="",D48=""),"",IF(TRIM(C48)="",0,LEN(C48)-LEN(SUBSTITUTE(C48,",",""))+1))</f>
        <v/>
      </c>
      <c r="F48" s="21">
        <f>IF(AND(A48="",B48="",C48="",D48=""),"",IF(TRIM(D48)="",0,LEN(D48)-LEN(SUBSTITUTE(D48,",",""))+1))</f>
        <v/>
      </c>
      <c r="G48" s="21">
        <f>IF(B48="","",IF(COUNTIF($B$6:B48,B48)&gt;1,"중복",""))</f>
        <v/>
      </c>
      <c r="H48" s="21">
        <f>IF(AND(A48="",B48="",C48="",D48=""),"",IF(AND(E48&lt;=3,F48&lt;=3,G48=""),1,0))</f>
        <v/>
      </c>
      <c r="I48" s="22">
        <f>IF(H48=0,IF(G48="중복","제외: 같은 이메일 중복 응답","제외: 3개 넘게 선택"),"")</f>
        <v/>
      </c>
      <c r="K48" s="21">
        <f>IF(작품목록!A46="","",작품목록!A46)</f>
        <v/>
      </c>
      <c r="L48" s="21">
        <f>IF(K48="","",작품목록!B46)</f>
        <v/>
      </c>
      <c r="M48" s="22">
        <f>IF(K48="","",작품목록!F46)</f>
        <v/>
      </c>
      <c r="N48" s="21">
        <f>IF(K48="","",IF(L48="상상","-",COUNTIFS($C$6:$C$1005,"*"&amp;K48&amp;"*",$H$6:$H$1005,1)+COUNTIFS($D$6:$D$1005,"*"&amp;K48&amp;"*",$H$6:$H$1005,1)))</f>
        <v/>
      </c>
      <c r="O48" s="15" t="n"/>
      <c r="P48" s="27">
        <f>IF(K48="","",IF(L48="상상",N(O48),N48))</f>
        <v/>
      </c>
    </row>
    <row r="49">
      <c r="A49" s="15" t="n"/>
      <c r="B49" s="15" t="n"/>
      <c r="C49" s="16" t="n"/>
      <c r="D49" s="16" t="n"/>
      <c r="E49" s="21">
        <f>IF(AND(A49="",B49="",C49="",D49=""),"",IF(TRIM(C49)="",0,LEN(C49)-LEN(SUBSTITUTE(C49,",",""))+1))</f>
        <v/>
      </c>
      <c r="F49" s="21">
        <f>IF(AND(A49="",B49="",C49="",D49=""),"",IF(TRIM(D49)="",0,LEN(D49)-LEN(SUBSTITUTE(D49,",",""))+1))</f>
        <v/>
      </c>
      <c r="G49" s="21">
        <f>IF(B49="","",IF(COUNTIF($B$6:B49,B49)&gt;1,"중복",""))</f>
        <v/>
      </c>
      <c r="H49" s="21">
        <f>IF(AND(A49="",B49="",C49="",D49=""),"",IF(AND(E49&lt;=3,F49&lt;=3,G49=""),1,0))</f>
        <v/>
      </c>
      <c r="I49" s="22">
        <f>IF(H49=0,IF(G49="중복","제외: 같은 이메일 중복 응답","제외: 3개 넘게 선택"),"")</f>
        <v/>
      </c>
      <c r="K49" s="21">
        <f>IF(작품목록!A47="","",작품목록!A47)</f>
        <v/>
      </c>
      <c r="L49" s="21">
        <f>IF(K49="","",작품목록!B47)</f>
        <v/>
      </c>
      <c r="M49" s="22">
        <f>IF(K49="","",작품목록!F47)</f>
        <v/>
      </c>
      <c r="N49" s="21">
        <f>IF(K49="","",IF(L49="상상","-",COUNTIFS($C$6:$C$1005,"*"&amp;K49&amp;"*",$H$6:$H$1005,1)+COUNTIFS($D$6:$D$1005,"*"&amp;K49&amp;"*",$H$6:$H$1005,1)))</f>
        <v/>
      </c>
      <c r="O49" s="15" t="n"/>
      <c r="P49" s="27">
        <f>IF(K49="","",IF(L49="상상",N(O49),N49))</f>
        <v/>
      </c>
    </row>
    <row r="50">
      <c r="A50" s="15" t="n"/>
      <c r="B50" s="15" t="n"/>
      <c r="C50" s="16" t="n"/>
      <c r="D50" s="16" t="n"/>
      <c r="E50" s="21">
        <f>IF(AND(A50="",B50="",C50="",D50=""),"",IF(TRIM(C50)="",0,LEN(C50)-LEN(SUBSTITUTE(C50,",",""))+1))</f>
        <v/>
      </c>
      <c r="F50" s="21">
        <f>IF(AND(A50="",B50="",C50="",D50=""),"",IF(TRIM(D50)="",0,LEN(D50)-LEN(SUBSTITUTE(D50,",",""))+1))</f>
        <v/>
      </c>
      <c r="G50" s="21">
        <f>IF(B50="","",IF(COUNTIF($B$6:B50,B50)&gt;1,"중복",""))</f>
        <v/>
      </c>
      <c r="H50" s="21">
        <f>IF(AND(A50="",B50="",C50="",D50=""),"",IF(AND(E50&lt;=3,F50&lt;=3,G50=""),1,0))</f>
        <v/>
      </c>
      <c r="I50" s="22">
        <f>IF(H50=0,IF(G50="중복","제외: 같은 이메일 중복 응답","제외: 3개 넘게 선택"),"")</f>
        <v/>
      </c>
      <c r="K50" s="21">
        <f>IF(작품목록!A48="","",작품목록!A48)</f>
        <v/>
      </c>
      <c r="L50" s="21">
        <f>IF(K50="","",작품목록!B48)</f>
        <v/>
      </c>
      <c r="M50" s="22">
        <f>IF(K50="","",작품목록!F48)</f>
        <v/>
      </c>
      <c r="N50" s="21">
        <f>IF(K50="","",IF(L50="상상","-",COUNTIFS($C$6:$C$1005,"*"&amp;K50&amp;"*",$H$6:$H$1005,1)+COUNTIFS($D$6:$D$1005,"*"&amp;K50&amp;"*",$H$6:$H$1005,1)))</f>
        <v/>
      </c>
      <c r="O50" s="15" t="n"/>
      <c r="P50" s="27">
        <f>IF(K50="","",IF(L50="상상",N(O50),N50))</f>
        <v/>
      </c>
    </row>
    <row r="51">
      <c r="A51" s="15" t="n"/>
      <c r="B51" s="15" t="n"/>
      <c r="C51" s="16" t="n"/>
      <c r="D51" s="16" t="n"/>
      <c r="E51" s="21">
        <f>IF(AND(A51="",B51="",C51="",D51=""),"",IF(TRIM(C51)="",0,LEN(C51)-LEN(SUBSTITUTE(C51,",",""))+1))</f>
        <v/>
      </c>
      <c r="F51" s="21">
        <f>IF(AND(A51="",B51="",C51="",D51=""),"",IF(TRIM(D51)="",0,LEN(D51)-LEN(SUBSTITUTE(D51,",",""))+1))</f>
        <v/>
      </c>
      <c r="G51" s="21">
        <f>IF(B51="","",IF(COUNTIF($B$6:B51,B51)&gt;1,"중복",""))</f>
        <v/>
      </c>
      <c r="H51" s="21">
        <f>IF(AND(A51="",B51="",C51="",D51=""),"",IF(AND(E51&lt;=3,F51&lt;=3,G51=""),1,0))</f>
        <v/>
      </c>
      <c r="I51" s="22">
        <f>IF(H51=0,IF(G51="중복","제외: 같은 이메일 중복 응답","제외: 3개 넘게 선택"),"")</f>
        <v/>
      </c>
      <c r="K51" s="21">
        <f>IF(작품목록!A49="","",작품목록!A49)</f>
        <v/>
      </c>
      <c r="L51" s="21">
        <f>IF(K51="","",작품목록!B49)</f>
        <v/>
      </c>
      <c r="M51" s="22">
        <f>IF(K51="","",작품목록!F49)</f>
        <v/>
      </c>
      <c r="N51" s="21">
        <f>IF(K51="","",IF(L51="상상","-",COUNTIFS($C$6:$C$1005,"*"&amp;K51&amp;"*",$H$6:$H$1005,1)+COUNTIFS($D$6:$D$1005,"*"&amp;K51&amp;"*",$H$6:$H$1005,1)))</f>
        <v/>
      </c>
      <c r="O51" s="15" t="n"/>
      <c r="P51" s="27">
        <f>IF(K51="","",IF(L51="상상",N(O51),N51))</f>
        <v/>
      </c>
    </row>
    <row r="52">
      <c r="A52" s="15" t="n"/>
      <c r="B52" s="15" t="n"/>
      <c r="C52" s="16" t="n"/>
      <c r="D52" s="16" t="n"/>
      <c r="E52" s="21">
        <f>IF(AND(A52="",B52="",C52="",D52=""),"",IF(TRIM(C52)="",0,LEN(C52)-LEN(SUBSTITUTE(C52,",",""))+1))</f>
        <v/>
      </c>
      <c r="F52" s="21">
        <f>IF(AND(A52="",B52="",C52="",D52=""),"",IF(TRIM(D52)="",0,LEN(D52)-LEN(SUBSTITUTE(D52,",",""))+1))</f>
        <v/>
      </c>
      <c r="G52" s="21">
        <f>IF(B52="","",IF(COUNTIF($B$6:B52,B52)&gt;1,"중복",""))</f>
        <v/>
      </c>
      <c r="H52" s="21">
        <f>IF(AND(A52="",B52="",C52="",D52=""),"",IF(AND(E52&lt;=3,F52&lt;=3,G52=""),1,0))</f>
        <v/>
      </c>
      <c r="I52" s="22">
        <f>IF(H52=0,IF(G52="중복","제외: 같은 이메일 중복 응답","제외: 3개 넘게 선택"),"")</f>
        <v/>
      </c>
      <c r="K52" s="21">
        <f>IF(작품목록!A50="","",작품목록!A50)</f>
        <v/>
      </c>
      <c r="L52" s="21">
        <f>IF(K52="","",작품목록!B50)</f>
        <v/>
      </c>
      <c r="M52" s="22">
        <f>IF(K52="","",작품목록!F50)</f>
        <v/>
      </c>
      <c r="N52" s="21">
        <f>IF(K52="","",IF(L52="상상","-",COUNTIFS($C$6:$C$1005,"*"&amp;K52&amp;"*",$H$6:$H$1005,1)+COUNTIFS($D$6:$D$1005,"*"&amp;K52&amp;"*",$H$6:$H$1005,1)))</f>
        <v/>
      </c>
      <c r="O52" s="15" t="n"/>
      <c r="P52" s="27">
        <f>IF(K52="","",IF(L52="상상",N(O52),N52))</f>
        <v/>
      </c>
    </row>
    <row r="53">
      <c r="A53" s="15" t="n"/>
      <c r="B53" s="15" t="n"/>
      <c r="C53" s="16" t="n"/>
      <c r="D53" s="16" t="n"/>
      <c r="E53" s="21">
        <f>IF(AND(A53="",B53="",C53="",D53=""),"",IF(TRIM(C53)="",0,LEN(C53)-LEN(SUBSTITUTE(C53,",",""))+1))</f>
        <v/>
      </c>
      <c r="F53" s="21">
        <f>IF(AND(A53="",B53="",C53="",D53=""),"",IF(TRIM(D53)="",0,LEN(D53)-LEN(SUBSTITUTE(D53,",",""))+1))</f>
        <v/>
      </c>
      <c r="G53" s="21">
        <f>IF(B53="","",IF(COUNTIF($B$6:B53,B53)&gt;1,"중복",""))</f>
        <v/>
      </c>
      <c r="H53" s="21">
        <f>IF(AND(A53="",B53="",C53="",D53=""),"",IF(AND(E53&lt;=3,F53&lt;=3,G53=""),1,0))</f>
        <v/>
      </c>
      <c r="I53" s="22">
        <f>IF(H53=0,IF(G53="중복","제외: 같은 이메일 중복 응답","제외: 3개 넘게 선택"),"")</f>
        <v/>
      </c>
      <c r="K53" s="21">
        <f>IF(작품목록!A51="","",작품목록!A51)</f>
        <v/>
      </c>
      <c r="L53" s="21">
        <f>IF(K53="","",작품목록!B51)</f>
        <v/>
      </c>
      <c r="M53" s="22">
        <f>IF(K53="","",작품목록!F51)</f>
        <v/>
      </c>
      <c r="N53" s="21">
        <f>IF(K53="","",IF(L53="상상","-",COUNTIFS($C$6:$C$1005,"*"&amp;K53&amp;"*",$H$6:$H$1005,1)+COUNTIFS($D$6:$D$1005,"*"&amp;K53&amp;"*",$H$6:$H$1005,1)))</f>
        <v/>
      </c>
      <c r="O53" s="15" t="n"/>
      <c r="P53" s="27">
        <f>IF(K53="","",IF(L53="상상",N(O53),N53))</f>
        <v/>
      </c>
    </row>
    <row r="54">
      <c r="A54" s="15" t="n"/>
      <c r="B54" s="15" t="n"/>
      <c r="C54" s="16" t="n"/>
      <c r="D54" s="16" t="n"/>
      <c r="E54" s="21">
        <f>IF(AND(A54="",B54="",C54="",D54=""),"",IF(TRIM(C54)="",0,LEN(C54)-LEN(SUBSTITUTE(C54,",",""))+1))</f>
        <v/>
      </c>
      <c r="F54" s="21">
        <f>IF(AND(A54="",B54="",C54="",D54=""),"",IF(TRIM(D54)="",0,LEN(D54)-LEN(SUBSTITUTE(D54,",",""))+1))</f>
        <v/>
      </c>
      <c r="G54" s="21">
        <f>IF(B54="","",IF(COUNTIF($B$6:B54,B54)&gt;1,"중복",""))</f>
        <v/>
      </c>
      <c r="H54" s="21">
        <f>IF(AND(A54="",B54="",C54="",D54=""),"",IF(AND(E54&lt;=3,F54&lt;=3,G54=""),1,0))</f>
        <v/>
      </c>
      <c r="I54" s="22">
        <f>IF(H54=0,IF(G54="중복","제외: 같은 이메일 중복 응답","제외: 3개 넘게 선택"),"")</f>
        <v/>
      </c>
      <c r="K54" s="21">
        <f>IF(작품목록!A52="","",작품목록!A52)</f>
        <v/>
      </c>
      <c r="L54" s="21">
        <f>IF(K54="","",작품목록!B52)</f>
        <v/>
      </c>
      <c r="M54" s="22">
        <f>IF(K54="","",작품목록!F52)</f>
        <v/>
      </c>
      <c r="N54" s="21">
        <f>IF(K54="","",IF(L54="상상","-",COUNTIFS($C$6:$C$1005,"*"&amp;K54&amp;"*",$H$6:$H$1005,1)+COUNTIFS($D$6:$D$1005,"*"&amp;K54&amp;"*",$H$6:$H$1005,1)))</f>
        <v/>
      </c>
      <c r="O54" s="15" t="n"/>
      <c r="P54" s="27">
        <f>IF(K54="","",IF(L54="상상",N(O54),N54))</f>
        <v/>
      </c>
    </row>
    <row r="55">
      <c r="A55" s="15" t="n"/>
      <c r="B55" s="15" t="n"/>
      <c r="C55" s="16" t="n"/>
      <c r="D55" s="16" t="n"/>
      <c r="E55" s="21">
        <f>IF(AND(A55="",B55="",C55="",D55=""),"",IF(TRIM(C55)="",0,LEN(C55)-LEN(SUBSTITUTE(C55,",",""))+1))</f>
        <v/>
      </c>
      <c r="F55" s="21">
        <f>IF(AND(A55="",B55="",C55="",D55=""),"",IF(TRIM(D55)="",0,LEN(D55)-LEN(SUBSTITUTE(D55,",",""))+1))</f>
        <v/>
      </c>
      <c r="G55" s="21">
        <f>IF(B55="","",IF(COUNTIF($B$6:B55,B55)&gt;1,"중복",""))</f>
        <v/>
      </c>
      <c r="H55" s="21">
        <f>IF(AND(A55="",B55="",C55="",D55=""),"",IF(AND(E55&lt;=3,F55&lt;=3,G55=""),1,0))</f>
        <v/>
      </c>
      <c r="I55" s="22">
        <f>IF(H55=0,IF(G55="중복","제외: 같은 이메일 중복 응답","제외: 3개 넘게 선택"),"")</f>
        <v/>
      </c>
      <c r="K55" s="21">
        <f>IF(작품목록!A53="","",작품목록!A53)</f>
        <v/>
      </c>
      <c r="L55" s="21">
        <f>IF(K55="","",작품목록!B53)</f>
        <v/>
      </c>
      <c r="M55" s="22">
        <f>IF(K55="","",작품목록!F53)</f>
        <v/>
      </c>
      <c r="N55" s="21">
        <f>IF(K55="","",IF(L55="상상","-",COUNTIFS($C$6:$C$1005,"*"&amp;K55&amp;"*",$H$6:$H$1005,1)+COUNTIFS($D$6:$D$1005,"*"&amp;K55&amp;"*",$H$6:$H$1005,1)))</f>
        <v/>
      </c>
      <c r="O55" s="15" t="n"/>
      <c r="P55" s="27">
        <f>IF(K55="","",IF(L55="상상",N(O55),N55))</f>
        <v/>
      </c>
    </row>
    <row r="56">
      <c r="A56" s="15" t="n"/>
      <c r="B56" s="15" t="n"/>
      <c r="C56" s="16" t="n"/>
      <c r="D56" s="16" t="n"/>
      <c r="E56" s="21">
        <f>IF(AND(A56="",B56="",C56="",D56=""),"",IF(TRIM(C56)="",0,LEN(C56)-LEN(SUBSTITUTE(C56,",",""))+1))</f>
        <v/>
      </c>
      <c r="F56" s="21">
        <f>IF(AND(A56="",B56="",C56="",D56=""),"",IF(TRIM(D56)="",0,LEN(D56)-LEN(SUBSTITUTE(D56,",",""))+1))</f>
        <v/>
      </c>
      <c r="G56" s="21">
        <f>IF(B56="","",IF(COUNTIF($B$6:B56,B56)&gt;1,"중복",""))</f>
        <v/>
      </c>
      <c r="H56" s="21">
        <f>IF(AND(A56="",B56="",C56="",D56=""),"",IF(AND(E56&lt;=3,F56&lt;=3,G56=""),1,0))</f>
        <v/>
      </c>
      <c r="I56" s="22">
        <f>IF(H56=0,IF(G56="중복","제외: 같은 이메일 중복 응답","제외: 3개 넘게 선택"),"")</f>
        <v/>
      </c>
      <c r="K56" s="21">
        <f>IF(작품목록!A54="","",작품목록!A54)</f>
        <v/>
      </c>
      <c r="L56" s="21">
        <f>IF(K56="","",작품목록!B54)</f>
        <v/>
      </c>
      <c r="M56" s="22">
        <f>IF(K56="","",작품목록!F54)</f>
        <v/>
      </c>
      <c r="N56" s="21">
        <f>IF(K56="","",IF(L56="상상","-",COUNTIFS($C$6:$C$1005,"*"&amp;K56&amp;"*",$H$6:$H$1005,1)+COUNTIFS($D$6:$D$1005,"*"&amp;K56&amp;"*",$H$6:$H$1005,1)))</f>
        <v/>
      </c>
      <c r="O56" s="15" t="n"/>
      <c r="P56" s="27">
        <f>IF(K56="","",IF(L56="상상",N(O56),N56))</f>
        <v/>
      </c>
    </row>
    <row r="57">
      <c r="A57" s="15" t="n"/>
      <c r="B57" s="15" t="n"/>
      <c r="C57" s="16" t="n"/>
      <c r="D57" s="16" t="n"/>
      <c r="E57" s="21">
        <f>IF(AND(A57="",B57="",C57="",D57=""),"",IF(TRIM(C57)="",0,LEN(C57)-LEN(SUBSTITUTE(C57,",",""))+1))</f>
        <v/>
      </c>
      <c r="F57" s="21">
        <f>IF(AND(A57="",B57="",C57="",D57=""),"",IF(TRIM(D57)="",0,LEN(D57)-LEN(SUBSTITUTE(D57,",",""))+1))</f>
        <v/>
      </c>
      <c r="G57" s="21">
        <f>IF(B57="","",IF(COUNTIF($B$6:B57,B57)&gt;1,"중복",""))</f>
        <v/>
      </c>
      <c r="H57" s="21">
        <f>IF(AND(A57="",B57="",C57="",D57=""),"",IF(AND(E57&lt;=3,F57&lt;=3,G57=""),1,0))</f>
        <v/>
      </c>
      <c r="I57" s="22">
        <f>IF(H57=0,IF(G57="중복","제외: 같은 이메일 중복 응답","제외: 3개 넘게 선택"),"")</f>
        <v/>
      </c>
      <c r="K57" s="21">
        <f>IF(작품목록!A55="","",작품목록!A55)</f>
        <v/>
      </c>
      <c r="L57" s="21">
        <f>IF(K57="","",작품목록!B55)</f>
        <v/>
      </c>
      <c r="M57" s="22">
        <f>IF(K57="","",작품목록!F55)</f>
        <v/>
      </c>
      <c r="N57" s="21">
        <f>IF(K57="","",IF(L57="상상","-",COUNTIFS($C$6:$C$1005,"*"&amp;K57&amp;"*",$H$6:$H$1005,1)+COUNTIFS($D$6:$D$1005,"*"&amp;K57&amp;"*",$H$6:$H$1005,1)))</f>
        <v/>
      </c>
      <c r="O57" s="15" t="n"/>
      <c r="P57" s="27">
        <f>IF(K57="","",IF(L57="상상",N(O57),N57))</f>
        <v/>
      </c>
    </row>
    <row r="58">
      <c r="A58" s="15" t="n"/>
      <c r="B58" s="15" t="n"/>
      <c r="C58" s="16" t="n"/>
      <c r="D58" s="16" t="n"/>
      <c r="E58" s="21">
        <f>IF(AND(A58="",B58="",C58="",D58=""),"",IF(TRIM(C58)="",0,LEN(C58)-LEN(SUBSTITUTE(C58,",",""))+1))</f>
        <v/>
      </c>
      <c r="F58" s="21">
        <f>IF(AND(A58="",B58="",C58="",D58=""),"",IF(TRIM(D58)="",0,LEN(D58)-LEN(SUBSTITUTE(D58,",",""))+1))</f>
        <v/>
      </c>
      <c r="G58" s="21">
        <f>IF(B58="","",IF(COUNTIF($B$6:B58,B58)&gt;1,"중복",""))</f>
        <v/>
      </c>
      <c r="H58" s="21">
        <f>IF(AND(A58="",B58="",C58="",D58=""),"",IF(AND(E58&lt;=3,F58&lt;=3,G58=""),1,0))</f>
        <v/>
      </c>
      <c r="I58" s="22">
        <f>IF(H58=0,IF(G58="중복","제외: 같은 이메일 중복 응답","제외: 3개 넘게 선택"),"")</f>
        <v/>
      </c>
      <c r="K58" s="21">
        <f>IF(작품목록!A56="","",작품목록!A56)</f>
        <v/>
      </c>
      <c r="L58" s="21">
        <f>IF(K58="","",작품목록!B56)</f>
        <v/>
      </c>
      <c r="M58" s="22">
        <f>IF(K58="","",작품목록!F56)</f>
        <v/>
      </c>
      <c r="N58" s="21">
        <f>IF(K58="","",IF(L58="상상","-",COUNTIFS($C$6:$C$1005,"*"&amp;K58&amp;"*",$H$6:$H$1005,1)+COUNTIFS($D$6:$D$1005,"*"&amp;K58&amp;"*",$H$6:$H$1005,1)))</f>
        <v/>
      </c>
      <c r="O58" s="15" t="n"/>
      <c r="P58" s="27">
        <f>IF(K58="","",IF(L58="상상",N(O58),N58))</f>
        <v/>
      </c>
    </row>
    <row r="59">
      <c r="A59" s="15" t="n"/>
      <c r="B59" s="15" t="n"/>
      <c r="C59" s="16" t="n"/>
      <c r="D59" s="16" t="n"/>
      <c r="E59" s="21">
        <f>IF(AND(A59="",B59="",C59="",D59=""),"",IF(TRIM(C59)="",0,LEN(C59)-LEN(SUBSTITUTE(C59,",",""))+1))</f>
        <v/>
      </c>
      <c r="F59" s="21">
        <f>IF(AND(A59="",B59="",C59="",D59=""),"",IF(TRIM(D59)="",0,LEN(D59)-LEN(SUBSTITUTE(D59,",",""))+1))</f>
        <v/>
      </c>
      <c r="G59" s="21">
        <f>IF(B59="","",IF(COUNTIF($B$6:B59,B59)&gt;1,"중복",""))</f>
        <v/>
      </c>
      <c r="H59" s="21">
        <f>IF(AND(A59="",B59="",C59="",D59=""),"",IF(AND(E59&lt;=3,F59&lt;=3,G59=""),1,0))</f>
        <v/>
      </c>
      <c r="I59" s="22">
        <f>IF(H59=0,IF(G59="중복","제외: 같은 이메일 중복 응답","제외: 3개 넘게 선택"),"")</f>
        <v/>
      </c>
      <c r="K59" s="21">
        <f>IF(작품목록!A57="","",작품목록!A57)</f>
        <v/>
      </c>
      <c r="L59" s="21">
        <f>IF(K59="","",작품목록!B57)</f>
        <v/>
      </c>
      <c r="M59" s="22">
        <f>IF(K59="","",작품목록!F57)</f>
        <v/>
      </c>
      <c r="N59" s="21">
        <f>IF(K59="","",IF(L59="상상","-",COUNTIFS($C$6:$C$1005,"*"&amp;K59&amp;"*",$H$6:$H$1005,1)+COUNTIFS($D$6:$D$1005,"*"&amp;K59&amp;"*",$H$6:$H$1005,1)))</f>
        <v/>
      </c>
      <c r="O59" s="15" t="n"/>
      <c r="P59" s="27">
        <f>IF(K59="","",IF(L59="상상",N(O59),N59))</f>
        <v/>
      </c>
    </row>
    <row r="60">
      <c r="A60" s="15" t="n"/>
      <c r="B60" s="15" t="n"/>
      <c r="C60" s="16" t="n"/>
      <c r="D60" s="16" t="n"/>
      <c r="E60" s="21">
        <f>IF(AND(A60="",B60="",C60="",D60=""),"",IF(TRIM(C60)="",0,LEN(C60)-LEN(SUBSTITUTE(C60,",",""))+1))</f>
        <v/>
      </c>
      <c r="F60" s="21">
        <f>IF(AND(A60="",B60="",C60="",D60=""),"",IF(TRIM(D60)="",0,LEN(D60)-LEN(SUBSTITUTE(D60,",",""))+1))</f>
        <v/>
      </c>
      <c r="G60" s="21">
        <f>IF(B60="","",IF(COUNTIF($B$6:B60,B60)&gt;1,"중복",""))</f>
        <v/>
      </c>
      <c r="H60" s="21">
        <f>IF(AND(A60="",B60="",C60="",D60=""),"",IF(AND(E60&lt;=3,F60&lt;=3,G60=""),1,0))</f>
        <v/>
      </c>
      <c r="I60" s="22">
        <f>IF(H60=0,IF(G60="중복","제외: 같은 이메일 중복 응답","제외: 3개 넘게 선택"),"")</f>
        <v/>
      </c>
      <c r="K60" s="21">
        <f>IF(작품목록!A58="","",작품목록!A58)</f>
        <v/>
      </c>
      <c r="L60" s="21">
        <f>IF(K60="","",작품목록!B58)</f>
        <v/>
      </c>
      <c r="M60" s="22">
        <f>IF(K60="","",작품목록!F58)</f>
        <v/>
      </c>
      <c r="N60" s="21">
        <f>IF(K60="","",IF(L60="상상","-",COUNTIFS($C$6:$C$1005,"*"&amp;K60&amp;"*",$H$6:$H$1005,1)+COUNTIFS($D$6:$D$1005,"*"&amp;K60&amp;"*",$H$6:$H$1005,1)))</f>
        <v/>
      </c>
      <c r="O60" s="15" t="n"/>
      <c r="P60" s="27">
        <f>IF(K60="","",IF(L60="상상",N(O60),N60))</f>
        <v/>
      </c>
    </row>
    <row r="61">
      <c r="A61" s="15" t="n"/>
      <c r="B61" s="15" t="n"/>
      <c r="C61" s="16" t="n"/>
      <c r="D61" s="16" t="n"/>
      <c r="E61" s="21">
        <f>IF(AND(A61="",B61="",C61="",D61=""),"",IF(TRIM(C61)="",0,LEN(C61)-LEN(SUBSTITUTE(C61,",",""))+1))</f>
        <v/>
      </c>
      <c r="F61" s="21">
        <f>IF(AND(A61="",B61="",C61="",D61=""),"",IF(TRIM(D61)="",0,LEN(D61)-LEN(SUBSTITUTE(D61,",",""))+1))</f>
        <v/>
      </c>
      <c r="G61" s="21">
        <f>IF(B61="","",IF(COUNTIF($B$6:B61,B61)&gt;1,"중복",""))</f>
        <v/>
      </c>
      <c r="H61" s="21">
        <f>IF(AND(A61="",B61="",C61="",D61=""),"",IF(AND(E61&lt;=3,F61&lt;=3,G61=""),1,0))</f>
        <v/>
      </c>
      <c r="I61" s="22">
        <f>IF(H61=0,IF(G61="중복","제외: 같은 이메일 중복 응답","제외: 3개 넘게 선택"),"")</f>
        <v/>
      </c>
      <c r="K61" s="21">
        <f>IF(작품목록!A59="","",작품목록!A59)</f>
        <v/>
      </c>
      <c r="L61" s="21">
        <f>IF(K61="","",작품목록!B59)</f>
        <v/>
      </c>
      <c r="M61" s="22">
        <f>IF(K61="","",작품목록!F59)</f>
        <v/>
      </c>
      <c r="N61" s="21">
        <f>IF(K61="","",IF(L61="상상","-",COUNTIFS($C$6:$C$1005,"*"&amp;K61&amp;"*",$H$6:$H$1005,1)+COUNTIFS($D$6:$D$1005,"*"&amp;K61&amp;"*",$H$6:$H$1005,1)))</f>
        <v/>
      </c>
      <c r="O61" s="15" t="n"/>
      <c r="P61" s="27">
        <f>IF(K61="","",IF(L61="상상",N(O61),N61))</f>
        <v/>
      </c>
    </row>
    <row r="62">
      <c r="A62" s="15" t="n"/>
      <c r="B62" s="15" t="n"/>
      <c r="C62" s="16" t="n"/>
      <c r="D62" s="16" t="n"/>
      <c r="E62" s="21">
        <f>IF(AND(A62="",B62="",C62="",D62=""),"",IF(TRIM(C62)="",0,LEN(C62)-LEN(SUBSTITUTE(C62,",",""))+1))</f>
        <v/>
      </c>
      <c r="F62" s="21">
        <f>IF(AND(A62="",B62="",C62="",D62=""),"",IF(TRIM(D62)="",0,LEN(D62)-LEN(SUBSTITUTE(D62,",",""))+1))</f>
        <v/>
      </c>
      <c r="G62" s="21">
        <f>IF(B62="","",IF(COUNTIF($B$6:B62,B62)&gt;1,"중복",""))</f>
        <v/>
      </c>
      <c r="H62" s="21">
        <f>IF(AND(A62="",B62="",C62="",D62=""),"",IF(AND(E62&lt;=3,F62&lt;=3,G62=""),1,0))</f>
        <v/>
      </c>
      <c r="I62" s="22">
        <f>IF(H62=0,IF(G62="중복","제외: 같은 이메일 중복 응답","제외: 3개 넘게 선택"),"")</f>
        <v/>
      </c>
      <c r="K62" s="21">
        <f>IF(작품목록!A60="","",작품목록!A60)</f>
        <v/>
      </c>
      <c r="L62" s="21">
        <f>IF(K62="","",작품목록!B60)</f>
        <v/>
      </c>
      <c r="M62" s="22">
        <f>IF(K62="","",작품목록!F60)</f>
        <v/>
      </c>
      <c r="N62" s="21">
        <f>IF(K62="","",IF(L62="상상","-",COUNTIFS($C$6:$C$1005,"*"&amp;K62&amp;"*",$H$6:$H$1005,1)+COUNTIFS($D$6:$D$1005,"*"&amp;K62&amp;"*",$H$6:$H$1005,1)))</f>
        <v/>
      </c>
      <c r="O62" s="15" t="n"/>
      <c r="P62" s="27">
        <f>IF(K62="","",IF(L62="상상",N(O62),N62))</f>
        <v/>
      </c>
    </row>
    <row r="63">
      <c r="A63" s="15" t="n"/>
      <c r="B63" s="15" t="n"/>
      <c r="C63" s="16" t="n"/>
      <c r="D63" s="16" t="n"/>
      <c r="E63" s="21">
        <f>IF(AND(A63="",B63="",C63="",D63=""),"",IF(TRIM(C63)="",0,LEN(C63)-LEN(SUBSTITUTE(C63,",",""))+1))</f>
        <v/>
      </c>
      <c r="F63" s="21">
        <f>IF(AND(A63="",B63="",C63="",D63=""),"",IF(TRIM(D63)="",0,LEN(D63)-LEN(SUBSTITUTE(D63,",",""))+1))</f>
        <v/>
      </c>
      <c r="G63" s="21">
        <f>IF(B63="","",IF(COUNTIF($B$6:B63,B63)&gt;1,"중복",""))</f>
        <v/>
      </c>
      <c r="H63" s="21">
        <f>IF(AND(A63="",B63="",C63="",D63=""),"",IF(AND(E63&lt;=3,F63&lt;=3,G63=""),1,0))</f>
        <v/>
      </c>
      <c r="I63" s="22">
        <f>IF(H63=0,IF(G63="중복","제외: 같은 이메일 중복 응답","제외: 3개 넘게 선택"),"")</f>
        <v/>
      </c>
      <c r="K63" s="21">
        <f>IF(작품목록!A61="","",작품목록!A61)</f>
        <v/>
      </c>
      <c r="L63" s="21">
        <f>IF(K63="","",작품목록!B61)</f>
        <v/>
      </c>
      <c r="M63" s="22">
        <f>IF(K63="","",작품목록!F61)</f>
        <v/>
      </c>
      <c r="N63" s="21">
        <f>IF(K63="","",IF(L63="상상","-",COUNTIFS($C$6:$C$1005,"*"&amp;K63&amp;"*",$H$6:$H$1005,1)+COUNTIFS($D$6:$D$1005,"*"&amp;K63&amp;"*",$H$6:$H$1005,1)))</f>
        <v/>
      </c>
      <c r="O63" s="15" t="n"/>
      <c r="P63" s="27">
        <f>IF(K63="","",IF(L63="상상",N(O63),N63))</f>
        <v/>
      </c>
    </row>
    <row r="64">
      <c r="A64" s="15" t="n"/>
      <c r="B64" s="15" t="n"/>
      <c r="C64" s="16" t="n"/>
      <c r="D64" s="16" t="n"/>
      <c r="E64" s="21">
        <f>IF(AND(A64="",B64="",C64="",D64=""),"",IF(TRIM(C64)="",0,LEN(C64)-LEN(SUBSTITUTE(C64,",",""))+1))</f>
        <v/>
      </c>
      <c r="F64" s="21">
        <f>IF(AND(A64="",B64="",C64="",D64=""),"",IF(TRIM(D64)="",0,LEN(D64)-LEN(SUBSTITUTE(D64,",",""))+1))</f>
        <v/>
      </c>
      <c r="G64" s="21">
        <f>IF(B64="","",IF(COUNTIF($B$6:B64,B64)&gt;1,"중복",""))</f>
        <v/>
      </c>
      <c r="H64" s="21">
        <f>IF(AND(A64="",B64="",C64="",D64=""),"",IF(AND(E64&lt;=3,F64&lt;=3,G64=""),1,0))</f>
        <v/>
      </c>
      <c r="I64" s="22">
        <f>IF(H64=0,IF(G64="중복","제외: 같은 이메일 중복 응답","제외: 3개 넘게 선택"),"")</f>
        <v/>
      </c>
      <c r="K64" s="21">
        <f>IF(작품목록!A62="","",작품목록!A62)</f>
        <v/>
      </c>
      <c r="L64" s="21">
        <f>IF(K64="","",작품목록!B62)</f>
        <v/>
      </c>
      <c r="M64" s="22">
        <f>IF(K64="","",작품목록!F62)</f>
        <v/>
      </c>
      <c r="N64" s="21">
        <f>IF(K64="","",IF(L64="상상","-",COUNTIFS($C$6:$C$1005,"*"&amp;K64&amp;"*",$H$6:$H$1005,1)+COUNTIFS($D$6:$D$1005,"*"&amp;K64&amp;"*",$H$6:$H$1005,1)))</f>
        <v/>
      </c>
      <c r="O64" s="15" t="n"/>
      <c r="P64" s="27">
        <f>IF(K64="","",IF(L64="상상",N(O64),N64))</f>
        <v/>
      </c>
    </row>
    <row r="65">
      <c r="A65" s="15" t="n"/>
      <c r="B65" s="15" t="n"/>
      <c r="C65" s="16" t="n"/>
      <c r="D65" s="16" t="n"/>
      <c r="E65" s="21">
        <f>IF(AND(A65="",B65="",C65="",D65=""),"",IF(TRIM(C65)="",0,LEN(C65)-LEN(SUBSTITUTE(C65,",",""))+1))</f>
        <v/>
      </c>
      <c r="F65" s="21">
        <f>IF(AND(A65="",B65="",C65="",D65=""),"",IF(TRIM(D65)="",0,LEN(D65)-LEN(SUBSTITUTE(D65,",",""))+1))</f>
        <v/>
      </c>
      <c r="G65" s="21">
        <f>IF(B65="","",IF(COUNTIF($B$6:B65,B65)&gt;1,"중복",""))</f>
        <v/>
      </c>
      <c r="H65" s="21">
        <f>IF(AND(A65="",B65="",C65="",D65=""),"",IF(AND(E65&lt;=3,F65&lt;=3,G65=""),1,0))</f>
        <v/>
      </c>
      <c r="I65" s="22">
        <f>IF(H65=0,IF(G65="중복","제외: 같은 이메일 중복 응답","제외: 3개 넘게 선택"),"")</f>
        <v/>
      </c>
      <c r="K65" s="21">
        <f>IF(작품목록!A63="","",작품목록!A63)</f>
        <v/>
      </c>
      <c r="L65" s="21">
        <f>IF(K65="","",작품목록!B63)</f>
        <v/>
      </c>
      <c r="M65" s="22">
        <f>IF(K65="","",작품목록!F63)</f>
        <v/>
      </c>
      <c r="N65" s="21">
        <f>IF(K65="","",IF(L65="상상","-",COUNTIFS($C$6:$C$1005,"*"&amp;K65&amp;"*",$H$6:$H$1005,1)+COUNTIFS($D$6:$D$1005,"*"&amp;K65&amp;"*",$H$6:$H$1005,1)))</f>
        <v/>
      </c>
      <c r="O65" s="15" t="n"/>
      <c r="P65" s="27">
        <f>IF(K65="","",IF(L65="상상",N(O65),N65))</f>
        <v/>
      </c>
    </row>
    <row r="66">
      <c r="A66" s="15" t="n"/>
      <c r="B66" s="15" t="n"/>
      <c r="C66" s="16" t="n"/>
      <c r="D66" s="16" t="n"/>
      <c r="E66" s="21">
        <f>IF(AND(A66="",B66="",C66="",D66=""),"",IF(TRIM(C66)="",0,LEN(C66)-LEN(SUBSTITUTE(C66,",",""))+1))</f>
        <v/>
      </c>
      <c r="F66" s="21">
        <f>IF(AND(A66="",B66="",C66="",D66=""),"",IF(TRIM(D66)="",0,LEN(D66)-LEN(SUBSTITUTE(D66,",",""))+1))</f>
        <v/>
      </c>
      <c r="G66" s="21">
        <f>IF(B66="","",IF(COUNTIF($B$6:B66,B66)&gt;1,"중복",""))</f>
        <v/>
      </c>
      <c r="H66" s="21">
        <f>IF(AND(A66="",B66="",C66="",D66=""),"",IF(AND(E66&lt;=3,F66&lt;=3,G66=""),1,0))</f>
        <v/>
      </c>
      <c r="I66" s="22">
        <f>IF(H66=0,IF(G66="중복","제외: 같은 이메일 중복 응답","제외: 3개 넘게 선택"),"")</f>
        <v/>
      </c>
      <c r="K66" s="21">
        <f>IF(작품목록!A64="","",작품목록!A64)</f>
        <v/>
      </c>
      <c r="L66" s="21">
        <f>IF(K66="","",작품목록!B64)</f>
        <v/>
      </c>
      <c r="M66" s="22">
        <f>IF(K66="","",작품목록!F64)</f>
        <v/>
      </c>
      <c r="N66" s="21">
        <f>IF(K66="","",IF(L66="상상","-",COUNTIFS($C$6:$C$1005,"*"&amp;K66&amp;"*",$H$6:$H$1005,1)+COUNTIFS($D$6:$D$1005,"*"&amp;K66&amp;"*",$H$6:$H$1005,1)))</f>
        <v/>
      </c>
      <c r="O66" s="15" t="n"/>
      <c r="P66" s="27">
        <f>IF(K66="","",IF(L66="상상",N(O66),N66))</f>
        <v/>
      </c>
    </row>
    <row r="67">
      <c r="A67" s="15" t="n"/>
      <c r="B67" s="15" t="n"/>
      <c r="C67" s="16" t="n"/>
      <c r="D67" s="16" t="n"/>
      <c r="E67" s="21">
        <f>IF(AND(A67="",B67="",C67="",D67=""),"",IF(TRIM(C67)="",0,LEN(C67)-LEN(SUBSTITUTE(C67,",",""))+1))</f>
        <v/>
      </c>
      <c r="F67" s="21">
        <f>IF(AND(A67="",B67="",C67="",D67=""),"",IF(TRIM(D67)="",0,LEN(D67)-LEN(SUBSTITUTE(D67,",",""))+1))</f>
        <v/>
      </c>
      <c r="G67" s="21">
        <f>IF(B67="","",IF(COUNTIF($B$6:B67,B67)&gt;1,"중복",""))</f>
        <v/>
      </c>
      <c r="H67" s="21">
        <f>IF(AND(A67="",B67="",C67="",D67=""),"",IF(AND(E67&lt;=3,F67&lt;=3,G67=""),1,0))</f>
        <v/>
      </c>
      <c r="I67" s="22">
        <f>IF(H67=0,IF(G67="중복","제외: 같은 이메일 중복 응답","제외: 3개 넘게 선택"),"")</f>
        <v/>
      </c>
      <c r="K67" s="21">
        <f>IF(작품목록!A65="","",작품목록!A65)</f>
        <v/>
      </c>
      <c r="L67" s="21">
        <f>IF(K67="","",작품목록!B65)</f>
        <v/>
      </c>
      <c r="M67" s="22">
        <f>IF(K67="","",작품목록!F65)</f>
        <v/>
      </c>
      <c r="N67" s="21">
        <f>IF(K67="","",IF(L67="상상","-",COUNTIFS($C$6:$C$1005,"*"&amp;K67&amp;"*",$H$6:$H$1005,1)+COUNTIFS($D$6:$D$1005,"*"&amp;K67&amp;"*",$H$6:$H$1005,1)))</f>
        <v/>
      </c>
      <c r="O67" s="15" t="n"/>
      <c r="P67" s="27">
        <f>IF(K67="","",IF(L67="상상",N(O67),N67))</f>
        <v/>
      </c>
    </row>
    <row r="68">
      <c r="A68" s="15" t="n"/>
      <c r="B68" s="15" t="n"/>
      <c r="C68" s="16" t="n"/>
      <c r="D68" s="16" t="n"/>
      <c r="E68" s="21">
        <f>IF(AND(A68="",B68="",C68="",D68=""),"",IF(TRIM(C68)="",0,LEN(C68)-LEN(SUBSTITUTE(C68,",",""))+1))</f>
        <v/>
      </c>
      <c r="F68" s="21">
        <f>IF(AND(A68="",B68="",C68="",D68=""),"",IF(TRIM(D68)="",0,LEN(D68)-LEN(SUBSTITUTE(D68,",",""))+1))</f>
        <v/>
      </c>
      <c r="G68" s="21">
        <f>IF(B68="","",IF(COUNTIF($B$6:B68,B68)&gt;1,"중복",""))</f>
        <v/>
      </c>
      <c r="H68" s="21">
        <f>IF(AND(A68="",B68="",C68="",D68=""),"",IF(AND(E68&lt;=3,F68&lt;=3,G68=""),1,0))</f>
        <v/>
      </c>
      <c r="I68" s="22">
        <f>IF(H68=0,IF(G68="중복","제외: 같은 이메일 중복 응답","제외: 3개 넘게 선택"),"")</f>
        <v/>
      </c>
      <c r="K68" s="21">
        <f>IF(작품목록!A66="","",작품목록!A66)</f>
        <v/>
      </c>
      <c r="L68" s="21">
        <f>IF(K68="","",작품목록!B66)</f>
        <v/>
      </c>
      <c r="M68" s="22">
        <f>IF(K68="","",작품목록!F66)</f>
        <v/>
      </c>
      <c r="N68" s="21">
        <f>IF(K68="","",IF(L68="상상","-",COUNTIFS($C$6:$C$1005,"*"&amp;K68&amp;"*",$H$6:$H$1005,1)+COUNTIFS($D$6:$D$1005,"*"&amp;K68&amp;"*",$H$6:$H$1005,1)))</f>
        <v/>
      </c>
      <c r="O68" s="15" t="n"/>
      <c r="P68" s="27">
        <f>IF(K68="","",IF(L68="상상",N(O68),N68))</f>
        <v/>
      </c>
    </row>
    <row r="69">
      <c r="A69" s="15" t="n"/>
      <c r="B69" s="15" t="n"/>
      <c r="C69" s="16" t="n"/>
      <c r="D69" s="16" t="n"/>
      <c r="E69" s="21">
        <f>IF(AND(A69="",B69="",C69="",D69=""),"",IF(TRIM(C69)="",0,LEN(C69)-LEN(SUBSTITUTE(C69,",",""))+1))</f>
        <v/>
      </c>
      <c r="F69" s="21">
        <f>IF(AND(A69="",B69="",C69="",D69=""),"",IF(TRIM(D69)="",0,LEN(D69)-LEN(SUBSTITUTE(D69,",",""))+1))</f>
        <v/>
      </c>
      <c r="G69" s="21">
        <f>IF(B69="","",IF(COUNTIF($B$6:B69,B69)&gt;1,"중복",""))</f>
        <v/>
      </c>
      <c r="H69" s="21">
        <f>IF(AND(A69="",B69="",C69="",D69=""),"",IF(AND(E69&lt;=3,F69&lt;=3,G69=""),1,0))</f>
        <v/>
      </c>
      <c r="I69" s="22">
        <f>IF(H69=0,IF(G69="중복","제외: 같은 이메일 중복 응답","제외: 3개 넘게 선택"),"")</f>
        <v/>
      </c>
      <c r="K69" s="21">
        <f>IF(작품목록!A67="","",작품목록!A67)</f>
        <v/>
      </c>
      <c r="L69" s="21">
        <f>IF(K69="","",작품목록!B67)</f>
        <v/>
      </c>
      <c r="M69" s="22">
        <f>IF(K69="","",작품목록!F67)</f>
        <v/>
      </c>
      <c r="N69" s="21">
        <f>IF(K69="","",IF(L69="상상","-",COUNTIFS($C$6:$C$1005,"*"&amp;K69&amp;"*",$H$6:$H$1005,1)+COUNTIFS($D$6:$D$1005,"*"&amp;K69&amp;"*",$H$6:$H$1005,1)))</f>
        <v/>
      </c>
      <c r="O69" s="15" t="n"/>
      <c r="P69" s="27">
        <f>IF(K69="","",IF(L69="상상",N(O69),N69))</f>
        <v/>
      </c>
    </row>
    <row r="70">
      <c r="A70" s="15" t="n"/>
      <c r="B70" s="15" t="n"/>
      <c r="C70" s="16" t="n"/>
      <c r="D70" s="16" t="n"/>
      <c r="E70" s="21">
        <f>IF(AND(A70="",B70="",C70="",D70=""),"",IF(TRIM(C70)="",0,LEN(C70)-LEN(SUBSTITUTE(C70,",",""))+1))</f>
        <v/>
      </c>
      <c r="F70" s="21">
        <f>IF(AND(A70="",B70="",C70="",D70=""),"",IF(TRIM(D70)="",0,LEN(D70)-LEN(SUBSTITUTE(D70,",",""))+1))</f>
        <v/>
      </c>
      <c r="G70" s="21">
        <f>IF(B70="","",IF(COUNTIF($B$6:B70,B70)&gt;1,"중복",""))</f>
        <v/>
      </c>
      <c r="H70" s="21">
        <f>IF(AND(A70="",B70="",C70="",D70=""),"",IF(AND(E70&lt;=3,F70&lt;=3,G70=""),1,0))</f>
        <v/>
      </c>
      <c r="I70" s="22">
        <f>IF(H70=0,IF(G70="중복","제외: 같은 이메일 중복 응답","제외: 3개 넘게 선택"),"")</f>
        <v/>
      </c>
      <c r="K70" s="21">
        <f>IF(작품목록!A68="","",작품목록!A68)</f>
        <v/>
      </c>
      <c r="L70" s="21">
        <f>IF(K70="","",작품목록!B68)</f>
        <v/>
      </c>
      <c r="M70" s="22">
        <f>IF(K70="","",작품목록!F68)</f>
        <v/>
      </c>
      <c r="N70" s="21">
        <f>IF(K70="","",IF(L70="상상","-",COUNTIFS($C$6:$C$1005,"*"&amp;K70&amp;"*",$H$6:$H$1005,1)+COUNTIFS($D$6:$D$1005,"*"&amp;K70&amp;"*",$H$6:$H$1005,1)))</f>
        <v/>
      </c>
      <c r="O70" s="15" t="n"/>
      <c r="P70" s="27">
        <f>IF(K70="","",IF(L70="상상",N(O70),N70))</f>
        <v/>
      </c>
    </row>
    <row r="71">
      <c r="A71" s="15" t="n"/>
      <c r="B71" s="15" t="n"/>
      <c r="C71" s="16" t="n"/>
      <c r="D71" s="16" t="n"/>
      <c r="E71" s="21">
        <f>IF(AND(A71="",B71="",C71="",D71=""),"",IF(TRIM(C71)="",0,LEN(C71)-LEN(SUBSTITUTE(C71,",",""))+1))</f>
        <v/>
      </c>
      <c r="F71" s="21">
        <f>IF(AND(A71="",B71="",C71="",D71=""),"",IF(TRIM(D71)="",0,LEN(D71)-LEN(SUBSTITUTE(D71,",",""))+1))</f>
        <v/>
      </c>
      <c r="G71" s="21">
        <f>IF(B71="","",IF(COUNTIF($B$6:B71,B71)&gt;1,"중복",""))</f>
        <v/>
      </c>
      <c r="H71" s="21">
        <f>IF(AND(A71="",B71="",C71="",D71=""),"",IF(AND(E71&lt;=3,F71&lt;=3,G71=""),1,0))</f>
        <v/>
      </c>
      <c r="I71" s="22">
        <f>IF(H71=0,IF(G71="중복","제외: 같은 이메일 중복 응답","제외: 3개 넘게 선택"),"")</f>
        <v/>
      </c>
      <c r="K71" s="21">
        <f>IF(작품목록!A69="","",작품목록!A69)</f>
        <v/>
      </c>
      <c r="L71" s="21">
        <f>IF(K71="","",작품목록!B69)</f>
        <v/>
      </c>
      <c r="M71" s="22">
        <f>IF(K71="","",작품목록!F69)</f>
        <v/>
      </c>
      <c r="N71" s="21">
        <f>IF(K71="","",IF(L71="상상","-",COUNTIFS($C$6:$C$1005,"*"&amp;K71&amp;"*",$H$6:$H$1005,1)+COUNTIFS($D$6:$D$1005,"*"&amp;K71&amp;"*",$H$6:$H$1005,1)))</f>
        <v/>
      </c>
      <c r="O71" s="15" t="n"/>
      <c r="P71" s="27">
        <f>IF(K71="","",IF(L71="상상",N(O71),N71))</f>
        <v/>
      </c>
    </row>
    <row r="72">
      <c r="A72" s="15" t="n"/>
      <c r="B72" s="15" t="n"/>
      <c r="C72" s="16" t="n"/>
      <c r="D72" s="16" t="n"/>
      <c r="E72" s="21">
        <f>IF(AND(A72="",B72="",C72="",D72=""),"",IF(TRIM(C72)="",0,LEN(C72)-LEN(SUBSTITUTE(C72,",",""))+1))</f>
        <v/>
      </c>
      <c r="F72" s="21">
        <f>IF(AND(A72="",B72="",C72="",D72=""),"",IF(TRIM(D72)="",0,LEN(D72)-LEN(SUBSTITUTE(D72,",",""))+1))</f>
        <v/>
      </c>
      <c r="G72" s="21">
        <f>IF(B72="","",IF(COUNTIF($B$6:B72,B72)&gt;1,"중복",""))</f>
        <v/>
      </c>
      <c r="H72" s="21">
        <f>IF(AND(A72="",B72="",C72="",D72=""),"",IF(AND(E72&lt;=3,F72&lt;=3,G72=""),1,0))</f>
        <v/>
      </c>
      <c r="I72" s="22">
        <f>IF(H72=0,IF(G72="중복","제외: 같은 이메일 중복 응답","제외: 3개 넘게 선택"),"")</f>
        <v/>
      </c>
      <c r="K72" s="21">
        <f>IF(작품목록!A70="","",작품목록!A70)</f>
        <v/>
      </c>
      <c r="L72" s="21">
        <f>IF(K72="","",작품목록!B70)</f>
        <v/>
      </c>
      <c r="M72" s="22">
        <f>IF(K72="","",작품목록!F70)</f>
        <v/>
      </c>
      <c r="N72" s="21">
        <f>IF(K72="","",IF(L72="상상","-",COUNTIFS($C$6:$C$1005,"*"&amp;K72&amp;"*",$H$6:$H$1005,1)+COUNTIFS($D$6:$D$1005,"*"&amp;K72&amp;"*",$H$6:$H$1005,1)))</f>
        <v/>
      </c>
      <c r="O72" s="15" t="n"/>
      <c r="P72" s="27">
        <f>IF(K72="","",IF(L72="상상",N(O72),N72))</f>
        <v/>
      </c>
    </row>
    <row r="73">
      <c r="A73" s="15" t="n"/>
      <c r="B73" s="15" t="n"/>
      <c r="C73" s="16" t="n"/>
      <c r="D73" s="16" t="n"/>
      <c r="E73" s="21">
        <f>IF(AND(A73="",B73="",C73="",D73=""),"",IF(TRIM(C73)="",0,LEN(C73)-LEN(SUBSTITUTE(C73,",",""))+1))</f>
        <v/>
      </c>
      <c r="F73" s="21">
        <f>IF(AND(A73="",B73="",C73="",D73=""),"",IF(TRIM(D73)="",0,LEN(D73)-LEN(SUBSTITUTE(D73,",",""))+1))</f>
        <v/>
      </c>
      <c r="G73" s="21">
        <f>IF(B73="","",IF(COUNTIF($B$6:B73,B73)&gt;1,"중복",""))</f>
        <v/>
      </c>
      <c r="H73" s="21">
        <f>IF(AND(A73="",B73="",C73="",D73=""),"",IF(AND(E73&lt;=3,F73&lt;=3,G73=""),1,0))</f>
        <v/>
      </c>
      <c r="I73" s="22">
        <f>IF(H73=0,IF(G73="중복","제외: 같은 이메일 중복 응답","제외: 3개 넘게 선택"),"")</f>
        <v/>
      </c>
      <c r="K73" s="21">
        <f>IF(작품목록!A71="","",작품목록!A71)</f>
        <v/>
      </c>
      <c r="L73" s="21">
        <f>IF(K73="","",작품목록!B71)</f>
        <v/>
      </c>
      <c r="M73" s="22">
        <f>IF(K73="","",작품목록!F71)</f>
        <v/>
      </c>
      <c r="N73" s="21">
        <f>IF(K73="","",IF(L73="상상","-",COUNTIFS($C$6:$C$1005,"*"&amp;K73&amp;"*",$H$6:$H$1005,1)+COUNTIFS($D$6:$D$1005,"*"&amp;K73&amp;"*",$H$6:$H$1005,1)))</f>
        <v/>
      </c>
      <c r="O73" s="15" t="n"/>
      <c r="P73" s="27">
        <f>IF(K73="","",IF(L73="상상",N(O73),N73))</f>
        <v/>
      </c>
    </row>
    <row r="74">
      <c r="A74" s="15" t="n"/>
      <c r="B74" s="15" t="n"/>
      <c r="C74" s="16" t="n"/>
      <c r="D74" s="16" t="n"/>
      <c r="E74" s="21">
        <f>IF(AND(A74="",B74="",C74="",D74=""),"",IF(TRIM(C74)="",0,LEN(C74)-LEN(SUBSTITUTE(C74,",",""))+1))</f>
        <v/>
      </c>
      <c r="F74" s="21">
        <f>IF(AND(A74="",B74="",C74="",D74=""),"",IF(TRIM(D74)="",0,LEN(D74)-LEN(SUBSTITUTE(D74,",",""))+1))</f>
        <v/>
      </c>
      <c r="G74" s="21">
        <f>IF(B74="","",IF(COUNTIF($B$6:B74,B74)&gt;1,"중복",""))</f>
        <v/>
      </c>
      <c r="H74" s="21">
        <f>IF(AND(A74="",B74="",C74="",D74=""),"",IF(AND(E74&lt;=3,F74&lt;=3,G74=""),1,0))</f>
        <v/>
      </c>
      <c r="I74" s="22">
        <f>IF(H74=0,IF(G74="중복","제외: 같은 이메일 중복 응답","제외: 3개 넘게 선택"),"")</f>
        <v/>
      </c>
      <c r="K74" s="21">
        <f>IF(작품목록!A72="","",작품목록!A72)</f>
        <v/>
      </c>
      <c r="L74" s="21">
        <f>IF(K74="","",작품목록!B72)</f>
        <v/>
      </c>
      <c r="M74" s="22">
        <f>IF(K74="","",작품목록!F72)</f>
        <v/>
      </c>
      <c r="N74" s="21">
        <f>IF(K74="","",IF(L74="상상","-",COUNTIFS($C$6:$C$1005,"*"&amp;K74&amp;"*",$H$6:$H$1005,1)+COUNTIFS($D$6:$D$1005,"*"&amp;K74&amp;"*",$H$6:$H$1005,1)))</f>
        <v/>
      </c>
      <c r="O74" s="15" t="n"/>
      <c r="P74" s="27">
        <f>IF(K74="","",IF(L74="상상",N(O74),N74))</f>
        <v/>
      </c>
    </row>
    <row r="75">
      <c r="A75" s="15" t="n"/>
      <c r="B75" s="15" t="n"/>
      <c r="C75" s="16" t="n"/>
      <c r="D75" s="16" t="n"/>
      <c r="E75" s="21">
        <f>IF(AND(A75="",B75="",C75="",D75=""),"",IF(TRIM(C75)="",0,LEN(C75)-LEN(SUBSTITUTE(C75,",",""))+1))</f>
        <v/>
      </c>
      <c r="F75" s="21">
        <f>IF(AND(A75="",B75="",C75="",D75=""),"",IF(TRIM(D75)="",0,LEN(D75)-LEN(SUBSTITUTE(D75,",",""))+1))</f>
        <v/>
      </c>
      <c r="G75" s="21">
        <f>IF(B75="","",IF(COUNTIF($B$6:B75,B75)&gt;1,"중복",""))</f>
        <v/>
      </c>
      <c r="H75" s="21">
        <f>IF(AND(A75="",B75="",C75="",D75=""),"",IF(AND(E75&lt;=3,F75&lt;=3,G75=""),1,0))</f>
        <v/>
      </c>
      <c r="I75" s="22">
        <f>IF(H75=0,IF(G75="중복","제외: 같은 이메일 중복 응답","제외: 3개 넘게 선택"),"")</f>
        <v/>
      </c>
      <c r="K75" s="21">
        <f>IF(작품목록!A73="","",작품목록!A73)</f>
        <v/>
      </c>
      <c r="L75" s="21">
        <f>IF(K75="","",작품목록!B73)</f>
        <v/>
      </c>
      <c r="M75" s="22">
        <f>IF(K75="","",작품목록!F73)</f>
        <v/>
      </c>
      <c r="N75" s="21">
        <f>IF(K75="","",IF(L75="상상","-",COUNTIFS($C$6:$C$1005,"*"&amp;K75&amp;"*",$H$6:$H$1005,1)+COUNTIFS($D$6:$D$1005,"*"&amp;K75&amp;"*",$H$6:$H$1005,1)))</f>
        <v/>
      </c>
      <c r="O75" s="15" t="n"/>
      <c r="P75" s="27">
        <f>IF(K75="","",IF(L75="상상",N(O75),N75))</f>
        <v/>
      </c>
    </row>
    <row r="76">
      <c r="A76" s="15" t="n"/>
      <c r="B76" s="15" t="n"/>
      <c r="C76" s="16" t="n"/>
      <c r="D76" s="16" t="n"/>
      <c r="E76" s="21">
        <f>IF(AND(A76="",B76="",C76="",D76=""),"",IF(TRIM(C76)="",0,LEN(C76)-LEN(SUBSTITUTE(C76,",",""))+1))</f>
        <v/>
      </c>
      <c r="F76" s="21">
        <f>IF(AND(A76="",B76="",C76="",D76=""),"",IF(TRIM(D76)="",0,LEN(D76)-LEN(SUBSTITUTE(D76,",",""))+1))</f>
        <v/>
      </c>
      <c r="G76" s="21">
        <f>IF(B76="","",IF(COUNTIF($B$6:B76,B76)&gt;1,"중복",""))</f>
        <v/>
      </c>
      <c r="H76" s="21">
        <f>IF(AND(A76="",B76="",C76="",D76=""),"",IF(AND(E76&lt;=3,F76&lt;=3,G76=""),1,0))</f>
        <v/>
      </c>
      <c r="I76" s="22">
        <f>IF(H76=0,IF(G76="중복","제외: 같은 이메일 중복 응답","제외: 3개 넘게 선택"),"")</f>
        <v/>
      </c>
      <c r="K76" s="21">
        <f>IF(작품목록!A74="","",작품목록!A74)</f>
        <v/>
      </c>
      <c r="L76" s="21">
        <f>IF(K76="","",작품목록!B74)</f>
        <v/>
      </c>
      <c r="M76" s="22">
        <f>IF(K76="","",작품목록!F74)</f>
        <v/>
      </c>
      <c r="N76" s="21">
        <f>IF(K76="","",IF(L76="상상","-",COUNTIFS($C$6:$C$1005,"*"&amp;K76&amp;"*",$H$6:$H$1005,1)+COUNTIFS($D$6:$D$1005,"*"&amp;K76&amp;"*",$H$6:$H$1005,1)))</f>
        <v/>
      </c>
      <c r="O76" s="15" t="n"/>
      <c r="P76" s="27">
        <f>IF(K76="","",IF(L76="상상",N(O76),N76))</f>
        <v/>
      </c>
    </row>
    <row r="77">
      <c r="A77" s="15" t="n"/>
      <c r="B77" s="15" t="n"/>
      <c r="C77" s="16" t="n"/>
      <c r="D77" s="16" t="n"/>
      <c r="E77" s="21">
        <f>IF(AND(A77="",B77="",C77="",D77=""),"",IF(TRIM(C77)="",0,LEN(C77)-LEN(SUBSTITUTE(C77,",",""))+1))</f>
        <v/>
      </c>
      <c r="F77" s="21">
        <f>IF(AND(A77="",B77="",C77="",D77=""),"",IF(TRIM(D77)="",0,LEN(D77)-LEN(SUBSTITUTE(D77,",",""))+1))</f>
        <v/>
      </c>
      <c r="G77" s="21">
        <f>IF(B77="","",IF(COUNTIF($B$6:B77,B77)&gt;1,"중복",""))</f>
        <v/>
      </c>
      <c r="H77" s="21">
        <f>IF(AND(A77="",B77="",C77="",D77=""),"",IF(AND(E77&lt;=3,F77&lt;=3,G77=""),1,0))</f>
        <v/>
      </c>
      <c r="I77" s="22">
        <f>IF(H77=0,IF(G77="중복","제외: 같은 이메일 중복 응답","제외: 3개 넘게 선택"),"")</f>
        <v/>
      </c>
      <c r="K77" s="21">
        <f>IF(작품목록!A75="","",작품목록!A75)</f>
        <v/>
      </c>
      <c r="L77" s="21">
        <f>IF(K77="","",작품목록!B75)</f>
        <v/>
      </c>
      <c r="M77" s="22">
        <f>IF(K77="","",작품목록!F75)</f>
        <v/>
      </c>
      <c r="N77" s="21">
        <f>IF(K77="","",IF(L77="상상","-",COUNTIFS($C$6:$C$1005,"*"&amp;K77&amp;"*",$H$6:$H$1005,1)+COUNTIFS($D$6:$D$1005,"*"&amp;K77&amp;"*",$H$6:$H$1005,1)))</f>
        <v/>
      </c>
      <c r="O77" s="15" t="n"/>
      <c r="P77" s="27">
        <f>IF(K77="","",IF(L77="상상",N(O77),N77))</f>
        <v/>
      </c>
    </row>
    <row r="78">
      <c r="A78" s="15" t="n"/>
      <c r="B78" s="15" t="n"/>
      <c r="C78" s="16" t="n"/>
      <c r="D78" s="16" t="n"/>
      <c r="E78" s="21">
        <f>IF(AND(A78="",B78="",C78="",D78=""),"",IF(TRIM(C78)="",0,LEN(C78)-LEN(SUBSTITUTE(C78,",",""))+1))</f>
        <v/>
      </c>
      <c r="F78" s="21">
        <f>IF(AND(A78="",B78="",C78="",D78=""),"",IF(TRIM(D78)="",0,LEN(D78)-LEN(SUBSTITUTE(D78,",",""))+1))</f>
        <v/>
      </c>
      <c r="G78" s="21">
        <f>IF(B78="","",IF(COUNTIF($B$6:B78,B78)&gt;1,"중복",""))</f>
        <v/>
      </c>
      <c r="H78" s="21">
        <f>IF(AND(A78="",B78="",C78="",D78=""),"",IF(AND(E78&lt;=3,F78&lt;=3,G78=""),1,0))</f>
        <v/>
      </c>
      <c r="I78" s="22">
        <f>IF(H78=0,IF(G78="중복","제외: 같은 이메일 중복 응답","제외: 3개 넘게 선택"),"")</f>
        <v/>
      </c>
      <c r="K78" s="21">
        <f>IF(작품목록!A76="","",작품목록!A76)</f>
        <v/>
      </c>
      <c r="L78" s="21">
        <f>IF(K78="","",작품목록!B76)</f>
        <v/>
      </c>
      <c r="M78" s="22">
        <f>IF(K78="","",작품목록!F76)</f>
        <v/>
      </c>
      <c r="N78" s="21">
        <f>IF(K78="","",IF(L78="상상","-",COUNTIFS($C$6:$C$1005,"*"&amp;K78&amp;"*",$H$6:$H$1005,1)+COUNTIFS($D$6:$D$1005,"*"&amp;K78&amp;"*",$H$6:$H$1005,1)))</f>
        <v/>
      </c>
      <c r="O78" s="15" t="n"/>
      <c r="P78" s="27">
        <f>IF(K78="","",IF(L78="상상",N(O78),N78))</f>
        <v/>
      </c>
    </row>
    <row r="79">
      <c r="A79" s="15" t="n"/>
      <c r="B79" s="15" t="n"/>
      <c r="C79" s="16" t="n"/>
      <c r="D79" s="16" t="n"/>
      <c r="E79" s="21">
        <f>IF(AND(A79="",B79="",C79="",D79=""),"",IF(TRIM(C79)="",0,LEN(C79)-LEN(SUBSTITUTE(C79,",",""))+1))</f>
        <v/>
      </c>
      <c r="F79" s="21">
        <f>IF(AND(A79="",B79="",C79="",D79=""),"",IF(TRIM(D79)="",0,LEN(D79)-LEN(SUBSTITUTE(D79,",",""))+1))</f>
        <v/>
      </c>
      <c r="G79" s="21">
        <f>IF(B79="","",IF(COUNTIF($B$6:B79,B79)&gt;1,"중복",""))</f>
        <v/>
      </c>
      <c r="H79" s="21">
        <f>IF(AND(A79="",B79="",C79="",D79=""),"",IF(AND(E79&lt;=3,F79&lt;=3,G79=""),1,0))</f>
        <v/>
      </c>
      <c r="I79" s="22">
        <f>IF(H79=0,IF(G79="중복","제외: 같은 이메일 중복 응답","제외: 3개 넘게 선택"),"")</f>
        <v/>
      </c>
      <c r="K79" s="21">
        <f>IF(작품목록!A77="","",작품목록!A77)</f>
        <v/>
      </c>
      <c r="L79" s="21">
        <f>IF(K79="","",작품목록!B77)</f>
        <v/>
      </c>
      <c r="M79" s="22">
        <f>IF(K79="","",작품목록!F77)</f>
        <v/>
      </c>
      <c r="N79" s="21">
        <f>IF(K79="","",IF(L79="상상","-",COUNTIFS($C$6:$C$1005,"*"&amp;K79&amp;"*",$H$6:$H$1005,1)+COUNTIFS($D$6:$D$1005,"*"&amp;K79&amp;"*",$H$6:$H$1005,1)))</f>
        <v/>
      </c>
      <c r="O79" s="15" t="n"/>
      <c r="P79" s="27">
        <f>IF(K79="","",IF(L79="상상",N(O79),N79))</f>
        <v/>
      </c>
    </row>
    <row r="80">
      <c r="A80" s="15" t="n"/>
      <c r="B80" s="15" t="n"/>
      <c r="C80" s="16" t="n"/>
      <c r="D80" s="16" t="n"/>
      <c r="E80" s="21">
        <f>IF(AND(A80="",B80="",C80="",D80=""),"",IF(TRIM(C80)="",0,LEN(C80)-LEN(SUBSTITUTE(C80,",",""))+1))</f>
        <v/>
      </c>
      <c r="F80" s="21">
        <f>IF(AND(A80="",B80="",C80="",D80=""),"",IF(TRIM(D80)="",0,LEN(D80)-LEN(SUBSTITUTE(D80,",",""))+1))</f>
        <v/>
      </c>
      <c r="G80" s="21">
        <f>IF(B80="","",IF(COUNTIF($B$6:B80,B80)&gt;1,"중복",""))</f>
        <v/>
      </c>
      <c r="H80" s="21">
        <f>IF(AND(A80="",B80="",C80="",D80=""),"",IF(AND(E80&lt;=3,F80&lt;=3,G80=""),1,0))</f>
        <v/>
      </c>
      <c r="I80" s="22">
        <f>IF(H80=0,IF(G80="중복","제외: 같은 이메일 중복 응답","제외: 3개 넘게 선택"),"")</f>
        <v/>
      </c>
      <c r="K80" s="21">
        <f>IF(작품목록!A78="","",작품목록!A78)</f>
        <v/>
      </c>
      <c r="L80" s="21">
        <f>IF(K80="","",작품목록!B78)</f>
        <v/>
      </c>
      <c r="M80" s="22">
        <f>IF(K80="","",작품목록!F78)</f>
        <v/>
      </c>
      <c r="N80" s="21">
        <f>IF(K80="","",IF(L80="상상","-",COUNTIFS($C$6:$C$1005,"*"&amp;K80&amp;"*",$H$6:$H$1005,1)+COUNTIFS($D$6:$D$1005,"*"&amp;K80&amp;"*",$H$6:$H$1005,1)))</f>
        <v/>
      </c>
      <c r="O80" s="15" t="n"/>
      <c r="P80" s="27">
        <f>IF(K80="","",IF(L80="상상",N(O80),N80))</f>
        <v/>
      </c>
    </row>
    <row r="81">
      <c r="A81" s="15" t="n"/>
      <c r="B81" s="15" t="n"/>
      <c r="C81" s="16" t="n"/>
      <c r="D81" s="16" t="n"/>
      <c r="E81" s="21">
        <f>IF(AND(A81="",B81="",C81="",D81=""),"",IF(TRIM(C81)="",0,LEN(C81)-LEN(SUBSTITUTE(C81,",",""))+1))</f>
        <v/>
      </c>
      <c r="F81" s="21">
        <f>IF(AND(A81="",B81="",C81="",D81=""),"",IF(TRIM(D81)="",0,LEN(D81)-LEN(SUBSTITUTE(D81,",",""))+1))</f>
        <v/>
      </c>
      <c r="G81" s="21">
        <f>IF(B81="","",IF(COUNTIF($B$6:B81,B81)&gt;1,"중복",""))</f>
        <v/>
      </c>
      <c r="H81" s="21">
        <f>IF(AND(A81="",B81="",C81="",D81=""),"",IF(AND(E81&lt;=3,F81&lt;=3,G81=""),1,0))</f>
        <v/>
      </c>
      <c r="I81" s="22">
        <f>IF(H81=0,IF(G81="중복","제외: 같은 이메일 중복 응답","제외: 3개 넘게 선택"),"")</f>
        <v/>
      </c>
      <c r="K81" s="21">
        <f>IF(작품목록!A79="","",작품목록!A79)</f>
        <v/>
      </c>
      <c r="L81" s="21">
        <f>IF(K81="","",작품목록!B79)</f>
        <v/>
      </c>
      <c r="M81" s="22">
        <f>IF(K81="","",작품목록!F79)</f>
        <v/>
      </c>
      <c r="N81" s="21">
        <f>IF(K81="","",IF(L81="상상","-",COUNTIFS($C$6:$C$1005,"*"&amp;K81&amp;"*",$H$6:$H$1005,1)+COUNTIFS($D$6:$D$1005,"*"&amp;K81&amp;"*",$H$6:$H$1005,1)))</f>
        <v/>
      </c>
      <c r="O81" s="15" t="n"/>
      <c r="P81" s="27">
        <f>IF(K81="","",IF(L81="상상",N(O81),N81))</f>
        <v/>
      </c>
    </row>
    <row r="82">
      <c r="A82" s="15" t="n"/>
      <c r="B82" s="15" t="n"/>
      <c r="C82" s="16" t="n"/>
      <c r="D82" s="16" t="n"/>
      <c r="E82" s="21">
        <f>IF(AND(A82="",B82="",C82="",D82=""),"",IF(TRIM(C82)="",0,LEN(C82)-LEN(SUBSTITUTE(C82,",",""))+1))</f>
        <v/>
      </c>
      <c r="F82" s="21">
        <f>IF(AND(A82="",B82="",C82="",D82=""),"",IF(TRIM(D82)="",0,LEN(D82)-LEN(SUBSTITUTE(D82,",",""))+1))</f>
        <v/>
      </c>
      <c r="G82" s="21">
        <f>IF(B82="","",IF(COUNTIF($B$6:B82,B82)&gt;1,"중복",""))</f>
        <v/>
      </c>
      <c r="H82" s="21">
        <f>IF(AND(A82="",B82="",C82="",D82=""),"",IF(AND(E82&lt;=3,F82&lt;=3,G82=""),1,0))</f>
        <v/>
      </c>
      <c r="I82" s="22">
        <f>IF(H82=0,IF(G82="중복","제외: 같은 이메일 중복 응답","제외: 3개 넘게 선택"),"")</f>
        <v/>
      </c>
      <c r="K82" s="21">
        <f>IF(작품목록!A80="","",작품목록!A80)</f>
        <v/>
      </c>
      <c r="L82" s="21">
        <f>IF(K82="","",작품목록!B80)</f>
        <v/>
      </c>
      <c r="M82" s="22">
        <f>IF(K82="","",작품목록!F80)</f>
        <v/>
      </c>
      <c r="N82" s="21">
        <f>IF(K82="","",IF(L82="상상","-",COUNTIFS($C$6:$C$1005,"*"&amp;K82&amp;"*",$H$6:$H$1005,1)+COUNTIFS($D$6:$D$1005,"*"&amp;K82&amp;"*",$H$6:$H$1005,1)))</f>
        <v/>
      </c>
      <c r="O82" s="15" t="n"/>
      <c r="P82" s="27">
        <f>IF(K82="","",IF(L82="상상",N(O82),N82))</f>
        <v/>
      </c>
    </row>
    <row r="83">
      <c r="A83" s="15" t="n"/>
      <c r="B83" s="15" t="n"/>
      <c r="C83" s="16" t="n"/>
      <c r="D83" s="16" t="n"/>
      <c r="E83" s="21">
        <f>IF(AND(A83="",B83="",C83="",D83=""),"",IF(TRIM(C83)="",0,LEN(C83)-LEN(SUBSTITUTE(C83,",",""))+1))</f>
        <v/>
      </c>
      <c r="F83" s="21">
        <f>IF(AND(A83="",B83="",C83="",D83=""),"",IF(TRIM(D83)="",0,LEN(D83)-LEN(SUBSTITUTE(D83,",",""))+1))</f>
        <v/>
      </c>
      <c r="G83" s="21">
        <f>IF(B83="","",IF(COUNTIF($B$6:B83,B83)&gt;1,"중복",""))</f>
        <v/>
      </c>
      <c r="H83" s="21">
        <f>IF(AND(A83="",B83="",C83="",D83=""),"",IF(AND(E83&lt;=3,F83&lt;=3,G83=""),1,0))</f>
        <v/>
      </c>
      <c r="I83" s="22">
        <f>IF(H83=0,IF(G83="중복","제외: 같은 이메일 중복 응답","제외: 3개 넘게 선택"),"")</f>
        <v/>
      </c>
      <c r="K83" s="21">
        <f>IF(작품목록!A81="","",작품목록!A81)</f>
        <v/>
      </c>
      <c r="L83" s="21">
        <f>IF(K83="","",작품목록!B81)</f>
        <v/>
      </c>
      <c r="M83" s="22">
        <f>IF(K83="","",작품목록!F81)</f>
        <v/>
      </c>
      <c r="N83" s="21">
        <f>IF(K83="","",IF(L83="상상","-",COUNTIFS($C$6:$C$1005,"*"&amp;K83&amp;"*",$H$6:$H$1005,1)+COUNTIFS($D$6:$D$1005,"*"&amp;K83&amp;"*",$H$6:$H$1005,1)))</f>
        <v/>
      </c>
      <c r="O83" s="15" t="n"/>
      <c r="P83" s="27">
        <f>IF(K83="","",IF(L83="상상",N(O83),N83))</f>
        <v/>
      </c>
    </row>
    <row r="84">
      <c r="A84" s="15" t="n"/>
      <c r="B84" s="15" t="n"/>
      <c r="C84" s="16" t="n"/>
      <c r="D84" s="16" t="n"/>
      <c r="E84" s="21">
        <f>IF(AND(A84="",B84="",C84="",D84=""),"",IF(TRIM(C84)="",0,LEN(C84)-LEN(SUBSTITUTE(C84,",",""))+1))</f>
        <v/>
      </c>
      <c r="F84" s="21">
        <f>IF(AND(A84="",B84="",C84="",D84=""),"",IF(TRIM(D84)="",0,LEN(D84)-LEN(SUBSTITUTE(D84,",",""))+1))</f>
        <v/>
      </c>
      <c r="G84" s="21">
        <f>IF(B84="","",IF(COUNTIF($B$6:B84,B84)&gt;1,"중복",""))</f>
        <v/>
      </c>
      <c r="H84" s="21">
        <f>IF(AND(A84="",B84="",C84="",D84=""),"",IF(AND(E84&lt;=3,F84&lt;=3,G84=""),1,0))</f>
        <v/>
      </c>
      <c r="I84" s="22">
        <f>IF(H84=0,IF(G84="중복","제외: 같은 이메일 중복 응답","제외: 3개 넘게 선택"),"")</f>
        <v/>
      </c>
      <c r="K84" s="21">
        <f>IF(작품목록!A82="","",작품목록!A82)</f>
        <v/>
      </c>
      <c r="L84" s="21">
        <f>IF(K84="","",작품목록!B82)</f>
        <v/>
      </c>
      <c r="M84" s="22">
        <f>IF(K84="","",작품목록!F82)</f>
        <v/>
      </c>
      <c r="N84" s="21">
        <f>IF(K84="","",IF(L84="상상","-",COUNTIFS($C$6:$C$1005,"*"&amp;K84&amp;"*",$H$6:$H$1005,1)+COUNTIFS($D$6:$D$1005,"*"&amp;K84&amp;"*",$H$6:$H$1005,1)))</f>
        <v/>
      </c>
      <c r="O84" s="15" t="n"/>
      <c r="P84" s="27">
        <f>IF(K84="","",IF(L84="상상",N(O84),N84))</f>
        <v/>
      </c>
    </row>
    <row r="85">
      <c r="A85" s="15" t="n"/>
      <c r="B85" s="15" t="n"/>
      <c r="C85" s="16" t="n"/>
      <c r="D85" s="16" t="n"/>
      <c r="E85" s="21">
        <f>IF(AND(A85="",B85="",C85="",D85=""),"",IF(TRIM(C85)="",0,LEN(C85)-LEN(SUBSTITUTE(C85,",",""))+1))</f>
        <v/>
      </c>
      <c r="F85" s="21">
        <f>IF(AND(A85="",B85="",C85="",D85=""),"",IF(TRIM(D85)="",0,LEN(D85)-LEN(SUBSTITUTE(D85,",",""))+1))</f>
        <v/>
      </c>
      <c r="G85" s="21">
        <f>IF(B85="","",IF(COUNTIF($B$6:B85,B85)&gt;1,"중복",""))</f>
        <v/>
      </c>
      <c r="H85" s="21">
        <f>IF(AND(A85="",B85="",C85="",D85=""),"",IF(AND(E85&lt;=3,F85&lt;=3,G85=""),1,0))</f>
        <v/>
      </c>
      <c r="I85" s="22">
        <f>IF(H85=0,IF(G85="중복","제외: 같은 이메일 중복 응답","제외: 3개 넘게 선택"),"")</f>
        <v/>
      </c>
      <c r="K85" s="21">
        <f>IF(작품목록!A83="","",작품목록!A83)</f>
        <v/>
      </c>
      <c r="L85" s="21">
        <f>IF(K85="","",작품목록!B83)</f>
        <v/>
      </c>
      <c r="M85" s="22">
        <f>IF(K85="","",작품목록!F83)</f>
        <v/>
      </c>
      <c r="N85" s="21">
        <f>IF(K85="","",IF(L85="상상","-",COUNTIFS($C$6:$C$1005,"*"&amp;K85&amp;"*",$H$6:$H$1005,1)+COUNTIFS($D$6:$D$1005,"*"&amp;K85&amp;"*",$H$6:$H$1005,1)))</f>
        <v/>
      </c>
      <c r="O85" s="15" t="n"/>
      <c r="P85" s="27">
        <f>IF(K85="","",IF(L85="상상",N(O85),N85))</f>
        <v/>
      </c>
    </row>
    <row r="86">
      <c r="A86" s="15" t="n"/>
      <c r="B86" s="15" t="n"/>
      <c r="C86" s="16" t="n"/>
      <c r="D86" s="16" t="n"/>
      <c r="E86" s="21">
        <f>IF(AND(A86="",B86="",C86="",D86=""),"",IF(TRIM(C86)="",0,LEN(C86)-LEN(SUBSTITUTE(C86,",",""))+1))</f>
        <v/>
      </c>
      <c r="F86" s="21">
        <f>IF(AND(A86="",B86="",C86="",D86=""),"",IF(TRIM(D86)="",0,LEN(D86)-LEN(SUBSTITUTE(D86,",",""))+1))</f>
        <v/>
      </c>
      <c r="G86" s="21">
        <f>IF(B86="","",IF(COUNTIF($B$6:B86,B86)&gt;1,"중복",""))</f>
        <v/>
      </c>
      <c r="H86" s="21">
        <f>IF(AND(A86="",B86="",C86="",D86=""),"",IF(AND(E86&lt;=3,F86&lt;=3,G86=""),1,0))</f>
        <v/>
      </c>
      <c r="I86" s="22">
        <f>IF(H86=0,IF(G86="중복","제외: 같은 이메일 중복 응답","제외: 3개 넘게 선택"),"")</f>
        <v/>
      </c>
      <c r="K86" s="21">
        <f>IF(작품목록!A84="","",작품목록!A84)</f>
        <v/>
      </c>
      <c r="L86" s="21">
        <f>IF(K86="","",작품목록!B84)</f>
        <v/>
      </c>
      <c r="M86" s="22">
        <f>IF(K86="","",작품목록!F84)</f>
        <v/>
      </c>
      <c r="N86" s="21">
        <f>IF(K86="","",IF(L86="상상","-",COUNTIFS($C$6:$C$1005,"*"&amp;K86&amp;"*",$H$6:$H$1005,1)+COUNTIFS($D$6:$D$1005,"*"&amp;K86&amp;"*",$H$6:$H$1005,1)))</f>
        <v/>
      </c>
      <c r="O86" s="15" t="n"/>
      <c r="P86" s="27">
        <f>IF(K86="","",IF(L86="상상",N(O86),N86))</f>
        <v/>
      </c>
    </row>
    <row r="87">
      <c r="A87" s="15" t="n"/>
      <c r="B87" s="15" t="n"/>
      <c r="C87" s="16" t="n"/>
      <c r="D87" s="16" t="n"/>
      <c r="E87" s="21">
        <f>IF(AND(A87="",B87="",C87="",D87=""),"",IF(TRIM(C87)="",0,LEN(C87)-LEN(SUBSTITUTE(C87,",",""))+1))</f>
        <v/>
      </c>
      <c r="F87" s="21">
        <f>IF(AND(A87="",B87="",C87="",D87=""),"",IF(TRIM(D87)="",0,LEN(D87)-LEN(SUBSTITUTE(D87,",",""))+1))</f>
        <v/>
      </c>
      <c r="G87" s="21">
        <f>IF(B87="","",IF(COUNTIF($B$6:B87,B87)&gt;1,"중복",""))</f>
        <v/>
      </c>
      <c r="H87" s="21">
        <f>IF(AND(A87="",B87="",C87="",D87=""),"",IF(AND(E87&lt;=3,F87&lt;=3,G87=""),1,0))</f>
        <v/>
      </c>
      <c r="I87" s="22">
        <f>IF(H87=0,IF(G87="중복","제외: 같은 이메일 중복 응답","제외: 3개 넘게 선택"),"")</f>
        <v/>
      </c>
      <c r="K87" s="21">
        <f>IF(작품목록!A85="","",작품목록!A85)</f>
        <v/>
      </c>
      <c r="L87" s="21">
        <f>IF(K87="","",작품목록!B85)</f>
        <v/>
      </c>
      <c r="M87" s="22">
        <f>IF(K87="","",작품목록!F85)</f>
        <v/>
      </c>
      <c r="N87" s="21">
        <f>IF(K87="","",IF(L87="상상","-",COUNTIFS($C$6:$C$1005,"*"&amp;K87&amp;"*",$H$6:$H$1005,1)+COUNTIFS($D$6:$D$1005,"*"&amp;K87&amp;"*",$H$6:$H$1005,1)))</f>
        <v/>
      </c>
      <c r="O87" s="15" t="n"/>
      <c r="P87" s="27">
        <f>IF(K87="","",IF(L87="상상",N(O87),N87))</f>
        <v/>
      </c>
    </row>
    <row r="88">
      <c r="A88" s="15" t="n"/>
      <c r="B88" s="15" t="n"/>
      <c r="C88" s="16" t="n"/>
      <c r="D88" s="16" t="n"/>
      <c r="E88" s="21">
        <f>IF(AND(A88="",B88="",C88="",D88=""),"",IF(TRIM(C88)="",0,LEN(C88)-LEN(SUBSTITUTE(C88,",",""))+1))</f>
        <v/>
      </c>
      <c r="F88" s="21">
        <f>IF(AND(A88="",B88="",C88="",D88=""),"",IF(TRIM(D88)="",0,LEN(D88)-LEN(SUBSTITUTE(D88,",",""))+1))</f>
        <v/>
      </c>
      <c r="G88" s="21">
        <f>IF(B88="","",IF(COUNTIF($B$6:B88,B88)&gt;1,"중복",""))</f>
        <v/>
      </c>
      <c r="H88" s="21">
        <f>IF(AND(A88="",B88="",C88="",D88=""),"",IF(AND(E88&lt;=3,F88&lt;=3,G88=""),1,0))</f>
        <v/>
      </c>
      <c r="I88" s="22">
        <f>IF(H88=0,IF(G88="중복","제외: 같은 이메일 중복 응답","제외: 3개 넘게 선택"),"")</f>
        <v/>
      </c>
      <c r="K88" s="21">
        <f>IF(작품목록!A86="","",작품목록!A86)</f>
        <v/>
      </c>
      <c r="L88" s="21">
        <f>IF(K88="","",작품목록!B86)</f>
        <v/>
      </c>
      <c r="M88" s="22">
        <f>IF(K88="","",작품목록!F86)</f>
        <v/>
      </c>
      <c r="N88" s="21">
        <f>IF(K88="","",IF(L88="상상","-",COUNTIFS($C$6:$C$1005,"*"&amp;K88&amp;"*",$H$6:$H$1005,1)+COUNTIFS($D$6:$D$1005,"*"&amp;K88&amp;"*",$H$6:$H$1005,1)))</f>
        <v/>
      </c>
      <c r="O88" s="15" t="n"/>
      <c r="P88" s="27">
        <f>IF(K88="","",IF(L88="상상",N(O88),N88))</f>
        <v/>
      </c>
    </row>
    <row r="89">
      <c r="A89" s="15" t="n"/>
      <c r="B89" s="15" t="n"/>
      <c r="C89" s="16" t="n"/>
      <c r="D89" s="16" t="n"/>
      <c r="E89" s="21">
        <f>IF(AND(A89="",B89="",C89="",D89=""),"",IF(TRIM(C89)="",0,LEN(C89)-LEN(SUBSTITUTE(C89,",",""))+1))</f>
        <v/>
      </c>
      <c r="F89" s="21">
        <f>IF(AND(A89="",B89="",C89="",D89=""),"",IF(TRIM(D89)="",0,LEN(D89)-LEN(SUBSTITUTE(D89,",",""))+1))</f>
        <v/>
      </c>
      <c r="G89" s="21">
        <f>IF(B89="","",IF(COUNTIF($B$6:B89,B89)&gt;1,"중복",""))</f>
        <v/>
      </c>
      <c r="H89" s="21">
        <f>IF(AND(A89="",B89="",C89="",D89=""),"",IF(AND(E89&lt;=3,F89&lt;=3,G89=""),1,0))</f>
        <v/>
      </c>
      <c r="I89" s="22">
        <f>IF(H89=0,IF(G89="중복","제외: 같은 이메일 중복 응답","제외: 3개 넘게 선택"),"")</f>
        <v/>
      </c>
      <c r="K89" s="21">
        <f>IF(작품목록!A87="","",작품목록!A87)</f>
        <v/>
      </c>
      <c r="L89" s="21">
        <f>IF(K89="","",작품목록!B87)</f>
        <v/>
      </c>
      <c r="M89" s="22">
        <f>IF(K89="","",작품목록!F87)</f>
        <v/>
      </c>
      <c r="N89" s="21">
        <f>IF(K89="","",IF(L89="상상","-",COUNTIFS($C$6:$C$1005,"*"&amp;K89&amp;"*",$H$6:$H$1005,1)+COUNTIFS($D$6:$D$1005,"*"&amp;K89&amp;"*",$H$6:$H$1005,1)))</f>
        <v/>
      </c>
      <c r="O89" s="15" t="n"/>
      <c r="P89" s="27">
        <f>IF(K89="","",IF(L89="상상",N(O89),N89))</f>
        <v/>
      </c>
    </row>
    <row r="90">
      <c r="A90" s="15" t="n"/>
      <c r="B90" s="15" t="n"/>
      <c r="C90" s="16" t="n"/>
      <c r="D90" s="16" t="n"/>
      <c r="E90" s="21">
        <f>IF(AND(A90="",B90="",C90="",D90=""),"",IF(TRIM(C90)="",0,LEN(C90)-LEN(SUBSTITUTE(C90,",",""))+1))</f>
        <v/>
      </c>
      <c r="F90" s="21">
        <f>IF(AND(A90="",B90="",C90="",D90=""),"",IF(TRIM(D90)="",0,LEN(D90)-LEN(SUBSTITUTE(D90,",",""))+1))</f>
        <v/>
      </c>
      <c r="G90" s="21">
        <f>IF(B90="","",IF(COUNTIF($B$6:B90,B90)&gt;1,"중복",""))</f>
        <v/>
      </c>
      <c r="H90" s="21">
        <f>IF(AND(A90="",B90="",C90="",D90=""),"",IF(AND(E90&lt;=3,F90&lt;=3,G90=""),1,0))</f>
        <v/>
      </c>
      <c r="I90" s="22">
        <f>IF(H90=0,IF(G90="중복","제외: 같은 이메일 중복 응답","제외: 3개 넘게 선택"),"")</f>
        <v/>
      </c>
      <c r="K90" s="21">
        <f>IF(작품목록!A88="","",작품목록!A88)</f>
        <v/>
      </c>
      <c r="L90" s="21">
        <f>IF(K90="","",작품목록!B88)</f>
        <v/>
      </c>
      <c r="M90" s="22">
        <f>IF(K90="","",작품목록!F88)</f>
        <v/>
      </c>
      <c r="N90" s="21">
        <f>IF(K90="","",IF(L90="상상","-",COUNTIFS($C$6:$C$1005,"*"&amp;K90&amp;"*",$H$6:$H$1005,1)+COUNTIFS($D$6:$D$1005,"*"&amp;K90&amp;"*",$H$6:$H$1005,1)))</f>
        <v/>
      </c>
      <c r="O90" s="15" t="n"/>
      <c r="P90" s="27">
        <f>IF(K90="","",IF(L90="상상",N(O90),N90))</f>
        <v/>
      </c>
    </row>
    <row r="91">
      <c r="A91" s="15" t="n"/>
      <c r="B91" s="15" t="n"/>
      <c r="C91" s="16" t="n"/>
      <c r="D91" s="16" t="n"/>
      <c r="E91" s="21">
        <f>IF(AND(A91="",B91="",C91="",D91=""),"",IF(TRIM(C91)="",0,LEN(C91)-LEN(SUBSTITUTE(C91,",",""))+1))</f>
        <v/>
      </c>
      <c r="F91" s="21">
        <f>IF(AND(A91="",B91="",C91="",D91=""),"",IF(TRIM(D91)="",0,LEN(D91)-LEN(SUBSTITUTE(D91,",",""))+1))</f>
        <v/>
      </c>
      <c r="G91" s="21">
        <f>IF(B91="","",IF(COUNTIF($B$6:B91,B91)&gt;1,"중복",""))</f>
        <v/>
      </c>
      <c r="H91" s="21">
        <f>IF(AND(A91="",B91="",C91="",D91=""),"",IF(AND(E91&lt;=3,F91&lt;=3,G91=""),1,0))</f>
        <v/>
      </c>
      <c r="I91" s="22">
        <f>IF(H91=0,IF(G91="중복","제외: 같은 이메일 중복 응답","제외: 3개 넘게 선택"),"")</f>
        <v/>
      </c>
      <c r="K91" s="21">
        <f>IF(작품목록!A89="","",작품목록!A89)</f>
        <v/>
      </c>
      <c r="L91" s="21">
        <f>IF(K91="","",작품목록!B89)</f>
        <v/>
      </c>
      <c r="M91" s="22">
        <f>IF(K91="","",작품목록!F89)</f>
        <v/>
      </c>
      <c r="N91" s="21">
        <f>IF(K91="","",IF(L91="상상","-",COUNTIFS($C$6:$C$1005,"*"&amp;K91&amp;"*",$H$6:$H$1005,1)+COUNTIFS($D$6:$D$1005,"*"&amp;K91&amp;"*",$H$6:$H$1005,1)))</f>
        <v/>
      </c>
      <c r="O91" s="15" t="n"/>
      <c r="P91" s="27">
        <f>IF(K91="","",IF(L91="상상",N(O91),N91))</f>
        <v/>
      </c>
    </row>
    <row r="92">
      <c r="A92" s="15" t="n"/>
      <c r="B92" s="15" t="n"/>
      <c r="C92" s="16" t="n"/>
      <c r="D92" s="16" t="n"/>
      <c r="E92" s="21">
        <f>IF(AND(A92="",B92="",C92="",D92=""),"",IF(TRIM(C92)="",0,LEN(C92)-LEN(SUBSTITUTE(C92,",",""))+1))</f>
        <v/>
      </c>
      <c r="F92" s="21">
        <f>IF(AND(A92="",B92="",C92="",D92=""),"",IF(TRIM(D92)="",0,LEN(D92)-LEN(SUBSTITUTE(D92,",",""))+1))</f>
        <v/>
      </c>
      <c r="G92" s="21">
        <f>IF(B92="","",IF(COUNTIF($B$6:B92,B92)&gt;1,"중복",""))</f>
        <v/>
      </c>
      <c r="H92" s="21">
        <f>IF(AND(A92="",B92="",C92="",D92=""),"",IF(AND(E92&lt;=3,F92&lt;=3,G92=""),1,0))</f>
        <v/>
      </c>
      <c r="I92" s="22">
        <f>IF(H92=0,IF(G92="중복","제외: 같은 이메일 중복 응답","제외: 3개 넘게 선택"),"")</f>
        <v/>
      </c>
      <c r="K92" s="21">
        <f>IF(작품목록!A90="","",작품목록!A90)</f>
        <v/>
      </c>
      <c r="L92" s="21">
        <f>IF(K92="","",작품목록!B90)</f>
        <v/>
      </c>
      <c r="M92" s="22">
        <f>IF(K92="","",작품목록!F90)</f>
        <v/>
      </c>
      <c r="N92" s="21">
        <f>IF(K92="","",IF(L92="상상","-",COUNTIFS($C$6:$C$1005,"*"&amp;K92&amp;"*",$H$6:$H$1005,1)+COUNTIFS($D$6:$D$1005,"*"&amp;K92&amp;"*",$H$6:$H$1005,1)))</f>
        <v/>
      </c>
      <c r="O92" s="15" t="n"/>
      <c r="P92" s="27">
        <f>IF(K92="","",IF(L92="상상",N(O92),N92))</f>
        <v/>
      </c>
    </row>
    <row r="93">
      <c r="A93" s="15" t="n"/>
      <c r="B93" s="15" t="n"/>
      <c r="C93" s="16" t="n"/>
      <c r="D93" s="16" t="n"/>
      <c r="E93" s="21">
        <f>IF(AND(A93="",B93="",C93="",D93=""),"",IF(TRIM(C93)="",0,LEN(C93)-LEN(SUBSTITUTE(C93,",",""))+1))</f>
        <v/>
      </c>
      <c r="F93" s="21">
        <f>IF(AND(A93="",B93="",C93="",D93=""),"",IF(TRIM(D93)="",0,LEN(D93)-LEN(SUBSTITUTE(D93,",",""))+1))</f>
        <v/>
      </c>
      <c r="G93" s="21">
        <f>IF(B93="","",IF(COUNTIF($B$6:B93,B93)&gt;1,"중복",""))</f>
        <v/>
      </c>
      <c r="H93" s="21">
        <f>IF(AND(A93="",B93="",C93="",D93=""),"",IF(AND(E93&lt;=3,F93&lt;=3,G93=""),1,0))</f>
        <v/>
      </c>
      <c r="I93" s="22">
        <f>IF(H93=0,IF(G93="중복","제외: 같은 이메일 중복 응답","제외: 3개 넘게 선택"),"")</f>
        <v/>
      </c>
      <c r="K93" s="21">
        <f>IF(작품목록!A91="","",작품목록!A91)</f>
        <v/>
      </c>
      <c r="L93" s="21">
        <f>IF(K93="","",작품목록!B91)</f>
        <v/>
      </c>
      <c r="M93" s="22">
        <f>IF(K93="","",작품목록!F91)</f>
        <v/>
      </c>
      <c r="N93" s="21">
        <f>IF(K93="","",IF(L93="상상","-",COUNTIFS($C$6:$C$1005,"*"&amp;K93&amp;"*",$H$6:$H$1005,1)+COUNTIFS($D$6:$D$1005,"*"&amp;K93&amp;"*",$H$6:$H$1005,1)))</f>
        <v/>
      </c>
      <c r="O93" s="15" t="n"/>
      <c r="P93" s="27">
        <f>IF(K93="","",IF(L93="상상",N(O93),N93))</f>
        <v/>
      </c>
    </row>
    <row r="94">
      <c r="A94" s="15" t="n"/>
      <c r="B94" s="15" t="n"/>
      <c r="C94" s="16" t="n"/>
      <c r="D94" s="16" t="n"/>
      <c r="E94" s="21">
        <f>IF(AND(A94="",B94="",C94="",D94=""),"",IF(TRIM(C94)="",0,LEN(C94)-LEN(SUBSTITUTE(C94,",",""))+1))</f>
        <v/>
      </c>
      <c r="F94" s="21">
        <f>IF(AND(A94="",B94="",C94="",D94=""),"",IF(TRIM(D94)="",0,LEN(D94)-LEN(SUBSTITUTE(D94,",",""))+1))</f>
        <v/>
      </c>
      <c r="G94" s="21">
        <f>IF(B94="","",IF(COUNTIF($B$6:B94,B94)&gt;1,"중복",""))</f>
        <v/>
      </c>
      <c r="H94" s="21">
        <f>IF(AND(A94="",B94="",C94="",D94=""),"",IF(AND(E94&lt;=3,F94&lt;=3,G94=""),1,0))</f>
        <v/>
      </c>
      <c r="I94" s="22">
        <f>IF(H94=0,IF(G94="중복","제외: 같은 이메일 중복 응답","제외: 3개 넘게 선택"),"")</f>
        <v/>
      </c>
      <c r="K94" s="21">
        <f>IF(작품목록!A92="","",작품목록!A92)</f>
        <v/>
      </c>
      <c r="L94" s="21">
        <f>IF(K94="","",작품목록!B92)</f>
        <v/>
      </c>
      <c r="M94" s="22">
        <f>IF(K94="","",작품목록!F92)</f>
        <v/>
      </c>
      <c r="N94" s="21">
        <f>IF(K94="","",IF(L94="상상","-",COUNTIFS($C$6:$C$1005,"*"&amp;K94&amp;"*",$H$6:$H$1005,1)+COUNTIFS($D$6:$D$1005,"*"&amp;K94&amp;"*",$H$6:$H$1005,1)))</f>
        <v/>
      </c>
      <c r="O94" s="15" t="n"/>
      <c r="P94" s="27">
        <f>IF(K94="","",IF(L94="상상",N(O94),N94))</f>
        <v/>
      </c>
    </row>
    <row r="95">
      <c r="A95" s="15" t="n"/>
      <c r="B95" s="15" t="n"/>
      <c r="C95" s="16" t="n"/>
      <c r="D95" s="16" t="n"/>
      <c r="E95" s="21">
        <f>IF(AND(A95="",B95="",C95="",D95=""),"",IF(TRIM(C95)="",0,LEN(C95)-LEN(SUBSTITUTE(C95,",",""))+1))</f>
        <v/>
      </c>
      <c r="F95" s="21">
        <f>IF(AND(A95="",B95="",C95="",D95=""),"",IF(TRIM(D95)="",0,LEN(D95)-LEN(SUBSTITUTE(D95,",",""))+1))</f>
        <v/>
      </c>
      <c r="G95" s="21">
        <f>IF(B95="","",IF(COUNTIF($B$6:B95,B95)&gt;1,"중복",""))</f>
        <v/>
      </c>
      <c r="H95" s="21">
        <f>IF(AND(A95="",B95="",C95="",D95=""),"",IF(AND(E95&lt;=3,F95&lt;=3,G95=""),1,0))</f>
        <v/>
      </c>
      <c r="I95" s="22">
        <f>IF(H95=0,IF(G95="중복","제외: 같은 이메일 중복 응답","제외: 3개 넘게 선택"),"")</f>
        <v/>
      </c>
      <c r="K95" s="21">
        <f>IF(작품목록!A93="","",작품목록!A93)</f>
        <v/>
      </c>
      <c r="L95" s="21">
        <f>IF(K95="","",작품목록!B93)</f>
        <v/>
      </c>
      <c r="M95" s="22">
        <f>IF(K95="","",작품목록!F93)</f>
        <v/>
      </c>
      <c r="N95" s="21">
        <f>IF(K95="","",IF(L95="상상","-",COUNTIFS($C$6:$C$1005,"*"&amp;K95&amp;"*",$H$6:$H$1005,1)+COUNTIFS($D$6:$D$1005,"*"&amp;K95&amp;"*",$H$6:$H$1005,1)))</f>
        <v/>
      </c>
      <c r="O95" s="15" t="n"/>
      <c r="P95" s="27">
        <f>IF(K95="","",IF(L95="상상",N(O95),N95))</f>
        <v/>
      </c>
    </row>
    <row r="96">
      <c r="A96" s="15" t="n"/>
      <c r="B96" s="15" t="n"/>
      <c r="C96" s="16" t="n"/>
      <c r="D96" s="16" t="n"/>
      <c r="E96" s="21">
        <f>IF(AND(A96="",B96="",C96="",D96=""),"",IF(TRIM(C96)="",0,LEN(C96)-LEN(SUBSTITUTE(C96,",",""))+1))</f>
        <v/>
      </c>
      <c r="F96" s="21">
        <f>IF(AND(A96="",B96="",C96="",D96=""),"",IF(TRIM(D96)="",0,LEN(D96)-LEN(SUBSTITUTE(D96,",",""))+1))</f>
        <v/>
      </c>
      <c r="G96" s="21">
        <f>IF(B96="","",IF(COUNTIF($B$6:B96,B96)&gt;1,"중복",""))</f>
        <v/>
      </c>
      <c r="H96" s="21">
        <f>IF(AND(A96="",B96="",C96="",D96=""),"",IF(AND(E96&lt;=3,F96&lt;=3,G96=""),1,0))</f>
        <v/>
      </c>
      <c r="I96" s="22">
        <f>IF(H96=0,IF(G96="중복","제외: 같은 이메일 중복 응답","제외: 3개 넘게 선택"),"")</f>
        <v/>
      </c>
      <c r="K96" s="21">
        <f>IF(작품목록!A94="","",작품목록!A94)</f>
        <v/>
      </c>
      <c r="L96" s="21">
        <f>IF(K96="","",작품목록!B94)</f>
        <v/>
      </c>
      <c r="M96" s="22">
        <f>IF(K96="","",작품목록!F94)</f>
        <v/>
      </c>
      <c r="N96" s="21">
        <f>IF(K96="","",IF(L96="상상","-",COUNTIFS($C$6:$C$1005,"*"&amp;K96&amp;"*",$H$6:$H$1005,1)+COUNTIFS($D$6:$D$1005,"*"&amp;K96&amp;"*",$H$6:$H$1005,1)))</f>
        <v/>
      </c>
      <c r="O96" s="15" t="n"/>
      <c r="P96" s="27">
        <f>IF(K96="","",IF(L96="상상",N(O96),N96))</f>
        <v/>
      </c>
    </row>
    <row r="97">
      <c r="A97" s="15" t="n"/>
      <c r="B97" s="15" t="n"/>
      <c r="C97" s="16" t="n"/>
      <c r="D97" s="16" t="n"/>
      <c r="E97" s="21">
        <f>IF(AND(A97="",B97="",C97="",D97=""),"",IF(TRIM(C97)="",0,LEN(C97)-LEN(SUBSTITUTE(C97,",",""))+1))</f>
        <v/>
      </c>
      <c r="F97" s="21">
        <f>IF(AND(A97="",B97="",C97="",D97=""),"",IF(TRIM(D97)="",0,LEN(D97)-LEN(SUBSTITUTE(D97,",",""))+1))</f>
        <v/>
      </c>
      <c r="G97" s="21">
        <f>IF(B97="","",IF(COUNTIF($B$6:B97,B97)&gt;1,"중복",""))</f>
        <v/>
      </c>
      <c r="H97" s="21">
        <f>IF(AND(A97="",B97="",C97="",D97=""),"",IF(AND(E97&lt;=3,F97&lt;=3,G97=""),1,0))</f>
        <v/>
      </c>
      <c r="I97" s="22">
        <f>IF(H97=0,IF(G97="중복","제외: 같은 이메일 중복 응답","제외: 3개 넘게 선택"),"")</f>
        <v/>
      </c>
      <c r="K97" s="21">
        <f>IF(작품목록!A95="","",작품목록!A95)</f>
        <v/>
      </c>
      <c r="L97" s="21">
        <f>IF(K97="","",작품목록!B95)</f>
        <v/>
      </c>
      <c r="M97" s="22">
        <f>IF(K97="","",작품목록!F95)</f>
        <v/>
      </c>
      <c r="N97" s="21">
        <f>IF(K97="","",IF(L97="상상","-",COUNTIFS($C$6:$C$1005,"*"&amp;K97&amp;"*",$H$6:$H$1005,1)+COUNTIFS($D$6:$D$1005,"*"&amp;K97&amp;"*",$H$6:$H$1005,1)))</f>
        <v/>
      </c>
      <c r="O97" s="15" t="n"/>
      <c r="P97" s="27">
        <f>IF(K97="","",IF(L97="상상",N(O97),N97))</f>
        <v/>
      </c>
    </row>
    <row r="98">
      <c r="A98" s="15" t="n"/>
      <c r="B98" s="15" t="n"/>
      <c r="C98" s="16" t="n"/>
      <c r="D98" s="16" t="n"/>
      <c r="E98" s="21">
        <f>IF(AND(A98="",B98="",C98="",D98=""),"",IF(TRIM(C98)="",0,LEN(C98)-LEN(SUBSTITUTE(C98,",",""))+1))</f>
        <v/>
      </c>
      <c r="F98" s="21">
        <f>IF(AND(A98="",B98="",C98="",D98=""),"",IF(TRIM(D98)="",0,LEN(D98)-LEN(SUBSTITUTE(D98,",",""))+1))</f>
        <v/>
      </c>
      <c r="G98" s="21">
        <f>IF(B98="","",IF(COUNTIF($B$6:B98,B98)&gt;1,"중복",""))</f>
        <v/>
      </c>
      <c r="H98" s="21">
        <f>IF(AND(A98="",B98="",C98="",D98=""),"",IF(AND(E98&lt;=3,F98&lt;=3,G98=""),1,0))</f>
        <v/>
      </c>
      <c r="I98" s="22">
        <f>IF(H98=0,IF(G98="중복","제외: 같은 이메일 중복 응답","제외: 3개 넘게 선택"),"")</f>
        <v/>
      </c>
      <c r="K98" s="21">
        <f>IF(작품목록!A96="","",작품목록!A96)</f>
        <v/>
      </c>
      <c r="L98" s="21">
        <f>IF(K98="","",작품목록!B96)</f>
        <v/>
      </c>
      <c r="M98" s="22">
        <f>IF(K98="","",작품목록!F96)</f>
        <v/>
      </c>
      <c r="N98" s="21">
        <f>IF(K98="","",IF(L98="상상","-",COUNTIFS($C$6:$C$1005,"*"&amp;K98&amp;"*",$H$6:$H$1005,1)+COUNTIFS($D$6:$D$1005,"*"&amp;K98&amp;"*",$H$6:$H$1005,1)))</f>
        <v/>
      </c>
      <c r="O98" s="15" t="n"/>
      <c r="P98" s="27">
        <f>IF(K98="","",IF(L98="상상",N(O98),N98))</f>
        <v/>
      </c>
    </row>
    <row r="99">
      <c r="A99" s="15" t="n"/>
      <c r="B99" s="15" t="n"/>
      <c r="C99" s="16" t="n"/>
      <c r="D99" s="16" t="n"/>
      <c r="E99" s="21">
        <f>IF(AND(A99="",B99="",C99="",D99=""),"",IF(TRIM(C99)="",0,LEN(C99)-LEN(SUBSTITUTE(C99,",",""))+1))</f>
        <v/>
      </c>
      <c r="F99" s="21">
        <f>IF(AND(A99="",B99="",C99="",D99=""),"",IF(TRIM(D99)="",0,LEN(D99)-LEN(SUBSTITUTE(D99,",",""))+1))</f>
        <v/>
      </c>
      <c r="G99" s="21">
        <f>IF(B99="","",IF(COUNTIF($B$6:B99,B99)&gt;1,"중복",""))</f>
        <v/>
      </c>
      <c r="H99" s="21">
        <f>IF(AND(A99="",B99="",C99="",D99=""),"",IF(AND(E99&lt;=3,F99&lt;=3,G99=""),1,0))</f>
        <v/>
      </c>
      <c r="I99" s="22">
        <f>IF(H99=0,IF(G99="중복","제외: 같은 이메일 중복 응답","제외: 3개 넘게 선택"),"")</f>
        <v/>
      </c>
      <c r="K99" s="21">
        <f>IF(작품목록!A97="","",작품목록!A97)</f>
        <v/>
      </c>
      <c r="L99" s="21">
        <f>IF(K99="","",작품목록!B97)</f>
        <v/>
      </c>
      <c r="M99" s="22">
        <f>IF(K99="","",작품목록!F97)</f>
        <v/>
      </c>
      <c r="N99" s="21">
        <f>IF(K99="","",IF(L99="상상","-",COUNTIFS($C$6:$C$1005,"*"&amp;K99&amp;"*",$H$6:$H$1005,1)+COUNTIFS($D$6:$D$1005,"*"&amp;K99&amp;"*",$H$6:$H$1005,1)))</f>
        <v/>
      </c>
      <c r="O99" s="15" t="n"/>
      <c r="P99" s="27">
        <f>IF(K99="","",IF(L99="상상",N(O99),N99))</f>
        <v/>
      </c>
    </row>
    <row r="100">
      <c r="A100" s="15" t="n"/>
      <c r="B100" s="15" t="n"/>
      <c r="C100" s="16" t="n"/>
      <c r="D100" s="16" t="n"/>
      <c r="E100" s="21">
        <f>IF(AND(A100="",B100="",C100="",D100=""),"",IF(TRIM(C100)="",0,LEN(C100)-LEN(SUBSTITUTE(C100,",",""))+1))</f>
        <v/>
      </c>
      <c r="F100" s="21">
        <f>IF(AND(A100="",B100="",C100="",D100=""),"",IF(TRIM(D100)="",0,LEN(D100)-LEN(SUBSTITUTE(D100,",",""))+1))</f>
        <v/>
      </c>
      <c r="G100" s="21">
        <f>IF(B100="","",IF(COUNTIF($B$6:B100,B100)&gt;1,"중복",""))</f>
        <v/>
      </c>
      <c r="H100" s="21">
        <f>IF(AND(A100="",B100="",C100="",D100=""),"",IF(AND(E100&lt;=3,F100&lt;=3,G100=""),1,0))</f>
        <v/>
      </c>
      <c r="I100" s="22">
        <f>IF(H100=0,IF(G100="중복","제외: 같은 이메일 중복 응답","제외: 3개 넘게 선택"),"")</f>
        <v/>
      </c>
      <c r="K100" s="21">
        <f>IF(작품목록!A98="","",작품목록!A98)</f>
        <v/>
      </c>
      <c r="L100" s="21">
        <f>IF(K100="","",작품목록!B98)</f>
        <v/>
      </c>
      <c r="M100" s="22">
        <f>IF(K100="","",작품목록!F98)</f>
        <v/>
      </c>
      <c r="N100" s="21">
        <f>IF(K100="","",IF(L100="상상","-",COUNTIFS($C$6:$C$1005,"*"&amp;K100&amp;"*",$H$6:$H$1005,1)+COUNTIFS($D$6:$D$1005,"*"&amp;K100&amp;"*",$H$6:$H$1005,1)))</f>
        <v/>
      </c>
      <c r="O100" s="15" t="n"/>
      <c r="P100" s="27">
        <f>IF(K100="","",IF(L100="상상",N(O100),N100))</f>
        <v/>
      </c>
    </row>
    <row r="101">
      <c r="A101" s="15" t="n"/>
      <c r="B101" s="15" t="n"/>
      <c r="C101" s="16" t="n"/>
      <c r="D101" s="16" t="n"/>
      <c r="E101" s="21">
        <f>IF(AND(A101="",B101="",C101="",D101=""),"",IF(TRIM(C101)="",0,LEN(C101)-LEN(SUBSTITUTE(C101,",",""))+1))</f>
        <v/>
      </c>
      <c r="F101" s="21">
        <f>IF(AND(A101="",B101="",C101="",D101=""),"",IF(TRIM(D101)="",0,LEN(D101)-LEN(SUBSTITUTE(D101,",",""))+1))</f>
        <v/>
      </c>
      <c r="G101" s="21">
        <f>IF(B101="","",IF(COUNTIF($B$6:B101,B101)&gt;1,"중복",""))</f>
        <v/>
      </c>
      <c r="H101" s="21">
        <f>IF(AND(A101="",B101="",C101="",D101=""),"",IF(AND(E101&lt;=3,F101&lt;=3,G101=""),1,0))</f>
        <v/>
      </c>
      <c r="I101" s="22">
        <f>IF(H101=0,IF(G101="중복","제외: 같은 이메일 중복 응답","제외: 3개 넘게 선택"),"")</f>
        <v/>
      </c>
      <c r="K101" s="21">
        <f>IF(작품목록!A99="","",작품목록!A99)</f>
        <v/>
      </c>
      <c r="L101" s="21">
        <f>IF(K101="","",작품목록!B99)</f>
        <v/>
      </c>
      <c r="M101" s="22">
        <f>IF(K101="","",작품목록!F99)</f>
        <v/>
      </c>
      <c r="N101" s="21">
        <f>IF(K101="","",IF(L101="상상","-",COUNTIFS($C$6:$C$1005,"*"&amp;K101&amp;"*",$H$6:$H$1005,1)+COUNTIFS($D$6:$D$1005,"*"&amp;K101&amp;"*",$H$6:$H$1005,1)))</f>
        <v/>
      </c>
      <c r="O101" s="15" t="n"/>
      <c r="P101" s="27">
        <f>IF(K101="","",IF(L101="상상",N(O101),N101))</f>
        <v/>
      </c>
    </row>
    <row r="102">
      <c r="A102" s="15" t="n"/>
      <c r="B102" s="15" t="n"/>
      <c r="C102" s="16" t="n"/>
      <c r="D102" s="16" t="n"/>
      <c r="E102" s="21">
        <f>IF(AND(A102="",B102="",C102="",D102=""),"",IF(TRIM(C102)="",0,LEN(C102)-LEN(SUBSTITUTE(C102,",",""))+1))</f>
        <v/>
      </c>
      <c r="F102" s="21">
        <f>IF(AND(A102="",B102="",C102="",D102=""),"",IF(TRIM(D102)="",0,LEN(D102)-LEN(SUBSTITUTE(D102,",",""))+1))</f>
        <v/>
      </c>
      <c r="G102" s="21">
        <f>IF(B102="","",IF(COUNTIF($B$6:B102,B102)&gt;1,"중복",""))</f>
        <v/>
      </c>
      <c r="H102" s="21">
        <f>IF(AND(A102="",B102="",C102="",D102=""),"",IF(AND(E102&lt;=3,F102&lt;=3,G102=""),1,0))</f>
        <v/>
      </c>
      <c r="I102" s="22">
        <f>IF(H102=0,IF(G102="중복","제외: 같은 이메일 중복 응답","제외: 3개 넘게 선택"),"")</f>
        <v/>
      </c>
      <c r="K102" s="21">
        <f>IF(작품목록!A100="","",작품목록!A100)</f>
        <v/>
      </c>
      <c r="L102" s="21">
        <f>IF(K102="","",작품목록!B100)</f>
        <v/>
      </c>
      <c r="M102" s="22">
        <f>IF(K102="","",작품목록!F100)</f>
        <v/>
      </c>
      <c r="N102" s="21">
        <f>IF(K102="","",IF(L102="상상","-",COUNTIFS($C$6:$C$1005,"*"&amp;K102&amp;"*",$H$6:$H$1005,1)+COUNTIFS($D$6:$D$1005,"*"&amp;K102&amp;"*",$H$6:$H$1005,1)))</f>
        <v/>
      </c>
      <c r="O102" s="15" t="n"/>
      <c r="P102" s="27">
        <f>IF(K102="","",IF(L102="상상",N(O102),N102))</f>
        <v/>
      </c>
    </row>
    <row r="103">
      <c r="A103" s="15" t="n"/>
      <c r="B103" s="15" t="n"/>
      <c r="C103" s="16" t="n"/>
      <c r="D103" s="16" t="n"/>
      <c r="E103" s="21">
        <f>IF(AND(A103="",B103="",C103="",D103=""),"",IF(TRIM(C103)="",0,LEN(C103)-LEN(SUBSTITUTE(C103,",",""))+1))</f>
        <v/>
      </c>
      <c r="F103" s="21">
        <f>IF(AND(A103="",B103="",C103="",D103=""),"",IF(TRIM(D103)="",0,LEN(D103)-LEN(SUBSTITUTE(D103,",",""))+1))</f>
        <v/>
      </c>
      <c r="G103" s="21">
        <f>IF(B103="","",IF(COUNTIF($B$6:B103,B103)&gt;1,"중복",""))</f>
        <v/>
      </c>
      <c r="H103" s="21">
        <f>IF(AND(A103="",B103="",C103="",D103=""),"",IF(AND(E103&lt;=3,F103&lt;=3,G103=""),1,0))</f>
        <v/>
      </c>
      <c r="I103" s="22">
        <f>IF(H103=0,IF(G103="중복","제외: 같은 이메일 중복 응답","제외: 3개 넘게 선택"),"")</f>
        <v/>
      </c>
      <c r="K103" s="21">
        <f>IF(작품목록!A101="","",작품목록!A101)</f>
        <v/>
      </c>
      <c r="L103" s="21">
        <f>IF(K103="","",작품목록!B101)</f>
        <v/>
      </c>
      <c r="M103" s="22">
        <f>IF(K103="","",작품목록!F101)</f>
        <v/>
      </c>
      <c r="N103" s="21">
        <f>IF(K103="","",IF(L103="상상","-",COUNTIFS($C$6:$C$1005,"*"&amp;K103&amp;"*",$H$6:$H$1005,1)+COUNTIFS($D$6:$D$1005,"*"&amp;K103&amp;"*",$H$6:$H$1005,1)))</f>
        <v/>
      </c>
      <c r="O103" s="15" t="n"/>
      <c r="P103" s="27">
        <f>IF(K103="","",IF(L103="상상",N(O103),N103))</f>
        <v/>
      </c>
    </row>
    <row r="104">
      <c r="A104" s="15" t="n"/>
      <c r="B104" s="15" t="n"/>
      <c r="C104" s="16" t="n"/>
      <c r="D104" s="16" t="n"/>
      <c r="E104" s="21">
        <f>IF(AND(A104="",B104="",C104="",D104=""),"",IF(TRIM(C104)="",0,LEN(C104)-LEN(SUBSTITUTE(C104,",",""))+1))</f>
        <v/>
      </c>
      <c r="F104" s="21">
        <f>IF(AND(A104="",B104="",C104="",D104=""),"",IF(TRIM(D104)="",0,LEN(D104)-LEN(SUBSTITUTE(D104,",",""))+1))</f>
        <v/>
      </c>
      <c r="G104" s="21">
        <f>IF(B104="","",IF(COUNTIF($B$6:B104,B104)&gt;1,"중복",""))</f>
        <v/>
      </c>
      <c r="H104" s="21">
        <f>IF(AND(A104="",B104="",C104="",D104=""),"",IF(AND(E104&lt;=3,F104&lt;=3,G104=""),1,0))</f>
        <v/>
      </c>
      <c r="I104" s="22">
        <f>IF(H104=0,IF(G104="중복","제외: 같은 이메일 중복 응답","제외: 3개 넘게 선택"),"")</f>
        <v/>
      </c>
      <c r="K104" s="21">
        <f>IF(작품목록!A102="","",작품목록!A102)</f>
        <v/>
      </c>
      <c r="L104" s="21">
        <f>IF(K104="","",작품목록!B102)</f>
        <v/>
      </c>
      <c r="M104" s="22">
        <f>IF(K104="","",작품목록!F102)</f>
        <v/>
      </c>
      <c r="N104" s="21">
        <f>IF(K104="","",IF(L104="상상","-",COUNTIFS($C$6:$C$1005,"*"&amp;K104&amp;"*",$H$6:$H$1005,1)+COUNTIFS($D$6:$D$1005,"*"&amp;K104&amp;"*",$H$6:$H$1005,1)))</f>
        <v/>
      </c>
      <c r="O104" s="15" t="n"/>
      <c r="P104" s="27">
        <f>IF(K104="","",IF(L104="상상",N(O104),N104))</f>
        <v/>
      </c>
    </row>
    <row r="105">
      <c r="A105" s="15" t="n"/>
      <c r="B105" s="15" t="n"/>
      <c r="C105" s="16" t="n"/>
      <c r="D105" s="16" t="n"/>
      <c r="E105" s="21">
        <f>IF(AND(A105="",B105="",C105="",D105=""),"",IF(TRIM(C105)="",0,LEN(C105)-LEN(SUBSTITUTE(C105,",",""))+1))</f>
        <v/>
      </c>
      <c r="F105" s="21">
        <f>IF(AND(A105="",B105="",C105="",D105=""),"",IF(TRIM(D105)="",0,LEN(D105)-LEN(SUBSTITUTE(D105,",",""))+1))</f>
        <v/>
      </c>
      <c r="G105" s="21">
        <f>IF(B105="","",IF(COUNTIF($B$6:B105,B105)&gt;1,"중복",""))</f>
        <v/>
      </c>
      <c r="H105" s="21">
        <f>IF(AND(A105="",B105="",C105="",D105=""),"",IF(AND(E105&lt;=3,F105&lt;=3,G105=""),1,0))</f>
        <v/>
      </c>
      <c r="I105" s="22">
        <f>IF(H105=0,IF(G105="중복","제외: 같은 이메일 중복 응답","제외: 3개 넘게 선택"),"")</f>
        <v/>
      </c>
      <c r="K105" s="21">
        <f>IF(작품목록!A103="","",작품목록!A103)</f>
        <v/>
      </c>
      <c r="L105" s="21">
        <f>IF(K105="","",작품목록!B103)</f>
        <v/>
      </c>
      <c r="M105" s="22">
        <f>IF(K105="","",작품목록!F103)</f>
        <v/>
      </c>
      <c r="N105" s="21">
        <f>IF(K105="","",IF(L105="상상","-",COUNTIFS($C$6:$C$1005,"*"&amp;K105&amp;"*",$H$6:$H$1005,1)+COUNTIFS($D$6:$D$1005,"*"&amp;K105&amp;"*",$H$6:$H$1005,1)))</f>
        <v/>
      </c>
      <c r="O105" s="15" t="n"/>
      <c r="P105" s="27">
        <f>IF(K105="","",IF(L105="상상",N(O105),N105))</f>
        <v/>
      </c>
    </row>
    <row r="106">
      <c r="A106" s="15" t="n"/>
      <c r="B106" s="15" t="n"/>
      <c r="C106" s="16" t="n"/>
      <c r="D106" s="16" t="n"/>
      <c r="E106" s="21">
        <f>IF(AND(A106="",B106="",C106="",D106=""),"",IF(TRIM(C106)="",0,LEN(C106)-LEN(SUBSTITUTE(C106,",",""))+1))</f>
        <v/>
      </c>
      <c r="F106" s="21">
        <f>IF(AND(A106="",B106="",C106="",D106=""),"",IF(TRIM(D106)="",0,LEN(D106)-LEN(SUBSTITUTE(D106,",",""))+1))</f>
        <v/>
      </c>
      <c r="G106" s="21">
        <f>IF(B106="","",IF(COUNTIF($B$6:B106,B106)&gt;1,"중복",""))</f>
        <v/>
      </c>
      <c r="H106" s="21">
        <f>IF(AND(A106="",B106="",C106="",D106=""),"",IF(AND(E106&lt;=3,F106&lt;=3,G106=""),1,0))</f>
        <v/>
      </c>
      <c r="I106" s="22">
        <f>IF(H106=0,IF(G106="중복","제외: 같은 이메일 중복 응답","제외: 3개 넘게 선택"),"")</f>
        <v/>
      </c>
    </row>
    <row r="107">
      <c r="A107" s="15" t="n"/>
      <c r="B107" s="15" t="n"/>
      <c r="C107" s="16" t="n"/>
      <c r="D107" s="16" t="n"/>
      <c r="E107" s="21">
        <f>IF(AND(A107="",B107="",C107="",D107=""),"",IF(TRIM(C107)="",0,LEN(C107)-LEN(SUBSTITUTE(C107,",",""))+1))</f>
        <v/>
      </c>
      <c r="F107" s="21">
        <f>IF(AND(A107="",B107="",C107="",D107=""),"",IF(TRIM(D107)="",0,LEN(D107)-LEN(SUBSTITUTE(D107,",",""))+1))</f>
        <v/>
      </c>
      <c r="G107" s="21">
        <f>IF(B107="","",IF(COUNTIF($B$6:B107,B107)&gt;1,"중복",""))</f>
        <v/>
      </c>
      <c r="H107" s="21">
        <f>IF(AND(A107="",B107="",C107="",D107=""),"",IF(AND(E107&lt;=3,F107&lt;=3,G107=""),1,0))</f>
        <v/>
      </c>
      <c r="I107" s="22">
        <f>IF(H107=0,IF(G107="중복","제외: 같은 이메일 중복 응답","제외: 3개 넘게 선택"),"")</f>
        <v/>
      </c>
    </row>
    <row r="108">
      <c r="A108" s="15" t="n"/>
      <c r="B108" s="15" t="n"/>
      <c r="C108" s="16" t="n"/>
      <c r="D108" s="16" t="n"/>
      <c r="E108" s="21">
        <f>IF(AND(A108="",B108="",C108="",D108=""),"",IF(TRIM(C108)="",0,LEN(C108)-LEN(SUBSTITUTE(C108,",",""))+1))</f>
        <v/>
      </c>
      <c r="F108" s="21">
        <f>IF(AND(A108="",B108="",C108="",D108=""),"",IF(TRIM(D108)="",0,LEN(D108)-LEN(SUBSTITUTE(D108,",",""))+1))</f>
        <v/>
      </c>
      <c r="G108" s="21">
        <f>IF(B108="","",IF(COUNTIF($B$6:B108,B108)&gt;1,"중복",""))</f>
        <v/>
      </c>
      <c r="H108" s="21">
        <f>IF(AND(A108="",B108="",C108="",D108=""),"",IF(AND(E108&lt;=3,F108&lt;=3,G108=""),1,0))</f>
        <v/>
      </c>
      <c r="I108" s="22">
        <f>IF(H108=0,IF(G108="중복","제외: 같은 이메일 중복 응답","제외: 3개 넘게 선택"),"")</f>
        <v/>
      </c>
    </row>
    <row r="109">
      <c r="A109" s="15" t="n"/>
      <c r="B109" s="15" t="n"/>
      <c r="C109" s="16" t="n"/>
      <c r="D109" s="16" t="n"/>
      <c r="E109" s="21">
        <f>IF(AND(A109="",B109="",C109="",D109=""),"",IF(TRIM(C109)="",0,LEN(C109)-LEN(SUBSTITUTE(C109,",",""))+1))</f>
        <v/>
      </c>
      <c r="F109" s="21">
        <f>IF(AND(A109="",B109="",C109="",D109=""),"",IF(TRIM(D109)="",0,LEN(D109)-LEN(SUBSTITUTE(D109,",",""))+1))</f>
        <v/>
      </c>
      <c r="G109" s="21">
        <f>IF(B109="","",IF(COUNTIF($B$6:B109,B109)&gt;1,"중복",""))</f>
        <v/>
      </c>
      <c r="H109" s="21">
        <f>IF(AND(A109="",B109="",C109="",D109=""),"",IF(AND(E109&lt;=3,F109&lt;=3,G109=""),1,0))</f>
        <v/>
      </c>
      <c r="I109" s="22">
        <f>IF(H109=0,IF(G109="중복","제외: 같은 이메일 중복 응답","제외: 3개 넘게 선택"),"")</f>
        <v/>
      </c>
    </row>
    <row r="110">
      <c r="A110" s="15" t="n"/>
      <c r="B110" s="15" t="n"/>
      <c r="C110" s="16" t="n"/>
      <c r="D110" s="16" t="n"/>
      <c r="E110" s="21">
        <f>IF(AND(A110="",B110="",C110="",D110=""),"",IF(TRIM(C110)="",0,LEN(C110)-LEN(SUBSTITUTE(C110,",",""))+1))</f>
        <v/>
      </c>
      <c r="F110" s="21">
        <f>IF(AND(A110="",B110="",C110="",D110=""),"",IF(TRIM(D110)="",0,LEN(D110)-LEN(SUBSTITUTE(D110,",",""))+1))</f>
        <v/>
      </c>
      <c r="G110" s="21">
        <f>IF(B110="","",IF(COUNTIF($B$6:B110,B110)&gt;1,"중복",""))</f>
        <v/>
      </c>
      <c r="H110" s="21">
        <f>IF(AND(A110="",B110="",C110="",D110=""),"",IF(AND(E110&lt;=3,F110&lt;=3,G110=""),1,0))</f>
        <v/>
      </c>
      <c r="I110" s="22">
        <f>IF(H110=0,IF(G110="중복","제외: 같은 이메일 중복 응답","제외: 3개 넘게 선택"),"")</f>
        <v/>
      </c>
    </row>
    <row r="111">
      <c r="A111" s="15" t="n"/>
      <c r="B111" s="15" t="n"/>
      <c r="C111" s="16" t="n"/>
      <c r="D111" s="16" t="n"/>
      <c r="E111" s="21">
        <f>IF(AND(A111="",B111="",C111="",D111=""),"",IF(TRIM(C111)="",0,LEN(C111)-LEN(SUBSTITUTE(C111,",",""))+1))</f>
        <v/>
      </c>
      <c r="F111" s="21">
        <f>IF(AND(A111="",B111="",C111="",D111=""),"",IF(TRIM(D111)="",0,LEN(D111)-LEN(SUBSTITUTE(D111,",",""))+1))</f>
        <v/>
      </c>
      <c r="G111" s="21">
        <f>IF(B111="","",IF(COUNTIF($B$6:B111,B111)&gt;1,"중복",""))</f>
        <v/>
      </c>
      <c r="H111" s="21">
        <f>IF(AND(A111="",B111="",C111="",D111=""),"",IF(AND(E111&lt;=3,F111&lt;=3,G111=""),1,0))</f>
        <v/>
      </c>
      <c r="I111" s="22">
        <f>IF(H111=0,IF(G111="중복","제외: 같은 이메일 중복 응답","제외: 3개 넘게 선택"),"")</f>
        <v/>
      </c>
    </row>
    <row r="112">
      <c r="A112" s="15" t="n"/>
      <c r="B112" s="15" t="n"/>
      <c r="C112" s="16" t="n"/>
      <c r="D112" s="16" t="n"/>
      <c r="E112" s="21">
        <f>IF(AND(A112="",B112="",C112="",D112=""),"",IF(TRIM(C112)="",0,LEN(C112)-LEN(SUBSTITUTE(C112,",",""))+1))</f>
        <v/>
      </c>
      <c r="F112" s="21">
        <f>IF(AND(A112="",B112="",C112="",D112=""),"",IF(TRIM(D112)="",0,LEN(D112)-LEN(SUBSTITUTE(D112,",",""))+1))</f>
        <v/>
      </c>
      <c r="G112" s="21">
        <f>IF(B112="","",IF(COUNTIF($B$6:B112,B112)&gt;1,"중복",""))</f>
        <v/>
      </c>
      <c r="H112" s="21">
        <f>IF(AND(A112="",B112="",C112="",D112=""),"",IF(AND(E112&lt;=3,F112&lt;=3,G112=""),1,0))</f>
        <v/>
      </c>
      <c r="I112" s="22">
        <f>IF(H112=0,IF(G112="중복","제외: 같은 이메일 중복 응답","제외: 3개 넘게 선택"),"")</f>
        <v/>
      </c>
    </row>
    <row r="113">
      <c r="A113" s="15" t="n"/>
      <c r="B113" s="15" t="n"/>
      <c r="C113" s="16" t="n"/>
      <c r="D113" s="16" t="n"/>
      <c r="E113" s="21">
        <f>IF(AND(A113="",B113="",C113="",D113=""),"",IF(TRIM(C113)="",0,LEN(C113)-LEN(SUBSTITUTE(C113,",",""))+1))</f>
        <v/>
      </c>
      <c r="F113" s="21">
        <f>IF(AND(A113="",B113="",C113="",D113=""),"",IF(TRIM(D113)="",0,LEN(D113)-LEN(SUBSTITUTE(D113,",",""))+1))</f>
        <v/>
      </c>
      <c r="G113" s="21">
        <f>IF(B113="","",IF(COUNTIF($B$6:B113,B113)&gt;1,"중복",""))</f>
        <v/>
      </c>
      <c r="H113" s="21">
        <f>IF(AND(A113="",B113="",C113="",D113=""),"",IF(AND(E113&lt;=3,F113&lt;=3,G113=""),1,0))</f>
        <v/>
      </c>
      <c r="I113" s="22">
        <f>IF(H113=0,IF(G113="중복","제외: 같은 이메일 중복 응답","제외: 3개 넘게 선택"),"")</f>
        <v/>
      </c>
    </row>
    <row r="114">
      <c r="A114" s="15" t="n"/>
      <c r="B114" s="15" t="n"/>
      <c r="C114" s="16" t="n"/>
      <c r="D114" s="16" t="n"/>
      <c r="E114" s="21">
        <f>IF(AND(A114="",B114="",C114="",D114=""),"",IF(TRIM(C114)="",0,LEN(C114)-LEN(SUBSTITUTE(C114,",",""))+1))</f>
        <v/>
      </c>
      <c r="F114" s="21">
        <f>IF(AND(A114="",B114="",C114="",D114=""),"",IF(TRIM(D114)="",0,LEN(D114)-LEN(SUBSTITUTE(D114,",",""))+1))</f>
        <v/>
      </c>
      <c r="G114" s="21">
        <f>IF(B114="","",IF(COUNTIF($B$6:B114,B114)&gt;1,"중복",""))</f>
        <v/>
      </c>
      <c r="H114" s="21">
        <f>IF(AND(A114="",B114="",C114="",D114=""),"",IF(AND(E114&lt;=3,F114&lt;=3,G114=""),1,0))</f>
        <v/>
      </c>
      <c r="I114" s="22">
        <f>IF(H114=0,IF(G114="중복","제외: 같은 이메일 중복 응답","제외: 3개 넘게 선택"),"")</f>
        <v/>
      </c>
    </row>
    <row r="115">
      <c r="A115" s="15" t="n"/>
      <c r="B115" s="15" t="n"/>
      <c r="C115" s="16" t="n"/>
      <c r="D115" s="16" t="n"/>
      <c r="E115" s="21">
        <f>IF(AND(A115="",B115="",C115="",D115=""),"",IF(TRIM(C115)="",0,LEN(C115)-LEN(SUBSTITUTE(C115,",",""))+1))</f>
        <v/>
      </c>
      <c r="F115" s="21">
        <f>IF(AND(A115="",B115="",C115="",D115=""),"",IF(TRIM(D115)="",0,LEN(D115)-LEN(SUBSTITUTE(D115,",",""))+1))</f>
        <v/>
      </c>
      <c r="G115" s="21">
        <f>IF(B115="","",IF(COUNTIF($B$6:B115,B115)&gt;1,"중복",""))</f>
        <v/>
      </c>
      <c r="H115" s="21">
        <f>IF(AND(A115="",B115="",C115="",D115=""),"",IF(AND(E115&lt;=3,F115&lt;=3,G115=""),1,0))</f>
        <v/>
      </c>
      <c r="I115" s="22">
        <f>IF(H115=0,IF(G115="중복","제외: 같은 이메일 중복 응답","제외: 3개 넘게 선택"),"")</f>
        <v/>
      </c>
    </row>
    <row r="116">
      <c r="A116" s="15" t="n"/>
      <c r="B116" s="15" t="n"/>
      <c r="C116" s="16" t="n"/>
      <c r="D116" s="16" t="n"/>
      <c r="E116" s="21">
        <f>IF(AND(A116="",B116="",C116="",D116=""),"",IF(TRIM(C116)="",0,LEN(C116)-LEN(SUBSTITUTE(C116,",",""))+1))</f>
        <v/>
      </c>
      <c r="F116" s="21">
        <f>IF(AND(A116="",B116="",C116="",D116=""),"",IF(TRIM(D116)="",0,LEN(D116)-LEN(SUBSTITUTE(D116,",",""))+1))</f>
        <v/>
      </c>
      <c r="G116" s="21">
        <f>IF(B116="","",IF(COUNTIF($B$6:B116,B116)&gt;1,"중복",""))</f>
        <v/>
      </c>
      <c r="H116" s="21">
        <f>IF(AND(A116="",B116="",C116="",D116=""),"",IF(AND(E116&lt;=3,F116&lt;=3,G116=""),1,0))</f>
        <v/>
      </c>
      <c r="I116" s="22">
        <f>IF(H116=0,IF(G116="중복","제외: 같은 이메일 중복 응답","제외: 3개 넘게 선택"),"")</f>
        <v/>
      </c>
    </row>
    <row r="117">
      <c r="A117" s="15" t="n"/>
      <c r="B117" s="15" t="n"/>
      <c r="C117" s="16" t="n"/>
      <c r="D117" s="16" t="n"/>
      <c r="E117" s="21">
        <f>IF(AND(A117="",B117="",C117="",D117=""),"",IF(TRIM(C117)="",0,LEN(C117)-LEN(SUBSTITUTE(C117,",",""))+1))</f>
        <v/>
      </c>
      <c r="F117" s="21">
        <f>IF(AND(A117="",B117="",C117="",D117=""),"",IF(TRIM(D117)="",0,LEN(D117)-LEN(SUBSTITUTE(D117,",",""))+1))</f>
        <v/>
      </c>
      <c r="G117" s="21">
        <f>IF(B117="","",IF(COUNTIF($B$6:B117,B117)&gt;1,"중복",""))</f>
        <v/>
      </c>
      <c r="H117" s="21">
        <f>IF(AND(A117="",B117="",C117="",D117=""),"",IF(AND(E117&lt;=3,F117&lt;=3,G117=""),1,0))</f>
        <v/>
      </c>
      <c r="I117" s="22">
        <f>IF(H117=0,IF(G117="중복","제외: 같은 이메일 중복 응답","제외: 3개 넘게 선택"),"")</f>
        <v/>
      </c>
    </row>
    <row r="118">
      <c r="A118" s="15" t="n"/>
      <c r="B118" s="15" t="n"/>
      <c r="C118" s="16" t="n"/>
      <c r="D118" s="16" t="n"/>
      <c r="E118" s="21">
        <f>IF(AND(A118="",B118="",C118="",D118=""),"",IF(TRIM(C118)="",0,LEN(C118)-LEN(SUBSTITUTE(C118,",",""))+1))</f>
        <v/>
      </c>
      <c r="F118" s="21">
        <f>IF(AND(A118="",B118="",C118="",D118=""),"",IF(TRIM(D118)="",0,LEN(D118)-LEN(SUBSTITUTE(D118,",",""))+1))</f>
        <v/>
      </c>
      <c r="G118" s="21">
        <f>IF(B118="","",IF(COUNTIF($B$6:B118,B118)&gt;1,"중복",""))</f>
        <v/>
      </c>
      <c r="H118" s="21">
        <f>IF(AND(A118="",B118="",C118="",D118=""),"",IF(AND(E118&lt;=3,F118&lt;=3,G118=""),1,0))</f>
        <v/>
      </c>
      <c r="I118" s="22">
        <f>IF(H118=0,IF(G118="중복","제외: 같은 이메일 중복 응답","제외: 3개 넘게 선택"),"")</f>
        <v/>
      </c>
    </row>
    <row r="119">
      <c r="A119" s="15" t="n"/>
      <c r="B119" s="15" t="n"/>
      <c r="C119" s="16" t="n"/>
      <c r="D119" s="16" t="n"/>
      <c r="E119" s="21">
        <f>IF(AND(A119="",B119="",C119="",D119=""),"",IF(TRIM(C119)="",0,LEN(C119)-LEN(SUBSTITUTE(C119,",",""))+1))</f>
        <v/>
      </c>
      <c r="F119" s="21">
        <f>IF(AND(A119="",B119="",C119="",D119=""),"",IF(TRIM(D119)="",0,LEN(D119)-LEN(SUBSTITUTE(D119,",",""))+1))</f>
        <v/>
      </c>
      <c r="G119" s="21">
        <f>IF(B119="","",IF(COUNTIF($B$6:B119,B119)&gt;1,"중복",""))</f>
        <v/>
      </c>
      <c r="H119" s="21">
        <f>IF(AND(A119="",B119="",C119="",D119=""),"",IF(AND(E119&lt;=3,F119&lt;=3,G119=""),1,0))</f>
        <v/>
      </c>
      <c r="I119" s="22">
        <f>IF(H119=0,IF(G119="중복","제외: 같은 이메일 중복 응답","제외: 3개 넘게 선택"),"")</f>
        <v/>
      </c>
    </row>
    <row r="120">
      <c r="A120" s="15" t="n"/>
      <c r="B120" s="15" t="n"/>
      <c r="C120" s="16" t="n"/>
      <c r="D120" s="16" t="n"/>
      <c r="E120" s="21">
        <f>IF(AND(A120="",B120="",C120="",D120=""),"",IF(TRIM(C120)="",0,LEN(C120)-LEN(SUBSTITUTE(C120,",",""))+1))</f>
        <v/>
      </c>
      <c r="F120" s="21">
        <f>IF(AND(A120="",B120="",C120="",D120=""),"",IF(TRIM(D120)="",0,LEN(D120)-LEN(SUBSTITUTE(D120,",",""))+1))</f>
        <v/>
      </c>
      <c r="G120" s="21">
        <f>IF(B120="","",IF(COUNTIF($B$6:B120,B120)&gt;1,"중복",""))</f>
        <v/>
      </c>
      <c r="H120" s="21">
        <f>IF(AND(A120="",B120="",C120="",D120=""),"",IF(AND(E120&lt;=3,F120&lt;=3,G120=""),1,0))</f>
        <v/>
      </c>
      <c r="I120" s="22">
        <f>IF(H120=0,IF(G120="중복","제외: 같은 이메일 중복 응답","제외: 3개 넘게 선택"),"")</f>
        <v/>
      </c>
    </row>
    <row r="121">
      <c r="A121" s="15" t="n"/>
      <c r="B121" s="15" t="n"/>
      <c r="C121" s="16" t="n"/>
      <c r="D121" s="16" t="n"/>
      <c r="E121" s="21">
        <f>IF(AND(A121="",B121="",C121="",D121=""),"",IF(TRIM(C121)="",0,LEN(C121)-LEN(SUBSTITUTE(C121,",",""))+1))</f>
        <v/>
      </c>
      <c r="F121" s="21">
        <f>IF(AND(A121="",B121="",C121="",D121=""),"",IF(TRIM(D121)="",0,LEN(D121)-LEN(SUBSTITUTE(D121,",",""))+1))</f>
        <v/>
      </c>
      <c r="G121" s="21">
        <f>IF(B121="","",IF(COUNTIF($B$6:B121,B121)&gt;1,"중복",""))</f>
        <v/>
      </c>
      <c r="H121" s="21">
        <f>IF(AND(A121="",B121="",C121="",D121=""),"",IF(AND(E121&lt;=3,F121&lt;=3,G121=""),1,0))</f>
        <v/>
      </c>
      <c r="I121" s="22">
        <f>IF(H121=0,IF(G121="중복","제외: 같은 이메일 중복 응답","제외: 3개 넘게 선택"),"")</f>
        <v/>
      </c>
    </row>
    <row r="122">
      <c r="A122" s="15" t="n"/>
      <c r="B122" s="15" t="n"/>
      <c r="C122" s="16" t="n"/>
      <c r="D122" s="16" t="n"/>
      <c r="E122" s="21">
        <f>IF(AND(A122="",B122="",C122="",D122=""),"",IF(TRIM(C122)="",0,LEN(C122)-LEN(SUBSTITUTE(C122,",",""))+1))</f>
        <v/>
      </c>
      <c r="F122" s="21">
        <f>IF(AND(A122="",B122="",C122="",D122=""),"",IF(TRIM(D122)="",0,LEN(D122)-LEN(SUBSTITUTE(D122,",",""))+1))</f>
        <v/>
      </c>
      <c r="G122" s="21">
        <f>IF(B122="","",IF(COUNTIF($B$6:B122,B122)&gt;1,"중복",""))</f>
        <v/>
      </c>
      <c r="H122" s="21">
        <f>IF(AND(A122="",B122="",C122="",D122=""),"",IF(AND(E122&lt;=3,F122&lt;=3,G122=""),1,0))</f>
        <v/>
      </c>
      <c r="I122" s="22">
        <f>IF(H122=0,IF(G122="중복","제외: 같은 이메일 중복 응답","제외: 3개 넘게 선택"),"")</f>
        <v/>
      </c>
    </row>
    <row r="123">
      <c r="A123" s="15" t="n"/>
      <c r="B123" s="15" t="n"/>
      <c r="C123" s="16" t="n"/>
      <c r="D123" s="16" t="n"/>
      <c r="E123" s="21">
        <f>IF(AND(A123="",B123="",C123="",D123=""),"",IF(TRIM(C123)="",0,LEN(C123)-LEN(SUBSTITUTE(C123,",",""))+1))</f>
        <v/>
      </c>
      <c r="F123" s="21">
        <f>IF(AND(A123="",B123="",C123="",D123=""),"",IF(TRIM(D123)="",0,LEN(D123)-LEN(SUBSTITUTE(D123,",",""))+1))</f>
        <v/>
      </c>
      <c r="G123" s="21">
        <f>IF(B123="","",IF(COUNTIF($B$6:B123,B123)&gt;1,"중복",""))</f>
        <v/>
      </c>
      <c r="H123" s="21">
        <f>IF(AND(A123="",B123="",C123="",D123=""),"",IF(AND(E123&lt;=3,F123&lt;=3,G123=""),1,0))</f>
        <v/>
      </c>
      <c r="I123" s="22">
        <f>IF(H123=0,IF(G123="중복","제외: 같은 이메일 중복 응답","제외: 3개 넘게 선택"),"")</f>
        <v/>
      </c>
    </row>
    <row r="124">
      <c r="A124" s="15" t="n"/>
      <c r="B124" s="15" t="n"/>
      <c r="C124" s="16" t="n"/>
      <c r="D124" s="16" t="n"/>
      <c r="E124" s="21">
        <f>IF(AND(A124="",B124="",C124="",D124=""),"",IF(TRIM(C124)="",0,LEN(C124)-LEN(SUBSTITUTE(C124,",",""))+1))</f>
        <v/>
      </c>
      <c r="F124" s="21">
        <f>IF(AND(A124="",B124="",C124="",D124=""),"",IF(TRIM(D124)="",0,LEN(D124)-LEN(SUBSTITUTE(D124,",",""))+1))</f>
        <v/>
      </c>
      <c r="G124" s="21">
        <f>IF(B124="","",IF(COUNTIF($B$6:B124,B124)&gt;1,"중복",""))</f>
        <v/>
      </c>
      <c r="H124" s="21">
        <f>IF(AND(A124="",B124="",C124="",D124=""),"",IF(AND(E124&lt;=3,F124&lt;=3,G124=""),1,0))</f>
        <v/>
      </c>
      <c r="I124" s="22">
        <f>IF(H124=0,IF(G124="중복","제외: 같은 이메일 중복 응답","제외: 3개 넘게 선택"),"")</f>
        <v/>
      </c>
    </row>
    <row r="125">
      <c r="A125" s="15" t="n"/>
      <c r="B125" s="15" t="n"/>
      <c r="C125" s="16" t="n"/>
      <c r="D125" s="16" t="n"/>
      <c r="E125" s="21">
        <f>IF(AND(A125="",B125="",C125="",D125=""),"",IF(TRIM(C125)="",0,LEN(C125)-LEN(SUBSTITUTE(C125,",",""))+1))</f>
        <v/>
      </c>
      <c r="F125" s="21">
        <f>IF(AND(A125="",B125="",C125="",D125=""),"",IF(TRIM(D125)="",0,LEN(D125)-LEN(SUBSTITUTE(D125,",",""))+1))</f>
        <v/>
      </c>
      <c r="G125" s="21">
        <f>IF(B125="","",IF(COUNTIF($B$6:B125,B125)&gt;1,"중복",""))</f>
        <v/>
      </c>
      <c r="H125" s="21">
        <f>IF(AND(A125="",B125="",C125="",D125=""),"",IF(AND(E125&lt;=3,F125&lt;=3,G125=""),1,0))</f>
        <v/>
      </c>
      <c r="I125" s="22">
        <f>IF(H125=0,IF(G125="중복","제외: 같은 이메일 중복 응답","제외: 3개 넘게 선택"),"")</f>
        <v/>
      </c>
    </row>
    <row r="126">
      <c r="A126" s="15" t="n"/>
      <c r="B126" s="15" t="n"/>
      <c r="C126" s="16" t="n"/>
      <c r="D126" s="16" t="n"/>
      <c r="E126" s="21">
        <f>IF(AND(A126="",B126="",C126="",D126=""),"",IF(TRIM(C126)="",0,LEN(C126)-LEN(SUBSTITUTE(C126,",",""))+1))</f>
        <v/>
      </c>
      <c r="F126" s="21">
        <f>IF(AND(A126="",B126="",C126="",D126=""),"",IF(TRIM(D126)="",0,LEN(D126)-LEN(SUBSTITUTE(D126,",",""))+1))</f>
        <v/>
      </c>
      <c r="G126" s="21">
        <f>IF(B126="","",IF(COUNTIF($B$6:B126,B126)&gt;1,"중복",""))</f>
        <v/>
      </c>
      <c r="H126" s="21">
        <f>IF(AND(A126="",B126="",C126="",D126=""),"",IF(AND(E126&lt;=3,F126&lt;=3,G126=""),1,0))</f>
        <v/>
      </c>
      <c r="I126" s="22">
        <f>IF(H126=0,IF(G126="중복","제외: 같은 이메일 중복 응답","제외: 3개 넘게 선택"),"")</f>
        <v/>
      </c>
    </row>
    <row r="127">
      <c r="A127" s="15" t="n"/>
      <c r="B127" s="15" t="n"/>
      <c r="C127" s="16" t="n"/>
      <c r="D127" s="16" t="n"/>
      <c r="E127" s="21">
        <f>IF(AND(A127="",B127="",C127="",D127=""),"",IF(TRIM(C127)="",0,LEN(C127)-LEN(SUBSTITUTE(C127,",",""))+1))</f>
        <v/>
      </c>
      <c r="F127" s="21">
        <f>IF(AND(A127="",B127="",C127="",D127=""),"",IF(TRIM(D127)="",0,LEN(D127)-LEN(SUBSTITUTE(D127,",",""))+1))</f>
        <v/>
      </c>
      <c r="G127" s="21">
        <f>IF(B127="","",IF(COUNTIF($B$6:B127,B127)&gt;1,"중복",""))</f>
        <v/>
      </c>
      <c r="H127" s="21">
        <f>IF(AND(A127="",B127="",C127="",D127=""),"",IF(AND(E127&lt;=3,F127&lt;=3,G127=""),1,0))</f>
        <v/>
      </c>
      <c r="I127" s="22">
        <f>IF(H127=0,IF(G127="중복","제외: 같은 이메일 중복 응답","제외: 3개 넘게 선택"),"")</f>
        <v/>
      </c>
    </row>
    <row r="128">
      <c r="A128" s="15" t="n"/>
      <c r="B128" s="15" t="n"/>
      <c r="C128" s="16" t="n"/>
      <c r="D128" s="16" t="n"/>
      <c r="E128" s="21">
        <f>IF(AND(A128="",B128="",C128="",D128=""),"",IF(TRIM(C128)="",0,LEN(C128)-LEN(SUBSTITUTE(C128,",",""))+1))</f>
        <v/>
      </c>
      <c r="F128" s="21">
        <f>IF(AND(A128="",B128="",C128="",D128=""),"",IF(TRIM(D128)="",0,LEN(D128)-LEN(SUBSTITUTE(D128,",",""))+1))</f>
        <v/>
      </c>
      <c r="G128" s="21">
        <f>IF(B128="","",IF(COUNTIF($B$6:B128,B128)&gt;1,"중복",""))</f>
        <v/>
      </c>
      <c r="H128" s="21">
        <f>IF(AND(A128="",B128="",C128="",D128=""),"",IF(AND(E128&lt;=3,F128&lt;=3,G128=""),1,0))</f>
        <v/>
      </c>
      <c r="I128" s="22">
        <f>IF(H128=0,IF(G128="중복","제외: 같은 이메일 중복 응답","제외: 3개 넘게 선택"),"")</f>
        <v/>
      </c>
    </row>
    <row r="129">
      <c r="A129" s="15" t="n"/>
      <c r="B129" s="15" t="n"/>
      <c r="C129" s="16" t="n"/>
      <c r="D129" s="16" t="n"/>
      <c r="E129" s="21">
        <f>IF(AND(A129="",B129="",C129="",D129=""),"",IF(TRIM(C129)="",0,LEN(C129)-LEN(SUBSTITUTE(C129,",",""))+1))</f>
        <v/>
      </c>
      <c r="F129" s="21">
        <f>IF(AND(A129="",B129="",C129="",D129=""),"",IF(TRIM(D129)="",0,LEN(D129)-LEN(SUBSTITUTE(D129,",",""))+1))</f>
        <v/>
      </c>
      <c r="G129" s="21">
        <f>IF(B129="","",IF(COUNTIF($B$6:B129,B129)&gt;1,"중복",""))</f>
        <v/>
      </c>
      <c r="H129" s="21">
        <f>IF(AND(A129="",B129="",C129="",D129=""),"",IF(AND(E129&lt;=3,F129&lt;=3,G129=""),1,0))</f>
        <v/>
      </c>
      <c r="I129" s="22">
        <f>IF(H129=0,IF(G129="중복","제외: 같은 이메일 중복 응답","제외: 3개 넘게 선택"),"")</f>
        <v/>
      </c>
    </row>
    <row r="130">
      <c r="A130" s="15" t="n"/>
      <c r="B130" s="15" t="n"/>
      <c r="C130" s="16" t="n"/>
      <c r="D130" s="16" t="n"/>
      <c r="E130" s="21">
        <f>IF(AND(A130="",B130="",C130="",D130=""),"",IF(TRIM(C130)="",0,LEN(C130)-LEN(SUBSTITUTE(C130,",",""))+1))</f>
        <v/>
      </c>
      <c r="F130" s="21">
        <f>IF(AND(A130="",B130="",C130="",D130=""),"",IF(TRIM(D130)="",0,LEN(D130)-LEN(SUBSTITUTE(D130,",",""))+1))</f>
        <v/>
      </c>
      <c r="G130" s="21">
        <f>IF(B130="","",IF(COUNTIF($B$6:B130,B130)&gt;1,"중복",""))</f>
        <v/>
      </c>
      <c r="H130" s="21">
        <f>IF(AND(A130="",B130="",C130="",D130=""),"",IF(AND(E130&lt;=3,F130&lt;=3,G130=""),1,0))</f>
        <v/>
      </c>
      <c r="I130" s="22">
        <f>IF(H130=0,IF(G130="중복","제외: 같은 이메일 중복 응답","제외: 3개 넘게 선택"),"")</f>
        <v/>
      </c>
    </row>
    <row r="131">
      <c r="A131" s="15" t="n"/>
      <c r="B131" s="15" t="n"/>
      <c r="C131" s="16" t="n"/>
      <c r="D131" s="16" t="n"/>
      <c r="E131" s="21">
        <f>IF(AND(A131="",B131="",C131="",D131=""),"",IF(TRIM(C131)="",0,LEN(C131)-LEN(SUBSTITUTE(C131,",",""))+1))</f>
        <v/>
      </c>
      <c r="F131" s="21">
        <f>IF(AND(A131="",B131="",C131="",D131=""),"",IF(TRIM(D131)="",0,LEN(D131)-LEN(SUBSTITUTE(D131,",",""))+1))</f>
        <v/>
      </c>
      <c r="G131" s="21">
        <f>IF(B131="","",IF(COUNTIF($B$6:B131,B131)&gt;1,"중복",""))</f>
        <v/>
      </c>
      <c r="H131" s="21">
        <f>IF(AND(A131="",B131="",C131="",D131=""),"",IF(AND(E131&lt;=3,F131&lt;=3,G131=""),1,0))</f>
        <v/>
      </c>
      <c r="I131" s="22">
        <f>IF(H131=0,IF(G131="중복","제외: 같은 이메일 중복 응답","제외: 3개 넘게 선택"),"")</f>
        <v/>
      </c>
    </row>
    <row r="132">
      <c r="A132" s="15" t="n"/>
      <c r="B132" s="15" t="n"/>
      <c r="C132" s="16" t="n"/>
      <c r="D132" s="16" t="n"/>
      <c r="E132" s="21">
        <f>IF(AND(A132="",B132="",C132="",D132=""),"",IF(TRIM(C132)="",0,LEN(C132)-LEN(SUBSTITUTE(C132,",",""))+1))</f>
        <v/>
      </c>
      <c r="F132" s="21">
        <f>IF(AND(A132="",B132="",C132="",D132=""),"",IF(TRIM(D132)="",0,LEN(D132)-LEN(SUBSTITUTE(D132,",",""))+1))</f>
        <v/>
      </c>
      <c r="G132" s="21">
        <f>IF(B132="","",IF(COUNTIF($B$6:B132,B132)&gt;1,"중복",""))</f>
        <v/>
      </c>
      <c r="H132" s="21">
        <f>IF(AND(A132="",B132="",C132="",D132=""),"",IF(AND(E132&lt;=3,F132&lt;=3,G132=""),1,0))</f>
        <v/>
      </c>
      <c r="I132" s="22">
        <f>IF(H132=0,IF(G132="중복","제외: 같은 이메일 중복 응답","제외: 3개 넘게 선택"),"")</f>
        <v/>
      </c>
    </row>
    <row r="133">
      <c r="A133" s="15" t="n"/>
      <c r="B133" s="15" t="n"/>
      <c r="C133" s="16" t="n"/>
      <c r="D133" s="16" t="n"/>
      <c r="E133" s="21">
        <f>IF(AND(A133="",B133="",C133="",D133=""),"",IF(TRIM(C133)="",0,LEN(C133)-LEN(SUBSTITUTE(C133,",",""))+1))</f>
        <v/>
      </c>
      <c r="F133" s="21">
        <f>IF(AND(A133="",B133="",C133="",D133=""),"",IF(TRIM(D133)="",0,LEN(D133)-LEN(SUBSTITUTE(D133,",",""))+1))</f>
        <v/>
      </c>
      <c r="G133" s="21">
        <f>IF(B133="","",IF(COUNTIF($B$6:B133,B133)&gt;1,"중복",""))</f>
        <v/>
      </c>
      <c r="H133" s="21">
        <f>IF(AND(A133="",B133="",C133="",D133=""),"",IF(AND(E133&lt;=3,F133&lt;=3,G133=""),1,0))</f>
        <v/>
      </c>
      <c r="I133" s="22">
        <f>IF(H133=0,IF(G133="중복","제외: 같은 이메일 중복 응답","제외: 3개 넘게 선택"),"")</f>
        <v/>
      </c>
    </row>
    <row r="134">
      <c r="A134" s="15" t="n"/>
      <c r="B134" s="15" t="n"/>
      <c r="C134" s="16" t="n"/>
      <c r="D134" s="16" t="n"/>
      <c r="E134" s="21">
        <f>IF(AND(A134="",B134="",C134="",D134=""),"",IF(TRIM(C134)="",0,LEN(C134)-LEN(SUBSTITUTE(C134,",",""))+1))</f>
        <v/>
      </c>
      <c r="F134" s="21">
        <f>IF(AND(A134="",B134="",C134="",D134=""),"",IF(TRIM(D134)="",0,LEN(D134)-LEN(SUBSTITUTE(D134,",",""))+1))</f>
        <v/>
      </c>
      <c r="G134" s="21">
        <f>IF(B134="","",IF(COUNTIF($B$6:B134,B134)&gt;1,"중복",""))</f>
        <v/>
      </c>
      <c r="H134" s="21">
        <f>IF(AND(A134="",B134="",C134="",D134=""),"",IF(AND(E134&lt;=3,F134&lt;=3,G134=""),1,0))</f>
        <v/>
      </c>
      <c r="I134" s="22">
        <f>IF(H134=0,IF(G134="중복","제외: 같은 이메일 중복 응답","제외: 3개 넘게 선택"),"")</f>
        <v/>
      </c>
    </row>
    <row r="135">
      <c r="A135" s="15" t="n"/>
      <c r="B135" s="15" t="n"/>
      <c r="C135" s="16" t="n"/>
      <c r="D135" s="16" t="n"/>
      <c r="E135" s="21">
        <f>IF(AND(A135="",B135="",C135="",D135=""),"",IF(TRIM(C135)="",0,LEN(C135)-LEN(SUBSTITUTE(C135,",",""))+1))</f>
        <v/>
      </c>
      <c r="F135" s="21">
        <f>IF(AND(A135="",B135="",C135="",D135=""),"",IF(TRIM(D135)="",0,LEN(D135)-LEN(SUBSTITUTE(D135,",",""))+1))</f>
        <v/>
      </c>
      <c r="G135" s="21">
        <f>IF(B135="","",IF(COUNTIF($B$6:B135,B135)&gt;1,"중복",""))</f>
        <v/>
      </c>
      <c r="H135" s="21">
        <f>IF(AND(A135="",B135="",C135="",D135=""),"",IF(AND(E135&lt;=3,F135&lt;=3,G135=""),1,0))</f>
        <v/>
      </c>
      <c r="I135" s="22">
        <f>IF(H135=0,IF(G135="중복","제외: 같은 이메일 중복 응답","제외: 3개 넘게 선택"),"")</f>
        <v/>
      </c>
    </row>
    <row r="136">
      <c r="A136" s="15" t="n"/>
      <c r="B136" s="15" t="n"/>
      <c r="C136" s="16" t="n"/>
      <c r="D136" s="16" t="n"/>
      <c r="E136" s="21">
        <f>IF(AND(A136="",B136="",C136="",D136=""),"",IF(TRIM(C136)="",0,LEN(C136)-LEN(SUBSTITUTE(C136,",",""))+1))</f>
        <v/>
      </c>
      <c r="F136" s="21">
        <f>IF(AND(A136="",B136="",C136="",D136=""),"",IF(TRIM(D136)="",0,LEN(D136)-LEN(SUBSTITUTE(D136,",",""))+1))</f>
        <v/>
      </c>
      <c r="G136" s="21">
        <f>IF(B136="","",IF(COUNTIF($B$6:B136,B136)&gt;1,"중복",""))</f>
        <v/>
      </c>
      <c r="H136" s="21">
        <f>IF(AND(A136="",B136="",C136="",D136=""),"",IF(AND(E136&lt;=3,F136&lt;=3,G136=""),1,0))</f>
        <v/>
      </c>
      <c r="I136" s="22">
        <f>IF(H136=0,IF(G136="중복","제외: 같은 이메일 중복 응답","제외: 3개 넘게 선택"),"")</f>
        <v/>
      </c>
    </row>
    <row r="137">
      <c r="A137" s="15" t="n"/>
      <c r="B137" s="15" t="n"/>
      <c r="C137" s="16" t="n"/>
      <c r="D137" s="16" t="n"/>
      <c r="E137" s="21">
        <f>IF(AND(A137="",B137="",C137="",D137=""),"",IF(TRIM(C137)="",0,LEN(C137)-LEN(SUBSTITUTE(C137,",",""))+1))</f>
        <v/>
      </c>
      <c r="F137" s="21">
        <f>IF(AND(A137="",B137="",C137="",D137=""),"",IF(TRIM(D137)="",0,LEN(D137)-LEN(SUBSTITUTE(D137,",",""))+1))</f>
        <v/>
      </c>
      <c r="G137" s="21">
        <f>IF(B137="","",IF(COUNTIF($B$6:B137,B137)&gt;1,"중복",""))</f>
        <v/>
      </c>
      <c r="H137" s="21">
        <f>IF(AND(A137="",B137="",C137="",D137=""),"",IF(AND(E137&lt;=3,F137&lt;=3,G137=""),1,0))</f>
        <v/>
      </c>
      <c r="I137" s="22">
        <f>IF(H137=0,IF(G137="중복","제외: 같은 이메일 중복 응답","제외: 3개 넘게 선택"),"")</f>
        <v/>
      </c>
    </row>
    <row r="138">
      <c r="A138" s="15" t="n"/>
      <c r="B138" s="15" t="n"/>
      <c r="C138" s="16" t="n"/>
      <c r="D138" s="16" t="n"/>
      <c r="E138" s="21">
        <f>IF(AND(A138="",B138="",C138="",D138=""),"",IF(TRIM(C138)="",0,LEN(C138)-LEN(SUBSTITUTE(C138,",",""))+1))</f>
        <v/>
      </c>
      <c r="F138" s="21">
        <f>IF(AND(A138="",B138="",C138="",D138=""),"",IF(TRIM(D138)="",0,LEN(D138)-LEN(SUBSTITUTE(D138,",",""))+1))</f>
        <v/>
      </c>
      <c r="G138" s="21">
        <f>IF(B138="","",IF(COUNTIF($B$6:B138,B138)&gt;1,"중복",""))</f>
        <v/>
      </c>
      <c r="H138" s="21">
        <f>IF(AND(A138="",B138="",C138="",D138=""),"",IF(AND(E138&lt;=3,F138&lt;=3,G138=""),1,0))</f>
        <v/>
      </c>
      <c r="I138" s="22">
        <f>IF(H138=0,IF(G138="중복","제외: 같은 이메일 중복 응답","제외: 3개 넘게 선택"),"")</f>
        <v/>
      </c>
    </row>
    <row r="139">
      <c r="A139" s="15" t="n"/>
      <c r="B139" s="15" t="n"/>
      <c r="C139" s="16" t="n"/>
      <c r="D139" s="16" t="n"/>
      <c r="E139" s="21">
        <f>IF(AND(A139="",B139="",C139="",D139=""),"",IF(TRIM(C139)="",0,LEN(C139)-LEN(SUBSTITUTE(C139,",",""))+1))</f>
        <v/>
      </c>
      <c r="F139" s="21">
        <f>IF(AND(A139="",B139="",C139="",D139=""),"",IF(TRIM(D139)="",0,LEN(D139)-LEN(SUBSTITUTE(D139,",",""))+1))</f>
        <v/>
      </c>
      <c r="G139" s="21">
        <f>IF(B139="","",IF(COUNTIF($B$6:B139,B139)&gt;1,"중복",""))</f>
        <v/>
      </c>
      <c r="H139" s="21">
        <f>IF(AND(A139="",B139="",C139="",D139=""),"",IF(AND(E139&lt;=3,F139&lt;=3,G139=""),1,0))</f>
        <v/>
      </c>
      <c r="I139" s="22">
        <f>IF(H139=0,IF(G139="중복","제외: 같은 이메일 중복 응답","제외: 3개 넘게 선택"),"")</f>
        <v/>
      </c>
    </row>
    <row r="140">
      <c r="A140" s="15" t="n"/>
      <c r="B140" s="15" t="n"/>
      <c r="C140" s="16" t="n"/>
      <c r="D140" s="16" t="n"/>
      <c r="E140" s="21">
        <f>IF(AND(A140="",B140="",C140="",D140=""),"",IF(TRIM(C140)="",0,LEN(C140)-LEN(SUBSTITUTE(C140,",",""))+1))</f>
        <v/>
      </c>
      <c r="F140" s="21">
        <f>IF(AND(A140="",B140="",C140="",D140=""),"",IF(TRIM(D140)="",0,LEN(D140)-LEN(SUBSTITUTE(D140,",",""))+1))</f>
        <v/>
      </c>
      <c r="G140" s="21">
        <f>IF(B140="","",IF(COUNTIF($B$6:B140,B140)&gt;1,"중복",""))</f>
        <v/>
      </c>
      <c r="H140" s="21">
        <f>IF(AND(A140="",B140="",C140="",D140=""),"",IF(AND(E140&lt;=3,F140&lt;=3,G140=""),1,0))</f>
        <v/>
      </c>
      <c r="I140" s="22">
        <f>IF(H140=0,IF(G140="중복","제외: 같은 이메일 중복 응답","제외: 3개 넘게 선택"),"")</f>
        <v/>
      </c>
    </row>
    <row r="141">
      <c r="A141" s="15" t="n"/>
      <c r="B141" s="15" t="n"/>
      <c r="C141" s="16" t="n"/>
      <c r="D141" s="16" t="n"/>
      <c r="E141" s="21">
        <f>IF(AND(A141="",B141="",C141="",D141=""),"",IF(TRIM(C141)="",0,LEN(C141)-LEN(SUBSTITUTE(C141,",",""))+1))</f>
        <v/>
      </c>
      <c r="F141" s="21">
        <f>IF(AND(A141="",B141="",C141="",D141=""),"",IF(TRIM(D141)="",0,LEN(D141)-LEN(SUBSTITUTE(D141,",",""))+1))</f>
        <v/>
      </c>
      <c r="G141" s="21">
        <f>IF(B141="","",IF(COUNTIF($B$6:B141,B141)&gt;1,"중복",""))</f>
        <v/>
      </c>
      <c r="H141" s="21">
        <f>IF(AND(A141="",B141="",C141="",D141=""),"",IF(AND(E141&lt;=3,F141&lt;=3,G141=""),1,0))</f>
        <v/>
      </c>
      <c r="I141" s="22">
        <f>IF(H141=0,IF(G141="중복","제외: 같은 이메일 중복 응답","제외: 3개 넘게 선택"),"")</f>
        <v/>
      </c>
    </row>
    <row r="142">
      <c r="A142" s="15" t="n"/>
      <c r="B142" s="15" t="n"/>
      <c r="C142" s="16" t="n"/>
      <c r="D142" s="16" t="n"/>
      <c r="E142" s="21">
        <f>IF(AND(A142="",B142="",C142="",D142=""),"",IF(TRIM(C142)="",0,LEN(C142)-LEN(SUBSTITUTE(C142,",",""))+1))</f>
        <v/>
      </c>
      <c r="F142" s="21">
        <f>IF(AND(A142="",B142="",C142="",D142=""),"",IF(TRIM(D142)="",0,LEN(D142)-LEN(SUBSTITUTE(D142,",",""))+1))</f>
        <v/>
      </c>
      <c r="G142" s="21">
        <f>IF(B142="","",IF(COUNTIF($B$6:B142,B142)&gt;1,"중복",""))</f>
        <v/>
      </c>
      <c r="H142" s="21">
        <f>IF(AND(A142="",B142="",C142="",D142=""),"",IF(AND(E142&lt;=3,F142&lt;=3,G142=""),1,0))</f>
        <v/>
      </c>
      <c r="I142" s="22">
        <f>IF(H142=0,IF(G142="중복","제외: 같은 이메일 중복 응답","제외: 3개 넘게 선택"),"")</f>
        <v/>
      </c>
    </row>
    <row r="143">
      <c r="A143" s="15" t="n"/>
      <c r="B143" s="15" t="n"/>
      <c r="C143" s="16" t="n"/>
      <c r="D143" s="16" t="n"/>
      <c r="E143" s="21">
        <f>IF(AND(A143="",B143="",C143="",D143=""),"",IF(TRIM(C143)="",0,LEN(C143)-LEN(SUBSTITUTE(C143,",",""))+1))</f>
        <v/>
      </c>
      <c r="F143" s="21">
        <f>IF(AND(A143="",B143="",C143="",D143=""),"",IF(TRIM(D143)="",0,LEN(D143)-LEN(SUBSTITUTE(D143,",",""))+1))</f>
        <v/>
      </c>
      <c r="G143" s="21">
        <f>IF(B143="","",IF(COUNTIF($B$6:B143,B143)&gt;1,"중복",""))</f>
        <v/>
      </c>
      <c r="H143" s="21">
        <f>IF(AND(A143="",B143="",C143="",D143=""),"",IF(AND(E143&lt;=3,F143&lt;=3,G143=""),1,0))</f>
        <v/>
      </c>
      <c r="I143" s="22">
        <f>IF(H143=0,IF(G143="중복","제외: 같은 이메일 중복 응답","제외: 3개 넘게 선택"),"")</f>
        <v/>
      </c>
    </row>
    <row r="144">
      <c r="A144" s="15" t="n"/>
      <c r="B144" s="15" t="n"/>
      <c r="C144" s="16" t="n"/>
      <c r="D144" s="16" t="n"/>
      <c r="E144" s="21">
        <f>IF(AND(A144="",B144="",C144="",D144=""),"",IF(TRIM(C144)="",0,LEN(C144)-LEN(SUBSTITUTE(C144,",",""))+1))</f>
        <v/>
      </c>
      <c r="F144" s="21">
        <f>IF(AND(A144="",B144="",C144="",D144=""),"",IF(TRIM(D144)="",0,LEN(D144)-LEN(SUBSTITUTE(D144,",",""))+1))</f>
        <v/>
      </c>
      <c r="G144" s="21">
        <f>IF(B144="","",IF(COUNTIF($B$6:B144,B144)&gt;1,"중복",""))</f>
        <v/>
      </c>
      <c r="H144" s="21">
        <f>IF(AND(A144="",B144="",C144="",D144=""),"",IF(AND(E144&lt;=3,F144&lt;=3,G144=""),1,0))</f>
        <v/>
      </c>
      <c r="I144" s="22">
        <f>IF(H144=0,IF(G144="중복","제외: 같은 이메일 중복 응답","제외: 3개 넘게 선택"),"")</f>
        <v/>
      </c>
    </row>
    <row r="145">
      <c r="A145" s="15" t="n"/>
      <c r="B145" s="15" t="n"/>
      <c r="C145" s="16" t="n"/>
      <c r="D145" s="16" t="n"/>
      <c r="E145" s="21">
        <f>IF(AND(A145="",B145="",C145="",D145=""),"",IF(TRIM(C145)="",0,LEN(C145)-LEN(SUBSTITUTE(C145,",",""))+1))</f>
        <v/>
      </c>
      <c r="F145" s="21">
        <f>IF(AND(A145="",B145="",C145="",D145=""),"",IF(TRIM(D145)="",0,LEN(D145)-LEN(SUBSTITUTE(D145,",",""))+1))</f>
        <v/>
      </c>
      <c r="G145" s="21">
        <f>IF(B145="","",IF(COUNTIF($B$6:B145,B145)&gt;1,"중복",""))</f>
        <v/>
      </c>
      <c r="H145" s="21">
        <f>IF(AND(A145="",B145="",C145="",D145=""),"",IF(AND(E145&lt;=3,F145&lt;=3,G145=""),1,0))</f>
        <v/>
      </c>
      <c r="I145" s="22">
        <f>IF(H145=0,IF(G145="중복","제외: 같은 이메일 중복 응답","제외: 3개 넘게 선택"),"")</f>
        <v/>
      </c>
    </row>
    <row r="146">
      <c r="A146" s="15" t="n"/>
      <c r="B146" s="15" t="n"/>
      <c r="C146" s="16" t="n"/>
      <c r="D146" s="16" t="n"/>
      <c r="E146" s="21">
        <f>IF(AND(A146="",B146="",C146="",D146=""),"",IF(TRIM(C146)="",0,LEN(C146)-LEN(SUBSTITUTE(C146,",",""))+1))</f>
        <v/>
      </c>
      <c r="F146" s="21">
        <f>IF(AND(A146="",B146="",C146="",D146=""),"",IF(TRIM(D146)="",0,LEN(D146)-LEN(SUBSTITUTE(D146,",",""))+1))</f>
        <v/>
      </c>
      <c r="G146" s="21">
        <f>IF(B146="","",IF(COUNTIF($B$6:B146,B146)&gt;1,"중복",""))</f>
        <v/>
      </c>
      <c r="H146" s="21">
        <f>IF(AND(A146="",B146="",C146="",D146=""),"",IF(AND(E146&lt;=3,F146&lt;=3,G146=""),1,0))</f>
        <v/>
      </c>
      <c r="I146" s="22">
        <f>IF(H146=0,IF(G146="중복","제외: 같은 이메일 중복 응답","제외: 3개 넘게 선택"),"")</f>
        <v/>
      </c>
    </row>
    <row r="147">
      <c r="A147" s="15" t="n"/>
      <c r="B147" s="15" t="n"/>
      <c r="C147" s="16" t="n"/>
      <c r="D147" s="16" t="n"/>
      <c r="E147" s="21">
        <f>IF(AND(A147="",B147="",C147="",D147=""),"",IF(TRIM(C147)="",0,LEN(C147)-LEN(SUBSTITUTE(C147,",",""))+1))</f>
        <v/>
      </c>
      <c r="F147" s="21">
        <f>IF(AND(A147="",B147="",C147="",D147=""),"",IF(TRIM(D147)="",0,LEN(D147)-LEN(SUBSTITUTE(D147,",",""))+1))</f>
        <v/>
      </c>
      <c r="G147" s="21">
        <f>IF(B147="","",IF(COUNTIF($B$6:B147,B147)&gt;1,"중복",""))</f>
        <v/>
      </c>
      <c r="H147" s="21">
        <f>IF(AND(A147="",B147="",C147="",D147=""),"",IF(AND(E147&lt;=3,F147&lt;=3,G147=""),1,0))</f>
        <v/>
      </c>
      <c r="I147" s="22">
        <f>IF(H147=0,IF(G147="중복","제외: 같은 이메일 중복 응답","제외: 3개 넘게 선택"),"")</f>
        <v/>
      </c>
    </row>
    <row r="148">
      <c r="A148" s="15" t="n"/>
      <c r="B148" s="15" t="n"/>
      <c r="C148" s="16" t="n"/>
      <c r="D148" s="16" t="n"/>
      <c r="E148" s="21">
        <f>IF(AND(A148="",B148="",C148="",D148=""),"",IF(TRIM(C148)="",0,LEN(C148)-LEN(SUBSTITUTE(C148,",",""))+1))</f>
        <v/>
      </c>
      <c r="F148" s="21">
        <f>IF(AND(A148="",B148="",C148="",D148=""),"",IF(TRIM(D148)="",0,LEN(D148)-LEN(SUBSTITUTE(D148,",",""))+1))</f>
        <v/>
      </c>
      <c r="G148" s="21">
        <f>IF(B148="","",IF(COUNTIF($B$6:B148,B148)&gt;1,"중복",""))</f>
        <v/>
      </c>
      <c r="H148" s="21">
        <f>IF(AND(A148="",B148="",C148="",D148=""),"",IF(AND(E148&lt;=3,F148&lt;=3,G148=""),1,0))</f>
        <v/>
      </c>
      <c r="I148" s="22">
        <f>IF(H148=0,IF(G148="중복","제외: 같은 이메일 중복 응답","제외: 3개 넘게 선택"),"")</f>
        <v/>
      </c>
    </row>
    <row r="149">
      <c r="A149" s="15" t="n"/>
      <c r="B149" s="15" t="n"/>
      <c r="C149" s="16" t="n"/>
      <c r="D149" s="16" t="n"/>
      <c r="E149" s="21">
        <f>IF(AND(A149="",B149="",C149="",D149=""),"",IF(TRIM(C149)="",0,LEN(C149)-LEN(SUBSTITUTE(C149,",",""))+1))</f>
        <v/>
      </c>
      <c r="F149" s="21">
        <f>IF(AND(A149="",B149="",C149="",D149=""),"",IF(TRIM(D149)="",0,LEN(D149)-LEN(SUBSTITUTE(D149,",",""))+1))</f>
        <v/>
      </c>
      <c r="G149" s="21">
        <f>IF(B149="","",IF(COUNTIF($B$6:B149,B149)&gt;1,"중복",""))</f>
        <v/>
      </c>
      <c r="H149" s="21">
        <f>IF(AND(A149="",B149="",C149="",D149=""),"",IF(AND(E149&lt;=3,F149&lt;=3,G149=""),1,0))</f>
        <v/>
      </c>
      <c r="I149" s="22">
        <f>IF(H149=0,IF(G149="중복","제외: 같은 이메일 중복 응답","제외: 3개 넘게 선택"),"")</f>
        <v/>
      </c>
    </row>
    <row r="150">
      <c r="A150" s="15" t="n"/>
      <c r="B150" s="15" t="n"/>
      <c r="C150" s="16" t="n"/>
      <c r="D150" s="16" t="n"/>
      <c r="E150" s="21">
        <f>IF(AND(A150="",B150="",C150="",D150=""),"",IF(TRIM(C150)="",0,LEN(C150)-LEN(SUBSTITUTE(C150,",",""))+1))</f>
        <v/>
      </c>
      <c r="F150" s="21">
        <f>IF(AND(A150="",B150="",C150="",D150=""),"",IF(TRIM(D150)="",0,LEN(D150)-LEN(SUBSTITUTE(D150,",",""))+1))</f>
        <v/>
      </c>
      <c r="G150" s="21">
        <f>IF(B150="","",IF(COUNTIF($B$6:B150,B150)&gt;1,"중복",""))</f>
        <v/>
      </c>
      <c r="H150" s="21">
        <f>IF(AND(A150="",B150="",C150="",D150=""),"",IF(AND(E150&lt;=3,F150&lt;=3,G150=""),1,0))</f>
        <v/>
      </c>
      <c r="I150" s="22">
        <f>IF(H150=0,IF(G150="중복","제외: 같은 이메일 중복 응답","제외: 3개 넘게 선택"),"")</f>
        <v/>
      </c>
    </row>
    <row r="151">
      <c r="A151" s="15" t="n"/>
      <c r="B151" s="15" t="n"/>
      <c r="C151" s="16" t="n"/>
      <c r="D151" s="16" t="n"/>
      <c r="E151" s="21">
        <f>IF(AND(A151="",B151="",C151="",D151=""),"",IF(TRIM(C151)="",0,LEN(C151)-LEN(SUBSTITUTE(C151,",",""))+1))</f>
        <v/>
      </c>
      <c r="F151" s="21">
        <f>IF(AND(A151="",B151="",C151="",D151=""),"",IF(TRIM(D151)="",0,LEN(D151)-LEN(SUBSTITUTE(D151,",",""))+1))</f>
        <v/>
      </c>
      <c r="G151" s="21">
        <f>IF(B151="","",IF(COUNTIF($B$6:B151,B151)&gt;1,"중복",""))</f>
        <v/>
      </c>
      <c r="H151" s="21">
        <f>IF(AND(A151="",B151="",C151="",D151=""),"",IF(AND(E151&lt;=3,F151&lt;=3,G151=""),1,0))</f>
        <v/>
      </c>
      <c r="I151" s="22">
        <f>IF(H151=0,IF(G151="중복","제외: 같은 이메일 중복 응답","제외: 3개 넘게 선택"),"")</f>
        <v/>
      </c>
    </row>
    <row r="152">
      <c r="A152" s="15" t="n"/>
      <c r="B152" s="15" t="n"/>
      <c r="C152" s="16" t="n"/>
      <c r="D152" s="16" t="n"/>
      <c r="E152" s="21">
        <f>IF(AND(A152="",B152="",C152="",D152=""),"",IF(TRIM(C152)="",0,LEN(C152)-LEN(SUBSTITUTE(C152,",",""))+1))</f>
        <v/>
      </c>
      <c r="F152" s="21">
        <f>IF(AND(A152="",B152="",C152="",D152=""),"",IF(TRIM(D152)="",0,LEN(D152)-LEN(SUBSTITUTE(D152,",",""))+1))</f>
        <v/>
      </c>
      <c r="G152" s="21">
        <f>IF(B152="","",IF(COUNTIF($B$6:B152,B152)&gt;1,"중복",""))</f>
        <v/>
      </c>
      <c r="H152" s="21">
        <f>IF(AND(A152="",B152="",C152="",D152=""),"",IF(AND(E152&lt;=3,F152&lt;=3,G152=""),1,0))</f>
        <v/>
      </c>
      <c r="I152" s="22">
        <f>IF(H152=0,IF(G152="중복","제외: 같은 이메일 중복 응답","제외: 3개 넘게 선택"),"")</f>
        <v/>
      </c>
    </row>
    <row r="153">
      <c r="A153" s="15" t="n"/>
      <c r="B153" s="15" t="n"/>
      <c r="C153" s="16" t="n"/>
      <c r="D153" s="16" t="n"/>
      <c r="E153" s="21">
        <f>IF(AND(A153="",B153="",C153="",D153=""),"",IF(TRIM(C153)="",0,LEN(C153)-LEN(SUBSTITUTE(C153,",",""))+1))</f>
        <v/>
      </c>
      <c r="F153" s="21">
        <f>IF(AND(A153="",B153="",C153="",D153=""),"",IF(TRIM(D153)="",0,LEN(D153)-LEN(SUBSTITUTE(D153,",",""))+1))</f>
        <v/>
      </c>
      <c r="G153" s="21">
        <f>IF(B153="","",IF(COUNTIF($B$6:B153,B153)&gt;1,"중복",""))</f>
        <v/>
      </c>
      <c r="H153" s="21">
        <f>IF(AND(A153="",B153="",C153="",D153=""),"",IF(AND(E153&lt;=3,F153&lt;=3,G153=""),1,0))</f>
        <v/>
      </c>
      <c r="I153" s="22">
        <f>IF(H153=0,IF(G153="중복","제외: 같은 이메일 중복 응답","제외: 3개 넘게 선택"),"")</f>
        <v/>
      </c>
    </row>
    <row r="154">
      <c r="A154" s="15" t="n"/>
      <c r="B154" s="15" t="n"/>
      <c r="C154" s="16" t="n"/>
      <c r="D154" s="16" t="n"/>
      <c r="E154" s="21">
        <f>IF(AND(A154="",B154="",C154="",D154=""),"",IF(TRIM(C154)="",0,LEN(C154)-LEN(SUBSTITUTE(C154,",",""))+1))</f>
        <v/>
      </c>
      <c r="F154" s="21">
        <f>IF(AND(A154="",B154="",C154="",D154=""),"",IF(TRIM(D154)="",0,LEN(D154)-LEN(SUBSTITUTE(D154,",",""))+1))</f>
        <v/>
      </c>
      <c r="G154" s="21">
        <f>IF(B154="","",IF(COUNTIF($B$6:B154,B154)&gt;1,"중복",""))</f>
        <v/>
      </c>
      <c r="H154" s="21">
        <f>IF(AND(A154="",B154="",C154="",D154=""),"",IF(AND(E154&lt;=3,F154&lt;=3,G154=""),1,0))</f>
        <v/>
      </c>
      <c r="I154" s="22">
        <f>IF(H154=0,IF(G154="중복","제외: 같은 이메일 중복 응답","제외: 3개 넘게 선택"),"")</f>
        <v/>
      </c>
    </row>
    <row r="155">
      <c r="A155" s="15" t="n"/>
      <c r="B155" s="15" t="n"/>
      <c r="C155" s="16" t="n"/>
      <c r="D155" s="16" t="n"/>
      <c r="E155" s="21">
        <f>IF(AND(A155="",B155="",C155="",D155=""),"",IF(TRIM(C155)="",0,LEN(C155)-LEN(SUBSTITUTE(C155,",",""))+1))</f>
        <v/>
      </c>
      <c r="F155" s="21">
        <f>IF(AND(A155="",B155="",C155="",D155=""),"",IF(TRIM(D155)="",0,LEN(D155)-LEN(SUBSTITUTE(D155,",",""))+1))</f>
        <v/>
      </c>
      <c r="G155" s="21">
        <f>IF(B155="","",IF(COUNTIF($B$6:B155,B155)&gt;1,"중복",""))</f>
        <v/>
      </c>
      <c r="H155" s="21">
        <f>IF(AND(A155="",B155="",C155="",D155=""),"",IF(AND(E155&lt;=3,F155&lt;=3,G155=""),1,0))</f>
        <v/>
      </c>
      <c r="I155" s="22">
        <f>IF(H155=0,IF(G155="중복","제외: 같은 이메일 중복 응답","제외: 3개 넘게 선택"),"")</f>
        <v/>
      </c>
    </row>
    <row r="156">
      <c r="A156" s="15" t="n"/>
      <c r="B156" s="15" t="n"/>
      <c r="C156" s="16" t="n"/>
      <c r="D156" s="16" t="n"/>
      <c r="E156" s="21">
        <f>IF(AND(A156="",B156="",C156="",D156=""),"",IF(TRIM(C156)="",0,LEN(C156)-LEN(SUBSTITUTE(C156,",",""))+1))</f>
        <v/>
      </c>
      <c r="F156" s="21">
        <f>IF(AND(A156="",B156="",C156="",D156=""),"",IF(TRIM(D156)="",0,LEN(D156)-LEN(SUBSTITUTE(D156,",",""))+1))</f>
        <v/>
      </c>
      <c r="G156" s="21">
        <f>IF(B156="","",IF(COUNTIF($B$6:B156,B156)&gt;1,"중복",""))</f>
        <v/>
      </c>
      <c r="H156" s="21">
        <f>IF(AND(A156="",B156="",C156="",D156=""),"",IF(AND(E156&lt;=3,F156&lt;=3,G156=""),1,0))</f>
        <v/>
      </c>
      <c r="I156" s="22">
        <f>IF(H156=0,IF(G156="중복","제외: 같은 이메일 중복 응답","제외: 3개 넘게 선택"),"")</f>
        <v/>
      </c>
    </row>
    <row r="157">
      <c r="A157" s="15" t="n"/>
      <c r="B157" s="15" t="n"/>
      <c r="C157" s="16" t="n"/>
      <c r="D157" s="16" t="n"/>
      <c r="E157" s="21">
        <f>IF(AND(A157="",B157="",C157="",D157=""),"",IF(TRIM(C157)="",0,LEN(C157)-LEN(SUBSTITUTE(C157,",",""))+1))</f>
        <v/>
      </c>
      <c r="F157" s="21">
        <f>IF(AND(A157="",B157="",C157="",D157=""),"",IF(TRIM(D157)="",0,LEN(D157)-LEN(SUBSTITUTE(D157,",",""))+1))</f>
        <v/>
      </c>
      <c r="G157" s="21">
        <f>IF(B157="","",IF(COUNTIF($B$6:B157,B157)&gt;1,"중복",""))</f>
        <v/>
      </c>
      <c r="H157" s="21">
        <f>IF(AND(A157="",B157="",C157="",D157=""),"",IF(AND(E157&lt;=3,F157&lt;=3,G157=""),1,0))</f>
        <v/>
      </c>
      <c r="I157" s="22">
        <f>IF(H157=0,IF(G157="중복","제외: 같은 이메일 중복 응답","제외: 3개 넘게 선택"),"")</f>
        <v/>
      </c>
    </row>
    <row r="158">
      <c r="A158" s="15" t="n"/>
      <c r="B158" s="15" t="n"/>
      <c r="C158" s="16" t="n"/>
      <c r="D158" s="16" t="n"/>
      <c r="E158" s="21">
        <f>IF(AND(A158="",B158="",C158="",D158=""),"",IF(TRIM(C158)="",0,LEN(C158)-LEN(SUBSTITUTE(C158,",",""))+1))</f>
        <v/>
      </c>
      <c r="F158" s="21">
        <f>IF(AND(A158="",B158="",C158="",D158=""),"",IF(TRIM(D158)="",0,LEN(D158)-LEN(SUBSTITUTE(D158,",",""))+1))</f>
        <v/>
      </c>
      <c r="G158" s="21">
        <f>IF(B158="","",IF(COUNTIF($B$6:B158,B158)&gt;1,"중복",""))</f>
        <v/>
      </c>
      <c r="H158" s="21">
        <f>IF(AND(A158="",B158="",C158="",D158=""),"",IF(AND(E158&lt;=3,F158&lt;=3,G158=""),1,0))</f>
        <v/>
      </c>
      <c r="I158" s="22">
        <f>IF(H158=0,IF(G158="중복","제외: 같은 이메일 중복 응답","제외: 3개 넘게 선택"),"")</f>
        <v/>
      </c>
    </row>
    <row r="159">
      <c r="A159" s="15" t="n"/>
      <c r="B159" s="15" t="n"/>
      <c r="C159" s="16" t="n"/>
      <c r="D159" s="16" t="n"/>
      <c r="E159" s="21">
        <f>IF(AND(A159="",B159="",C159="",D159=""),"",IF(TRIM(C159)="",0,LEN(C159)-LEN(SUBSTITUTE(C159,",",""))+1))</f>
        <v/>
      </c>
      <c r="F159" s="21">
        <f>IF(AND(A159="",B159="",C159="",D159=""),"",IF(TRIM(D159)="",0,LEN(D159)-LEN(SUBSTITUTE(D159,",",""))+1))</f>
        <v/>
      </c>
      <c r="G159" s="21">
        <f>IF(B159="","",IF(COUNTIF($B$6:B159,B159)&gt;1,"중복",""))</f>
        <v/>
      </c>
      <c r="H159" s="21">
        <f>IF(AND(A159="",B159="",C159="",D159=""),"",IF(AND(E159&lt;=3,F159&lt;=3,G159=""),1,0))</f>
        <v/>
      </c>
      <c r="I159" s="22">
        <f>IF(H159=0,IF(G159="중복","제외: 같은 이메일 중복 응답","제외: 3개 넘게 선택"),"")</f>
        <v/>
      </c>
    </row>
    <row r="160">
      <c r="A160" s="15" t="n"/>
      <c r="B160" s="15" t="n"/>
      <c r="C160" s="16" t="n"/>
      <c r="D160" s="16" t="n"/>
      <c r="E160" s="21">
        <f>IF(AND(A160="",B160="",C160="",D160=""),"",IF(TRIM(C160)="",0,LEN(C160)-LEN(SUBSTITUTE(C160,",",""))+1))</f>
        <v/>
      </c>
      <c r="F160" s="21">
        <f>IF(AND(A160="",B160="",C160="",D160=""),"",IF(TRIM(D160)="",0,LEN(D160)-LEN(SUBSTITUTE(D160,",",""))+1))</f>
        <v/>
      </c>
      <c r="G160" s="21">
        <f>IF(B160="","",IF(COUNTIF($B$6:B160,B160)&gt;1,"중복",""))</f>
        <v/>
      </c>
      <c r="H160" s="21">
        <f>IF(AND(A160="",B160="",C160="",D160=""),"",IF(AND(E160&lt;=3,F160&lt;=3,G160=""),1,0))</f>
        <v/>
      </c>
      <c r="I160" s="22">
        <f>IF(H160=0,IF(G160="중복","제외: 같은 이메일 중복 응답","제외: 3개 넘게 선택"),"")</f>
        <v/>
      </c>
    </row>
    <row r="161">
      <c r="A161" s="15" t="n"/>
      <c r="B161" s="15" t="n"/>
      <c r="C161" s="16" t="n"/>
      <c r="D161" s="16" t="n"/>
      <c r="E161" s="21">
        <f>IF(AND(A161="",B161="",C161="",D161=""),"",IF(TRIM(C161)="",0,LEN(C161)-LEN(SUBSTITUTE(C161,",",""))+1))</f>
        <v/>
      </c>
      <c r="F161" s="21">
        <f>IF(AND(A161="",B161="",C161="",D161=""),"",IF(TRIM(D161)="",0,LEN(D161)-LEN(SUBSTITUTE(D161,",",""))+1))</f>
        <v/>
      </c>
      <c r="G161" s="21">
        <f>IF(B161="","",IF(COUNTIF($B$6:B161,B161)&gt;1,"중복",""))</f>
        <v/>
      </c>
      <c r="H161" s="21">
        <f>IF(AND(A161="",B161="",C161="",D161=""),"",IF(AND(E161&lt;=3,F161&lt;=3,G161=""),1,0))</f>
        <v/>
      </c>
      <c r="I161" s="22">
        <f>IF(H161=0,IF(G161="중복","제외: 같은 이메일 중복 응답","제외: 3개 넘게 선택"),"")</f>
        <v/>
      </c>
    </row>
    <row r="162">
      <c r="A162" s="15" t="n"/>
      <c r="B162" s="15" t="n"/>
      <c r="C162" s="16" t="n"/>
      <c r="D162" s="16" t="n"/>
      <c r="E162" s="21">
        <f>IF(AND(A162="",B162="",C162="",D162=""),"",IF(TRIM(C162)="",0,LEN(C162)-LEN(SUBSTITUTE(C162,",",""))+1))</f>
        <v/>
      </c>
      <c r="F162" s="21">
        <f>IF(AND(A162="",B162="",C162="",D162=""),"",IF(TRIM(D162)="",0,LEN(D162)-LEN(SUBSTITUTE(D162,",",""))+1))</f>
        <v/>
      </c>
      <c r="G162" s="21">
        <f>IF(B162="","",IF(COUNTIF($B$6:B162,B162)&gt;1,"중복",""))</f>
        <v/>
      </c>
      <c r="H162" s="21">
        <f>IF(AND(A162="",B162="",C162="",D162=""),"",IF(AND(E162&lt;=3,F162&lt;=3,G162=""),1,0))</f>
        <v/>
      </c>
      <c r="I162" s="22">
        <f>IF(H162=0,IF(G162="중복","제외: 같은 이메일 중복 응답","제외: 3개 넘게 선택"),"")</f>
        <v/>
      </c>
    </row>
    <row r="163">
      <c r="A163" s="15" t="n"/>
      <c r="B163" s="15" t="n"/>
      <c r="C163" s="16" t="n"/>
      <c r="D163" s="16" t="n"/>
      <c r="E163" s="21">
        <f>IF(AND(A163="",B163="",C163="",D163=""),"",IF(TRIM(C163)="",0,LEN(C163)-LEN(SUBSTITUTE(C163,",",""))+1))</f>
        <v/>
      </c>
      <c r="F163" s="21">
        <f>IF(AND(A163="",B163="",C163="",D163=""),"",IF(TRIM(D163)="",0,LEN(D163)-LEN(SUBSTITUTE(D163,",",""))+1))</f>
        <v/>
      </c>
      <c r="G163" s="21">
        <f>IF(B163="","",IF(COUNTIF($B$6:B163,B163)&gt;1,"중복",""))</f>
        <v/>
      </c>
      <c r="H163" s="21">
        <f>IF(AND(A163="",B163="",C163="",D163=""),"",IF(AND(E163&lt;=3,F163&lt;=3,G163=""),1,0))</f>
        <v/>
      </c>
      <c r="I163" s="22">
        <f>IF(H163=0,IF(G163="중복","제외: 같은 이메일 중복 응답","제외: 3개 넘게 선택"),"")</f>
        <v/>
      </c>
    </row>
    <row r="164">
      <c r="A164" s="15" t="n"/>
      <c r="B164" s="15" t="n"/>
      <c r="C164" s="16" t="n"/>
      <c r="D164" s="16" t="n"/>
      <c r="E164" s="21">
        <f>IF(AND(A164="",B164="",C164="",D164=""),"",IF(TRIM(C164)="",0,LEN(C164)-LEN(SUBSTITUTE(C164,",",""))+1))</f>
        <v/>
      </c>
      <c r="F164" s="21">
        <f>IF(AND(A164="",B164="",C164="",D164=""),"",IF(TRIM(D164)="",0,LEN(D164)-LEN(SUBSTITUTE(D164,",",""))+1))</f>
        <v/>
      </c>
      <c r="G164" s="21">
        <f>IF(B164="","",IF(COUNTIF($B$6:B164,B164)&gt;1,"중복",""))</f>
        <v/>
      </c>
      <c r="H164" s="21">
        <f>IF(AND(A164="",B164="",C164="",D164=""),"",IF(AND(E164&lt;=3,F164&lt;=3,G164=""),1,0))</f>
        <v/>
      </c>
      <c r="I164" s="22">
        <f>IF(H164=0,IF(G164="중복","제외: 같은 이메일 중복 응답","제외: 3개 넘게 선택"),"")</f>
        <v/>
      </c>
    </row>
    <row r="165">
      <c r="A165" s="15" t="n"/>
      <c r="B165" s="15" t="n"/>
      <c r="C165" s="16" t="n"/>
      <c r="D165" s="16" t="n"/>
      <c r="E165" s="21">
        <f>IF(AND(A165="",B165="",C165="",D165=""),"",IF(TRIM(C165)="",0,LEN(C165)-LEN(SUBSTITUTE(C165,",",""))+1))</f>
        <v/>
      </c>
      <c r="F165" s="21">
        <f>IF(AND(A165="",B165="",C165="",D165=""),"",IF(TRIM(D165)="",0,LEN(D165)-LEN(SUBSTITUTE(D165,",",""))+1))</f>
        <v/>
      </c>
      <c r="G165" s="21">
        <f>IF(B165="","",IF(COUNTIF($B$6:B165,B165)&gt;1,"중복",""))</f>
        <v/>
      </c>
      <c r="H165" s="21">
        <f>IF(AND(A165="",B165="",C165="",D165=""),"",IF(AND(E165&lt;=3,F165&lt;=3,G165=""),1,0))</f>
        <v/>
      </c>
      <c r="I165" s="22">
        <f>IF(H165=0,IF(G165="중복","제외: 같은 이메일 중복 응답","제외: 3개 넘게 선택"),"")</f>
        <v/>
      </c>
    </row>
    <row r="166">
      <c r="A166" s="15" t="n"/>
      <c r="B166" s="15" t="n"/>
      <c r="C166" s="16" t="n"/>
      <c r="D166" s="16" t="n"/>
      <c r="E166" s="21">
        <f>IF(AND(A166="",B166="",C166="",D166=""),"",IF(TRIM(C166)="",0,LEN(C166)-LEN(SUBSTITUTE(C166,",",""))+1))</f>
        <v/>
      </c>
      <c r="F166" s="21">
        <f>IF(AND(A166="",B166="",C166="",D166=""),"",IF(TRIM(D166)="",0,LEN(D166)-LEN(SUBSTITUTE(D166,",",""))+1))</f>
        <v/>
      </c>
      <c r="G166" s="21">
        <f>IF(B166="","",IF(COUNTIF($B$6:B166,B166)&gt;1,"중복",""))</f>
        <v/>
      </c>
      <c r="H166" s="21">
        <f>IF(AND(A166="",B166="",C166="",D166=""),"",IF(AND(E166&lt;=3,F166&lt;=3,G166=""),1,0))</f>
        <v/>
      </c>
      <c r="I166" s="22">
        <f>IF(H166=0,IF(G166="중복","제외: 같은 이메일 중복 응답","제외: 3개 넘게 선택"),"")</f>
        <v/>
      </c>
    </row>
    <row r="167">
      <c r="A167" s="15" t="n"/>
      <c r="B167" s="15" t="n"/>
      <c r="C167" s="16" t="n"/>
      <c r="D167" s="16" t="n"/>
      <c r="E167" s="21">
        <f>IF(AND(A167="",B167="",C167="",D167=""),"",IF(TRIM(C167)="",0,LEN(C167)-LEN(SUBSTITUTE(C167,",",""))+1))</f>
        <v/>
      </c>
      <c r="F167" s="21">
        <f>IF(AND(A167="",B167="",C167="",D167=""),"",IF(TRIM(D167)="",0,LEN(D167)-LEN(SUBSTITUTE(D167,",",""))+1))</f>
        <v/>
      </c>
      <c r="G167" s="21">
        <f>IF(B167="","",IF(COUNTIF($B$6:B167,B167)&gt;1,"중복",""))</f>
        <v/>
      </c>
      <c r="H167" s="21">
        <f>IF(AND(A167="",B167="",C167="",D167=""),"",IF(AND(E167&lt;=3,F167&lt;=3,G167=""),1,0))</f>
        <v/>
      </c>
      <c r="I167" s="22">
        <f>IF(H167=0,IF(G167="중복","제외: 같은 이메일 중복 응답","제외: 3개 넘게 선택"),"")</f>
        <v/>
      </c>
    </row>
    <row r="168">
      <c r="A168" s="15" t="n"/>
      <c r="B168" s="15" t="n"/>
      <c r="C168" s="16" t="n"/>
      <c r="D168" s="16" t="n"/>
      <c r="E168" s="21">
        <f>IF(AND(A168="",B168="",C168="",D168=""),"",IF(TRIM(C168)="",0,LEN(C168)-LEN(SUBSTITUTE(C168,",",""))+1))</f>
        <v/>
      </c>
      <c r="F168" s="21">
        <f>IF(AND(A168="",B168="",C168="",D168=""),"",IF(TRIM(D168)="",0,LEN(D168)-LEN(SUBSTITUTE(D168,",",""))+1))</f>
        <v/>
      </c>
      <c r="G168" s="21">
        <f>IF(B168="","",IF(COUNTIF($B$6:B168,B168)&gt;1,"중복",""))</f>
        <v/>
      </c>
      <c r="H168" s="21">
        <f>IF(AND(A168="",B168="",C168="",D168=""),"",IF(AND(E168&lt;=3,F168&lt;=3,G168=""),1,0))</f>
        <v/>
      </c>
      <c r="I168" s="22">
        <f>IF(H168=0,IF(G168="중복","제외: 같은 이메일 중복 응답","제외: 3개 넘게 선택"),"")</f>
        <v/>
      </c>
    </row>
    <row r="169">
      <c r="A169" s="15" t="n"/>
      <c r="B169" s="15" t="n"/>
      <c r="C169" s="16" t="n"/>
      <c r="D169" s="16" t="n"/>
      <c r="E169" s="21">
        <f>IF(AND(A169="",B169="",C169="",D169=""),"",IF(TRIM(C169)="",0,LEN(C169)-LEN(SUBSTITUTE(C169,",",""))+1))</f>
        <v/>
      </c>
      <c r="F169" s="21">
        <f>IF(AND(A169="",B169="",C169="",D169=""),"",IF(TRIM(D169)="",0,LEN(D169)-LEN(SUBSTITUTE(D169,",",""))+1))</f>
        <v/>
      </c>
      <c r="G169" s="21">
        <f>IF(B169="","",IF(COUNTIF($B$6:B169,B169)&gt;1,"중복",""))</f>
        <v/>
      </c>
      <c r="H169" s="21">
        <f>IF(AND(A169="",B169="",C169="",D169=""),"",IF(AND(E169&lt;=3,F169&lt;=3,G169=""),1,0))</f>
        <v/>
      </c>
      <c r="I169" s="22">
        <f>IF(H169=0,IF(G169="중복","제외: 같은 이메일 중복 응답","제외: 3개 넘게 선택"),"")</f>
        <v/>
      </c>
    </row>
    <row r="170">
      <c r="A170" s="15" t="n"/>
      <c r="B170" s="15" t="n"/>
      <c r="C170" s="16" t="n"/>
      <c r="D170" s="16" t="n"/>
      <c r="E170" s="21">
        <f>IF(AND(A170="",B170="",C170="",D170=""),"",IF(TRIM(C170)="",0,LEN(C170)-LEN(SUBSTITUTE(C170,",",""))+1))</f>
        <v/>
      </c>
      <c r="F170" s="21">
        <f>IF(AND(A170="",B170="",C170="",D170=""),"",IF(TRIM(D170)="",0,LEN(D170)-LEN(SUBSTITUTE(D170,",",""))+1))</f>
        <v/>
      </c>
      <c r="G170" s="21">
        <f>IF(B170="","",IF(COUNTIF($B$6:B170,B170)&gt;1,"중복",""))</f>
        <v/>
      </c>
      <c r="H170" s="21">
        <f>IF(AND(A170="",B170="",C170="",D170=""),"",IF(AND(E170&lt;=3,F170&lt;=3,G170=""),1,0))</f>
        <v/>
      </c>
      <c r="I170" s="22">
        <f>IF(H170=0,IF(G170="중복","제외: 같은 이메일 중복 응답","제외: 3개 넘게 선택"),"")</f>
        <v/>
      </c>
    </row>
    <row r="171">
      <c r="A171" s="15" t="n"/>
      <c r="B171" s="15" t="n"/>
      <c r="C171" s="16" t="n"/>
      <c r="D171" s="16" t="n"/>
      <c r="E171" s="21">
        <f>IF(AND(A171="",B171="",C171="",D171=""),"",IF(TRIM(C171)="",0,LEN(C171)-LEN(SUBSTITUTE(C171,",",""))+1))</f>
        <v/>
      </c>
      <c r="F171" s="21">
        <f>IF(AND(A171="",B171="",C171="",D171=""),"",IF(TRIM(D171)="",0,LEN(D171)-LEN(SUBSTITUTE(D171,",",""))+1))</f>
        <v/>
      </c>
      <c r="G171" s="21">
        <f>IF(B171="","",IF(COUNTIF($B$6:B171,B171)&gt;1,"중복",""))</f>
        <v/>
      </c>
      <c r="H171" s="21">
        <f>IF(AND(A171="",B171="",C171="",D171=""),"",IF(AND(E171&lt;=3,F171&lt;=3,G171=""),1,0))</f>
        <v/>
      </c>
      <c r="I171" s="22">
        <f>IF(H171=0,IF(G171="중복","제외: 같은 이메일 중복 응답","제외: 3개 넘게 선택"),"")</f>
        <v/>
      </c>
    </row>
    <row r="172">
      <c r="A172" s="15" t="n"/>
      <c r="B172" s="15" t="n"/>
      <c r="C172" s="16" t="n"/>
      <c r="D172" s="16" t="n"/>
      <c r="E172" s="21">
        <f>IF(AND(A172="",B172="",C172="",D172=""),"",IF(TRIM(C172)="",0,LEN(C172)-LEN(SUBSTITUTE(C172,",",""))+1))</f>
        <v/>
      </c>
      <c r="F172" s="21">
        <f>IF(AND(A172="",B172="",C172="",D172=""),"",IF(TRIM(D172)="",0,LEN(D172)-LEN(SUBSTITUTE(D172,",",""))+1))</f>
        <v/>
      </c>
      <c r="G172" s="21">
        <f>IF(B172="","",IF(COUNTIF($B$6:B172,B172)&gt;1,"중복",""))</f>
        <v/>
      </c>
      <c r="H172" s="21">
        <f>IF(AND(A172="",B172="",C172="",D172=""),"",IF(AND(E172&lt;=3,F172&lt;=3,G172=""),1,0))</f>
        <v/>
      </c>
      <c r="I172" s="22">
        <f>IF(H172=0,IF(G172="중복","제외: 같은 이메일 중복 응답","제외: 3개 넘게 선택"),"")</f>
        <v/>
      </c>
    </row>
    <row r="173">
      <c r="A173" s="15" t="n"/>
      <c r="B173" s="15" t="n"/>
      <c r="C173" s="16" t="n"/>
      <c r="D173" s="16" t="n"/>
      <c r="E173" s="21">
        <f>IF(AND(A173="",B173="",C173="",D173=""),"",IF(TRIM(C173)="",0,LEN(C173)-LEN(SUBSTITUTE(C173,",",""))+1))</f>
        <v/>
      </c>
      <c r="F173" s="21">
        <f>IF(AND(A173="",B173="",C173="",D173=""),"",IF(TRIM(D173)="",0,LEN(D173)-LEN(SUBSTITUTE(D173,",",""))+1))</f>
        <v/>
      </c>
      <c r="G173" s="21">
        <f>IF(B173="","",IF(COUNTIF($B$6:B173,B173)&gt;1,"중복",""))</f>
        <v/>
      </c>
      <c r="H173" s="21">
        <f>IF(AND(A173="",B173="",C173="",D173=""),"",IF(AND(E173&lt;=3,F173&lt;=3,G173=""),1,0))</f>
        <v/>
      </c>
      <c r="I173" s="22">
        <f>IF(H173=0,IF(G173="중복","제외: 같은 이메일 중복 응답","제외: 3개 넘게 선택"),"")</f>
        <v/>
      </c>
    </row>
    <row r="174">
      <c r="A174" s="15" t="n"/>
      <c r="B174" s="15" t="n"/>
      <c r="C174" s="16" t="n"/>
      <c r="D174" s="16" t="n"/>
      <c r="E174" s="21">
        <f>IF(AND(A174="",B174="",C174="",D174=""),"",IF(TRIM(C174)="",0,LEN(C174)-LEN(SUBSTITUTE(C174,",",""))+1))</f>
        <v/>
      </c>
      <c r="F174" s="21">
        <f>IF(AND(A174="",B174="",C174="",D174=""),"",IF(TRIM(D174)="",0,LEN(D174)-LEN(SUBSTITUTE(D174,",",""))+1))</f>
        <v/>
      </c>
      <c r="G174" s="21">
        <f>IF(B174="","",IF(COUNTIF($B$6:B174,B174)&gt;1,"중복",""))</f>
        <v/>
      </c>
      <c r="H174" s="21">
        <f>IF(AND(A174="",B174="",C174="",D174=""),"",IF(AND(E174&lt;=3,F174&lt;=3,G174=""),1,0))</f>
        <v/>
      </c>
      <c r="I174" s="22">
        <f>IF(H174=0,IF(G174="중복","제외: 같은 이메일 중복 응답","제외: 3개 넘게 선택"),"")</f>
        <v/>
      </c>
    </row>
    <row r="175">
      <c r="A175" s="15" t="n"/>
      <c r="B175" s="15" t="n"/>
      <c r="C175" s="16" t="n"/>
      <c r="D175" s="16" t="n"/>
      <c r="E175" s="21">
        <f>IF(AND(A175="",B175="",C175="",D175=""),"",IF(TRIM(C175)="",0,LEN(C175)-LEN(SUBSTITUTE(C175,",",""))+1))</f>
        <v/>
      </c>
      <c r="F175" s="21">
        <f>IF(AND(A175="",B175="",C175="",D175=""),"",IF(TRIM(D175)="",0,LEN(D175)-LEN(SUBSTITUTE(D175,",",""))+1))</f>
        <v/>
      </c>
      <c r="G175" s="21">
        <f>IF(B175="","",IF(COUNTIF($B$6:B175,B175)&gt;1,"중복",""))</f>
        <v/>
      </c>
      <c r="H175" s="21">
        <f>IF(AND(A175="",B175="",C175="",D175=""),"",IF(AND(E175&lt;=3,F175&lt;=3,G175=""),1,0))</f>
        <v/>
      </c>
      <c r="I175" s="22">
        <f>IF(H175=0,IF(G175="중복","제외: 같은 이메일 중복 응답","제외: 3개 넘게 선택"),"")</f>
        <v/>
      </c>
    </row>
    <row r="176">
      <c r="A176" s="15" t="n"/>
      <c r="B176" s="15" t="n"/>
      <c r="C176" s="16" t="n"/>
      <c r="D176" s="16" t="n"/>
      <c r="E176" s="21">
        <f>IF(AND(A176="",B176="",C176="",D176=""),"",IF(TRIM(C176)="",0,LEN(C176)-LEN(SUBSTITUTE(C176,",",""))+1))</f>
        <v/>
      </c>
      <c r="F176" s="21">
        <f>IF(AND(A176="",B176="",C176="",D176=""),"",IF(TRIM(D176)="",0,LEN(D176)-LEN(SUBSTITUTE(D176,",",""))+1))</f>
        <v/>
      </c>
      <c r="G176" s="21">
        <f>IF(B176="","",IF(COUNTIF($B$6:B176,B176)&gt;1,"중복",""))</f>
        <v/>
      </c>
      <c r="H176" s="21">
        <f>IF(AND(A176="",B176="",C176="",D176=""),"",IF(AND(E176&lt;=3,F176&lt;=3,G176=""),1,0))</f>
        <v/>
      </c>
      <c r="I176" s="22">
        <f>IF(H176=0,IF(G176="중복","제외: 같은 이메일 중복 응답","제외: 3개 넘게 선택"),"")</f>
        <v/>
      </c>
    </row>
    <row r="177">
      <c r="A177" s="15" t="n"/>
      <c r="B177" s="15" t="n"/>
      <c r="C177" s="16" t="n"/>
      <c r="D177" s="16" t="n"/>
      <c r="E177" s="21">
        <f>IF(AND(A177="",B177="",C177="",D177=""),"",IF(TRIM(C177)="",0,LEN(C177)-LEN(SUBSTITUTE(C177,",",""))+1))</f>
        <v/>
      </c>
      <c r="F177" s="21">
        <f>IF(AND(A177="",B177="",C177="",D177=""),"",IF(TRIM(D177)="",0,LEN(D177)-LEN(SUBSTITUTE(D177,",",""))+1))</f>
        <v/>
      </c>
      <c r="G177" s="21">
        <f>IF(B177="","",IF(COUNTIF($B$6:B177,B177)&gt;1,"중복",""))</f>
        <v/>
      </c>
      <c r="H177" s="21">
        <f>IF(AND(A177="",B177="",C177="",D177=""),"",IF(AND(E177&lt;=3,F177&lt;=3,G177=""),1,0))</f>
        <v/>
      </c>
      <c r="I177" s="22">
        <f>IF(H177=0,IF(G177="중복","제외: 같은 이메일 중복 응답","제외: 3개 넘게 선택"),"")</f>
        <v/>
      </c>
    </row>
    <row r="178">
      <c r="A178" s="15" t="n"/>
      <c r="B178" s="15" t="n"/>
      <c r="C178" s="16" t="n"/>
      <c r="D178" s="16" t="n"/>
      <c r="E178" s="21">
        <f>IF(AND(A178="",B178="",C178="",D178=""),"",IF(TRIM(C178)="",0,LEN(C178)-LEN(SUBSTITUTE(C178,",",""))+1))</f>
        <v/>
      </c>
      <c r="F178" s="21">
        <f>IF(AND(A178="",B178="",C178="",D178=""),"",IF(TRIM(D178)="",0,LEN(D178)-LEN(SUBSTITUTE(D178,",",""))+1))</f>
        <v/>
      </c>
      <c r="G178" s="21">
        <f>IF(B178="","",IF(COUNTIF($B$6:B178,B178)&gt;1,"중복",""))</f>
        <v/>
      </c>
      <c r="H178" s="21">
        <f>IF(AND(A178="",B178="",C178="",D178=""),"",IF(AND(E178&lt;=3,F178&lt;=3,G178=""),1,0))</f>
        <v/>
      </c>
      <c r="I178" s="22">
        <f>IF(H178=0,IF(G178="중복","제외: 같은 이메일 중복 응답","제외: 3개 넘게 선택"),"")</f>
        <v/>
      </c>
    </row>
    <row r="179">
      <c r="A179" s="15" t="n"/>
      <c r="B179" s="15" t="n"/>
      <c r="C179" s="16" t="n"/>
      <c r="D179" s="16" t="n"/>
      <c r="E179" s="21">
        <f>IF(AND(A179="",B179="",C179="",D179=""),"",IF(TRIM(C179)="",0,LEN(C179)-LEN(SUBSTITUTE(C179,",",""))+1))</f>
        <v/>
      </c>
      <c r="F179" s="21">
        <f>IF(AND(A179="",B179="",C179="",D179=""),"",IF(TRIM(D179)="",0,LEN(D179)-LEN(SUBSTITUTE(D179,",",""))+1))</f>
        <v/>
      </c>
      <c r="G179" s="21">
        <f>IF(B179="","",IF(COUNTIF($B$6:B179,B179)&gt;1,"중복",""))</f>
        <v/>
      </c>
      <c r="H179" s="21">
        <f>IF(AND(A179="",B179="",C179="",D179=""),"",IF(AND(E179&lt;=3,F179&lt;=3,G179=""),1,0))</f>
        <v/>
      </c>
      <c r="I179" s="22">
        <f>IF(H179=0,IF(G179="중복","제외: 같은 이메일 중복 응답","제외: 3개 넘게 선택"),"")</f>
        <v/>
      </c>
    </row>
    <row r="180">
      <c r="A180" s="15" t="n"/>
      <c r="B180" s="15" t="n"/>
      <c r="C180" s="16" t="n"/>
      <c r="D180" s="16" t="n"/>
      <c r="E180" s="21">
        <f>IF(AND(A180="",B180="",C180="",D180=""),"",IF(TRIM(C180)="",0,LEN(C180)-LEN(SUBSTITUTE(C180,",",""))+1))</f>
        <v/>
      </c>
      <c r="F180" s="21">
        <f>IF(AND(A180="",B180="",C180="",D180=""),"",IF(TRIM(D180)="",0,LEN(D180)-LEN(SUBSTITUTE(D180,",",""))+1))</f>
        <v/>
      </c>
      <c r="G180" s="21">
        <f>IF(B180="","",IF(COUNTIF($B$6:B180,B180)&gt;1,"중복",""))</f>
        <v/>
      </c>
      <c r="H180" s="21">
        <f>IF(AND(A180="",B180="",C180="",D180=""),"",IF(AND(E180&lt;=3,F180&lt;=3,G180=""),1,0))</f>
        <v/>
      </c>
      <c r="I180" s="22">
        <f>IF(H180=0,IF(G180="중복","제외: 같은 이메일 중복 응답","제외: 3개 넘게 선택"),"")</f>
        <v/>
      </c>
    </row>
    <row r="181">
      <c r="A181" s="15" t="n"/>
      <c r="B181" s="15" t="n"/>
      <c r="C181" s="16" t="n"/>
      <c r="D181" s="16" t="n"/>
      <c r="E181" s="21">
        <f>IF(AND(A181="",B181="",C181="",D181=""),"",IF(TRIM(C181)="",0,LEN(C181)-LEN(SUBSTITUTE(C181,",",""))+1))</f>
        <v/>
      </c>
      <c r="F181" s="21">
        <f>IF(AND(A181="",B181="",C181="",D181=""),"",IF(TRIM(D181)="",0,LEN(D181)-LEN(SUBSTITUTE(D181,",",""))+1))</f>
        <v/>
      </c>
      <c r="G181" s="21">
        <f>IF(B181="","",IF(COUNTIF($B$6:B181,B181)&gt;1,"중복",""))</f>
        <v/>
      </c>
      <c r="H181" s="21">
        <f>IF(AND(A181="",B181="",C181="",D181=""),"",IF(AND(E181&lt;=3,F181&lt;=3,G181=""),1,0))</f>
        <v/>
      </c>
      <c r="I181" s="22">
        <f>IF(H181=0,IF(G181="중복","제외: 같은 이메일 중복 응답","제외: 3개 넘게 선택"),"")</f>
        <v/>
      </c>
    </row>
    <row r="182">
      <c r="A182" s="15" t="n"/>
      <c r="B182" s="15" t="n"/>
      <c r="C182" s="16" t="n"/>
      <c r="D182" s="16" t="n"/>
      <c r="E182" s="21">
        <f>IF(AND(A182="",B182="",C182="",D182=""),"",IF(TRIM(C182)="",0,LEN(C182)-LEN(SUBSTITUTE(C182,",",""))+1))</f>
        <v/>
      </c>
      <c r="F182" s="21">
        <f>IF(AND(A182="",B182="",C182="",D182=""),"",IF(TRIM(D182)="",0,LEN(D182)-LEN(SUBSTITUTE(D182,",",""))+1))</f>
        <v/>
      </c>
      <c r="G182" s="21">
        <f>IF(B182="","",IF(COUNTIF($B$6:B182,B182)&gt;1,"중복",""))</f>
        <v/>
      </c>
      <c r="H182" s="21">
        <f>IF(AND(A182="",B182="",C182="",D182=""),"",IF(AND(E182&lt;=3,F182&lt;=3,G182=""),1,0))</f>
        <v/>
      </c>
      <c r="I182" s="22">
        <f>IF(H182=0,IF(G182="중복","제외: 같은 이메일 중복 응답","제외: 3개 넘게 선택"),"")</f>
        <v/>
      </c>
    </row>
    <row r="183">
      <c r="A183" s="15" t="n"/>
      <c r="B183" s="15" t="n"/>
      <c r="C183" s="16" t="n"/>
      <c r="D183" s="16" t="n"/>
      <c r="E183" s="21">
        <f>IF(AND(A183="",B183="",C183="",D183=""),"",IF(TRIM(C183)="",0,LEN(C183)-LEN(SUBSTITUTE(C183,",",""))+1))</f>
        <v/>
      </c>
      <c r="F183" s="21">
        <f>IF(AND(A183="",B183="",C183="",D183=""),"",IF(TRIM(D183)="",0,LEN(D183)-LEN(SUBSTITUTE(D183,",",""))+1))</f>
        <v/>
      </c>
      <c r="G183" s="21">
        <f>IF(B183="","",IF(COUNTIF($B$6:B183,B183)&gt;1,"중복",""))</f>
        <v/>
      </c>
      <c r="H183" s="21">
        <f>IF(AND(A183="",B183="",C183="",D183=""),"",IF(AND(E183&lt;=3,F183&lt;=3,G183=""),1,0))</f>
        <v/>
      </c>
      <c r="I183" s="22">
        <f>IF(H183=0,IF(G183="중복","제외: 같은 이메일 중복 응답","제외: 3개 넘게 선택"),"")</f>
        <v/>
      </c>
    </row>
    <row r="184">
      <c r="A184" s="15" t="n"/>
      <c r="B184" s="15" t="n"/>
      <c r="C184" s="16" t="n"/>
      <c r="D184" s="16" t="n"/>
      <c r="E184" s="21">
        <f>IF(AND(A184="",B184="",C184="",D184=""),"",IF(TRIM(C184)="",0,LEN(C184)-LEN(SUBSTITUTE(C184,",",""))+1))</f>
        <v/>
      </c>
      <c r="F184" s="21">
        <f>IF(AND(A184="",B184="",C184="",D184=""),"",IF(TRIM(D184)="",0,LEN(D184)-LEN(SUBSTITUTE(D184,",",""))+1))</f>
        <v/>
      </c>
      <c r="G184" s="21">
        <f>IF(B184="","",IF(COUNTIF($B$6:B184,B184)&gt;1,"중복",""))</f>
        <v/>
      </c>
      <c r="H184" s="21">
        <f>IF(AND(A184="",B184="",C184="",D184=""),"",IF(AND(E184&lt;=3,F184&lt;=3,G184=""),1,0))</f>
        <v/>
      </c>
      <c r="I184" s="22">
        <f>IF(H184=0,IF(G184="중복","제외: 같은 이메일 중복 응답","제외: 3개 넘게 선택"),"")</f>
        <v/>
      </c>
    </row>
    <row r="185">
      <c r="A185" s="15" t="n"/>
      <c r="B185" s="15" t="n"/>
      <c r="C185" s="16" t="n"/>
      <c r="D185" s="16" t="n"/>
      <c r="E185" s="21">
        <f>IF(AND(A185="",B185="",C185="",D185=""),"",IF(TRIM(C185)="",0,LEN(C185)-LEN(SUBSTITUTE(C185,",",""))+1))</f>
        <v/>
      </c>
      <c r="F185" s="21">
        <f>IF(AND(A185="",B185="",C185="",D185=""),"",IF(TRIM(D185)="",0,LEN(D185)-LEN(SUBSTITUTE(D185,",",""))+1))</f>
        <v/>
      </c>
      <c r="G185" s="21">
        <f>IF(B185="","",IF(COUNTIF($B$6:B185,B185)&gt;1,"중복",""))</f>
        <v/>
      </c>
      <c r="H185" s="21">
        <f>IF(AND(A185="",B185="",C185="",D185=""),"",IF(AND(E185&lt;=3,F185&lt;=3,G185=""),1,0))</f>
        <v/>
      </c>
      <c r="I185" s="22">
        <f>IF(H185=0,IF(G185="중복","제외: 같은 이메일 중복 응답","제외: 3개 넘게 선택"),"")</f>
        <v/>
      </c>
    </row>
    <row r="186">
      <c r="A186" s="15" t="n"/>
      <c r="B186" s="15" t="n"/>
      <c r="C186" s="16" t="n"/>
      <c r="D186" s="16" t="n"/>
      <c r="E186" s="21">
        <f>IF(AND(A186="",B186="",C186="",D186=""),"",IF(TRIM(C186)="",0,LEN(C186)-LEN(SUBSTITUTE(C186,",",""))+1))</f>
        <v/>
      </c>
      <c r="F186" s="21">
        <f>IF(AND(A186="",B186="",C186="",D186=""),"",IF(TRIM(D186)="",0,LEN(D186)-LEN(SUBSTITUTE(D186,",",""))+1))</f>
        <v/>
      </c>
      <c r="G186" s="21">
        <f>IF(B186="","",IF(COUNTIF($B$6:B186,B186)&gt;1,"중복",""))</f>
        <v/>
      </c>
      <c r="H186" s="21">
        <f>IF(AND(A186="",B186="",C186="",D186=""),"",IF(AND(E186&lt;=3,F186&lt;=3,G186=""),1,0))</f>
        <v/>
      </c>
      <c r="I186" s="22">
        <f>IF(H186=0,IF(G186="중복","제외: 같은 이메일 중복 응답","제외: 3개 넘게 선택"),"")</f>
        <v/>
      </c>
    </row>
    <row r="187">
      <c r="A187" s="15" t="n"/>
      <c r="B187" s="15" t="n"/>
      <c r="C187" s="16" t="n"/>
      <c r="D187" s="16" t="n"/>
      <c r="E187" s="21">
        <f>IF(AND(A187="",B187="",C187="",D187=""),"",IF(TRIM(C187)="",0,LEN(C187)-LEN(SUBSTITUTE(C187,",",""))+1))</f>
        <v/>
      </c>
      <c r="F187" s="21">
        <f>IF(AND(A187="",B187="",C187="",D187=""),"",IF(TRIM(D187)="",0,LEN(D187)-LEN(SUBSTITUTE(D187,",",""))+1))</f>
        <v/>
      </c>
      <c r="G187" s="21">
        <f>IF(B187="","",IF(COUNTIF($B$6:B187,B187)&gt;1,"중복",""))</f>
        <v/>
      </c>
      <c r="H187" s="21">
        <f>IF(AND(A187="",B187="",C187="",D187=""),"",IF(AND(E187&lt;=3,F187&lt;=3,G187=""),1,0))</f>
        <v/>
      </c>
      <c r="I187" s="22">
        <f>IF(H187=0,IF(G187="중복","제외: 같은 이메일 중복 응답","제외: 3개 넘게 선택"),"")</f>
        <v/>
      </c>
    </row>
    <row r="188">
      <c r="A188" s="15" t="n"/>
      <c r="B188" s="15" t="n"/>
      <c r="C188" s="16" t="n"/>
      <c r="D188" s="16" t="n"/>
      <c r="E188" s="21">
        <f>IF(AND(A188="",B188="",C188="",D188=""),"",IF(TRIM(C188)="",0,LEN(C188)-LEN(SUBSTITUTE(C188,",",""))+1))</f>
        <v/>
      </c>
      <c r="F188" s="21">
        <f>IF(AND(A188="",B188="",C188="",D188=""),"",IF(TRIM(D188)="",0,LEN(D188)-LEN(SUBSTITUTE(D188,",",""))+1))</f>
        <v/>
      </c>
      <c r="G188" s="21">
        <f>IF(B188="","",IF(COUNTIF($B$6:B188,B188)&gt;1,"중복",""))</f>
        <v/>
      </c>
      <c r="H188" s="21">
        <f>IF(AND(A188="",B188="",C188="",D188=""),"",IF(AND(E188&lt;=3,F188&lt;=3,G188=""),1,0))</f>
        <v/>
      </c>
      <c r="I188" s="22">
        <f>IF(H188=0,IF(G188="중복","제외: 같은 이메일 중복 응답","제외: 3개 넘게 선택"),"")</f>
        <v/>
      </c>
    </row>
    <row r="189">
      <c r="A189" s="15" t="n"/>
      <c r="B189" s="15" t="n"/>
      <c r="C189" s="16" t="n"/>
      <c r="D189" s="16" t="n"/>
      <c r="E189" s="21">
        <f>IF(AND(A189="",B189="",C189="",D189=""),"",IF(TRIM(C189)="",0,LEN(C189)-LEN(SUBSTITUTE(C189,",",""))+1))</f>
        <v/>
      </c>
      <c r="F189" s="21">
        <f>IF(AND(A189="",B189="",C189="",D189=""),"",IF(TRIM(D189)="",0,LEN(D189)-LEN(SUBSTITUTE(D189,",",""))+1))</f>
        <v/>
      </c>
      <c r="G189" s="21">
        <f>IF(B189="","",IF(COUNTIF($B$6:B189,B189)&gt;1,"중복",""))</f>
        <v/>
      </c>
      <c r="H189" s="21">
        <f>IF(AND(A189="",B189="",C189="",D189=""),"",IF(AND(E189&lt;=3,F189&lt;=3,G189=""),1,0))</f>
        <v/>
      </c>
      <c r="I189" s="22">
        <f>IF(H189=0,IF(G189="중복","제외: 같은 이메일 중복 응답","제외: 3개 넘게 선택"),"")</f>
        <v/>
      </c>
    </row>
    <row r="190">
      <c r="A190" s="15" t="n"/>
      <c r="B190" s="15" t="n"/>
      <c r="C190" s="16" t="n"/>
      <c r="D190" s="16" t="n"/>
      <c r="E190" s="21">
        <f>IF(AND(A190="",B190="",C190="",D190=""),"",IF(TRIM(C190)="",0,LEN(C190)-LEN(SUBSTITUTE(C190,",",""))+1))</f>
        <v/>
      </c>
      <c r="F190" s="21">
        <f>IF(AND(A190="",B190="",C190="",D190=""),"",IF(TRIM(D190)="",0,LEN(D190)-LEN(SUBSTITUTE(D190,",",""))+1))</f>
        <v/>
      </c>
      <c r="G190" s="21">
        <f>IF(B190="","",IF(COUNTIF($B$6:B190,B190)&gt;1,"중복",""))</f>
        <v/>
      </c>
      <c r="H190" s="21">
        <f>IF(AND(A190="",B190="",C190="",D190=""),"",IF(AND(E190&lt;=3,F190&lt;=3,G190=""),1,0))</f>
        <v/>
      </c>
      <c r="I190" s="22">
        <f>IF(H190=0,IF(G190="중복","제외: 같은 이메일 중복 응답","제외: 3개 넘게 선택"),"")</f>
        <v/>
      </c>
    </row>
    <row r="191">
      <c r="A191" s="15" t="n"/>
      <c r="B191" s="15" t="n"/>
      <c r="C191" s="16" t="n"/>
      <c r="D191" s="16" t="n"/>
      <c r="E191" s="21">
        <f>IF(AND(A191="",B191="",C191="",D191=""),"",IF(TRIM(C191)="",0,LEN(C191)-LEN(SUBSTITUTE(C191,",",""))+1))</f>
        <v/>
      </c>
      <c r="F191" s="21">
        <f>IF(AND(A191="",B191="",C191="",D191=""),"",IF(TRIM(D191)="",0,LEN(D191)-LEN(SUBSTITUTE(D191,",",""))+1))</f>
        <v/>
      </c>
      <c r="G191" s="21">
        <f>IF(B191="","",IF(COUNTIF($B$6:B191,B191)&gt;1,"중복",""))</f>
        <v/>
      </c>
      <c r="H191" s="21">
        <f>IF(AND(A191="",B191="",C191="",D191=""),"",IF(AND(E191&lt;=3,F191&lt;=3,G191=""),1,0))</f>
        <v/>
      </c>
      <c r="I191" s="22">
        <f>IF(H191=0,IF(G191="중복","제외: 같은 이메일 중복 응답","제외: 3개 넘게 선택"),"")</f>
        <v/>
      </c>
    </row>
    <row r="192">
      <c r="A192" s="15" t="n"/>
      <c r="B192" s="15" t="n"/>
      <c r="C192" s="16" t="n"/>
      <c r="D192" s="16" t="n"/>
      <c r="E192" s="21">
        <f>IF(AND(A192="",B192="",C192="",D192=""),"",IF(TRIM(C192)="",0,LEN(C192)-LEN(SUBSTITUTE(C192,",",""))+1))</f>
        <v/>
      </c>
      <c r="F192" s="21">
        <f>IF(AND(A192="",B192="",C192="",D192=""),"",IF(TRIM(D192)="",0,LEN(D192)-LEN(SUBSTITUTE(D192,",",""))+1))</f>
        <v/>
      </c>
      <c r="G192" s="21">
        <f>IF(B192="","",IF(COUNTIF($B$6:B192,B192)&gt;1,"중복",""))</f>
        <v/>
      </c>
      <c r="H192" s="21">
        <f>IF(AND(A192="",B192="",C192="",D192=""),"",IF(AND(E192&lt;=3,F192&lt;=3,G192=""),1,0))</f>
        <v/>
      </c>
      <c r="I192" s="22">
        <f>IF(H192=0,IF(G192="중복","제외: 같은 이메일 중복 응답","제외: 3개 넘게 선택"),"")</f>
        <v/>
      </c>
    </row>
    <row r="193">
      <c r="A193" s="15" t="n"/>
      <c r="B193" s="15" t="n"/>
      <c r="C193" s="16" t="n"/>
      <c r="D193" s="16" t="n"/>
      <c r="E193" s="21">
        <f>IF(AND(A193="",B193="",C193="",D193=""),"",IF(TRIM(C193)="",0,LEN(C193)-LEN(SUBSTITUTE(C193,",",""))+1))</f>
        <v/>
      </c>
      <c r="F193" s="21">
        <f>IF(AND(A193="",B193="",C193="",D193=""),"",IF(TRIM(D193)="",0,LEN(D193)-LEN(SUBSTITUTE(D193,",",""))+1))</f>
        <v/>
      </c>
      <c r="G193" s="21">
        <f>IF(B193="","",IF(COUNTIF($B$6:B193,B193)&gt;1,"중복",""))</f>
        <v/>
      </c>
      <c r="H193" s="21">
        <f>IF(AND(A193="",B193="",C193="",D193=""),"",IF(AND(E193&lt;=3,F193&lt;=3,G193=""),1,0))</f>
        <v/>
      </c>
      <c r="I193" s="22">
        <f>IF(H193=0,IF(G193="중복","제외: 같은 이메일 중복 응답","제외: 3개 넘게 선택"),"")</f>
        <v/>
      </c>
    </row>
    <row r="194">
      <c r="A194" s="15" t="n"/>
      <c r="B194" s="15" t="n"/>
      <c r="C194" s="16" t="n"/>
      <c r="D194" s="16" t="n"/>
      <c r="E194" s="21">
        <f>IF(AND(A194="",B194="",C194="",D194=""),"",IF(TRIM(C194)="",0,LEN(C194)-LEN(SUBSTITUTE(C194,",",""))+1))</f>
        <v/>
      </c>
      <c r="F194" s="21">
        <f>IF(AND(A194="",B194="",C194="",D194=""),"",IF(TRIM(D194)="",0,LEN(D194)-LEN(SUBSTITUTE(D194,",",""))+1))</f>
        <v/>
      </c>
      <c r="G194" s="21">
        <f>IF(B194="","",IF(COUNTIF($B$6:B194,B194)&gt;1,"중복",""))</f>
        <v/>
      </c>
      <c r="H194" s="21">
        <f>IF(AND(A194="",B194="",C194="",D194=""),"",IF(AND(E194&lt;=3,F194&lt;=3,G194=""),1,0))</f>
        <v/>
      </c>
      <c r="I194" s="22">
        <f>IF(H194=0,IF(G194="중복","제외: 같은 이메일 중복 응답","제외: 3개 넘게 선택"),"")</f>
        <v/>
      </c>
    </row>
    <row r="195">
      <c r="A195" s="15" t="n"/>
      <c r="B195" s="15" t="n"/>
      <c r="C195" s="16" t="n"/>
      <c r="D195" s="16" t="n"/>
      <c r="E195" s="21">
        <f>IF(AND(A195="",B195="",C195="",D195=""),"",IF(TRIM(C195)="",0,LEN(C195)-LEN(SUBSTITUTE(C195,",",""))+1))</f>
        <v/>
      </c>
      <c r="F195" s="21">
        <f>IF(AND(A195="",B195="",C195="",D195=""),"",IF(TRIM(D195)="",0,LEN(D195)-LEN(SUBSTITUTE(D195,",",""))+1))</f>
        <v/>
      </c>
      <c r="G195" s="21">
        <f>IF(B195="","",IF(COUNTIF($B$6:B195,B195)&gt;1,"중복",""))</f>
        <v/>
      </c>
      <c r="H195" s="21">
        <f>IF(AND(A195="",B195="",C195="",D195=""),"",IF(AND(E195&lt;=3,F195&lt;=3,G195=""),1,0))</f>
        <v/>
      </c>
      <c r="I195" s="22">
        <f>IF(H195=0,IF(G195="중복","제외: 같은 이메일 중복 응답","제외: 3개 넘게 선택"),"")</f>
        <v/>
      </c>
    </row>
    <row r="196">
      <c r="A196" s="15" t="n"/>
      <c r="B196" s="15" t="n"/>
      <c r="C196" s="16" t="n"/>
      <c r="D196" s="16" t="n"/>
      <c r="E196" s="21">
        <f>IF(AND(A196="",B196="",C196="",D196=""),"",IF(TRIM(C196)="",0,LEN(C196)-LEN(SUBSTITUTE(C196,",",""))+1))</f>
        <v/>
      </c>
      <c r="F196" s="21">
        <f>IF(AND(A196="",B196="",C196="",D196=""),"",IF(TRIM(D196)="",0,LEN(D196)-LEN(SUBSTITUTE(D196,",",""))+1))</f>
        <v/>
      </c>
      <c r="G196" s="21">
        <f>IF(B196="","",IF(COUNTIF($B$6:B196,B196)&gt;1,"중복",""))</f>
        <v/>
      </c>
      <c r="H196" s="21">
        <f>IF(AND(A196="",B196="",C196="",D196=""),"",IF(AND(E196&lt;=3,F196&lt;=3,G196=""),1,0))</f>
        <v/>
      </c>
      <c r="I196" s="22">
        <f>IF(H196=0,IF(G196="중복","제외: 같은 이메일 중복 응답","제외: 3개 넘게 선택"),"")</f>
        <v/>
      </c>
    </row>
    <row r="197">
      <c r="A197" s="15" t="n"/>
      <c r="B197" s="15" t="n"/>
      <c r="C197" s="16" t="n"/>
      <c r="D197" s="16" t="n"/>
      <c r="E197" s="21">
        <f>IF(AND(A197="",B197="",C197="",D197=""),"",IF(TRIM(C197)="",0,LEN(C197)-LEN(SUBSTITUTE(C197,",",""))+1))</f>
        <v/>
      </c>
      <c r="F197" s="21">
        <f>IF(AND(A197="",B197="",C197="",D197=""),"",IF(TRIM(D197)="",0,LEN(D197)-LEN(SUBSTITUTE(D197,",",""))+1))</f>
        <v/>
      </c>
      <c r="G197" s="21">
        <f>IF(B197="","",IF(COUNTIF($B$6:B197,B197)&gt;1,"중복",""))</f>
        <v/>
      </c>
      <c r="H197" s="21">
        <f>IF(AND(A197="",B197="",C197="",D197=""),"",IF(AND(E197&lt;=3,F197&lt;=3,G197=""),1,0))</f>
        <v/>
      </c>
      <c r="I197" s="22">
        <f>IF(H197=0,IF(G197="중복","제외: 같은 이메일 중복 응답","제외: 3개 넘게 선택"),"")</f>
        <v/>
      </c>
    </row>
    <row r="198">
      <c r="A198" s="15" t="n"/>
      <c r="B198" s="15" t="n"/>
      <c r="C198" s="16" t="n"/>
      <c r="D198" s="16" t="n"/>
      <c r="E198" s="21">
        <f>IF(AND(A198="",B198="",C198="",D198=""),"",IF(TRIM(C198)="",0,LEN(C198)-LEN(SUBSTITUTE(C198,",",""))+1))</f>
        <v/>
      </c>
      <c r="F198" s="21">
        <f>IF(AND(A198="",B198="",C198="",D198=""),"",IF(TRIM(D198)="",0,LEN(D198)-LEN(SUBSTITUTE(D198,",",""))+1))</f>
        <v/>
      </c>
      <c r="G198" s="21">
        <f>IF(B198="","",IF(COUNTIF($B$6:B198,B198)&gt;1,"중복",""))</f>
        <v/>
      </c>
      <c r="H198" s="21">
        <f>IF(AND(A198="",B198="",C198="",D198=""),"",IF(AND(E198&lt;=3,F198&lt;=3,G198=""),1,0))</f>
        <v/>
      </c>
      <c r="I198" s="22">
        <f>IF(H198=0,IF(G198="중복","제외: 같은 이메일 중복 응답","제외: 3개 넘게 선택"),"")</f>
        <v/>
      </c>
    </row>
    <row r="199">
      <c r="A199" s="15" t="n"/>
      <c r="B199" s="15" t="n"/>
      <c r="C199" s="16" t="n"/>
      <c r="D199" s="16" t="n"/>
      <c r="E199" s="21">
        <f>IF(AND(A199="",B199="",C199="",D199=""),"",IF(TRIM(C199)="",0,LEN(C199)-LEN(SUBSTITUTE(C199,",",""))+1))</f>
        <v/>
      </c>
      <c r="F199" s="21">
        <f>IF(AND(A199="",B199="",C199="",D199=""),"",IF(TRIM(D199)="",0,LEN(D199)-LEN(SUBSTITUTE(D199,",",""))+1))</f>
        <v/>
      </c>
      <c r="G199" s="21">
        <f>IF(B199="","",IF(COUNTIF($B$6:B199,B199)&gt;1,"중복",""))</f>
        <v/>
      </c>
      <c r="H199" s="21">
        <f>IF(AND(A199="",B199="",C199="",D199=""),"",IF(AND(E199&lt;=3,F199&lt;=3,G199=""),1,0))</f>
        <v/>
      </c>
      <c r="I199" s="22">
        <f>IF(H199=0,IF(G199="중복","제외: 같은 이메일 중복 응답","제외: 3개 넘게 선택"),"")</f>
        <v/>
      </c>
    </row>
    <row r="200">
      <c r="A200" s="15" t="n"/>
      <c r="B200" s="15" t="n"/>
      <c r="C200" s="16" t="n"/>
      <c r="D200" s="16" t="n"/>
      <c r="E200" s="21">
        <f>IF(AND(A200="",B200="",C200="",D200=""),"",IF(TRIM(C200)="",0,LEN(C200)-LEN(SUBSTITUTE(C200,",",""))+1))</f>
        <v/>
      </c>
      <c r="F200" s="21">
        <f>IF(AND(A200="",B200="",C200="",D200=""),"",IF(TRIM(D200)="",0,LEN(D200)-LEN(SUBSTITUTE(D200,",",""))+1))</f>
        <v/>
      </c>
      <c r="G200" s="21">
        <f>IF(B200="","",IF(COUNTIF($B$6:B200,B200)&gt;1,"중복",""))</f>
        <v/>
      </c>
      <c r="H200" s="21">
        <f>IF(AND(A200="",B200="",C200="",D200=""),"",IF(AND(E200&lt;=3,F200&lt;=3,G200=""),1,0))</f>
        <v/>
      </c>
      <c r="I200" s="22">
        <f>IF(H200=0,IF(G200="중복","제외: 같은 이메일 중복 응답","제외: 3개 넘게 선택"),"")</f>
        <v/>
      </c>
    </row>
    <row r="201">
      <c r="A201" s="15" t="n"/>
      <c r="B201" s="15" t="n"/>
      <c r="C201" s="16" t="n"/>
      <c r="D201" s="16" t="n"/>
      <c r="E201" s="21">
        <f>IF(AND(A201="",B201="",C201="",D201=""),"",IF(TRIM(C201)="",0,LEN(C201)-LEN(SUBSTITUTE(C201,",",""))+1))</f>
        <v/>
      </c>
      <c r="F201" s="21">
        <f>IF(AND(A201="",B201="",C201="",D201=""),"",IF(TRIM(D201)="",0,LEN(D201)-LEN(SUBSTITUTE(D201,",",""))+1))</f>
        <v/>
      </c>
      <c r="G201" s="21">
        <f>IF(B201="","",IF(COUNTIF($B$6:B201,B201)&gt;1,"중복",""))</f>
        <v/>
      </c>
      <c r="H201" s="21">
        <f>IF(AND(A201="",B201="",C201="",D201=""),"",IF(AND(E201&lt;=3,F201&lt;=3,G201=""),1,0))</f>
        <v/>
      </c>
      <c r="I201" s="22">
        <f>IF(H201=0,IF(G201="중복","제외: 같은 이메일 중복 응답","제외: 3개 넘게 선택"),"")</f>
        <v/>
      </c>
    </row>
    <row r="202">
      <c r="A202" s="15" t="n"/>
      <c r="B202" s="15" t="n"/>
      <c r="C202" s="16" t="n"/>
      <c r="D202" s="16" t="n"/>
      <c r="E202" s="21">
        <f>IF(AND(A202="",B202="",C202="",D202=""),"",IF(TRIM(C202)="",0,LEN(C202)-LEN(SUBSTITUTE(C202,",",""))+1))</f>
        <v/>
      </c>
      <c r="F202" s="21">
        <f>IF(AND(A202="",B202="",C202="",D202=""),"",IF(TRIM(D202)="",0,LEN(D202)-LEN(SUBSTITUTE(D202,",",""))+1))</f>
        <v/>
      </c>
      <c r="G202" s="21">
        <f>IF(B202="","",IF(COUNTIF($B$6:B202,B202)&gt;1,"중복",""))</f>
        <v/>
      </c>
      <c r="H202" s="21">
        <f>IF(AND(A202="",B202="",C202="",D202=""),"",IF(AND(E202&lt;=3,F202&lt;=3,G202=""),1,0))</f>
        <v/>
      </c>
      <c r="I202" s="22">
        <f>IF(H202=0,IF(G202="중복","제외: 같은 이메일 중복 응답","제외: 3개 넘게 선택"),"")</f>
        <v/>
      </c>
    </row>
    <row r="203">
      <c r="A203" s="15" t="n"/>
      <c r="B203" s="15" t="n"/>
      <c r="C203" s="16" t="n"/>
      <c r="D203" s="16" t="n"/>
      <c r="E203" s="21">
        <f>IF(AND(A203="",B203="",C203="",D203=""),"",IF(TRIM(C203)="",0,LEN(C203)-LEN(SUBSTITUTE(C203,",",""))+1))</f>
        <v/>
      </c>
      <c r="F203" s="21">
        <f>IF(AND(A203="",B203="",C203="",D203=""),"",IF(TRIM(D203)="",0,LEN(D203)-LEN(SUBSTITUTE(D203,",",""))+1))</f>
        <v/>
      </c>
      <c r="G203" s="21">
        <f>IF(B203="","",IF(COUNTIF($B$6:B203,B203)&gt;1,"중복",""))</f>
        <v/>
      </c>
      <c r="H203" s="21">
        <f>IF(AND(A203="",B203="",C203="",D203=""),"",IF(AND(E203&lt;=3,F203&lt;=3,G203=""),1,0))</f>
        <v/>
      </c>
      <c r="I203" s="22">
        <f>IF(H203=0,IF(G203="중복","제외: 같은 이메일 중복 응답","제외: 3개 넘게 선택"),"")</f>
        <v/>
      </c>
    </row>
    <row r="204">
      <c r="A204" s="15" t="n"/>
      <c r="B204" s="15" t="n"/>
      <c r="C204" s="16" t="n"/>
      <c r="D204" s="16" t="n"/>
      <c r="E204" s="21">
        <f>IF(AND(A204="",B204="",C204="",D204=""),"",IF(TRIM(C204)="",0,LEN(C204)-LEN(SUBSTITUTE(C204,",",""))+1))</f>
        <v/>
      </c>
      <c r="F204" s="21">
        <f>IF(AND(A204="",B204="",C204="",D204=""),"",IF(TRIM(D204)="",0,LEN(D204)-LEN(SUBSTITUTE(D204,",",""))+1))</f>
        <v/>
      </c>
      <c r="G204" s="21">
        <f>IF(B204="","",IF(COUNTIF($B$6:B204,B204)&gt;1,"중복",""))</f>
        <v/>
      </c>
      <c r="H204" s="21">
        <f>IF(AND(A204="",B204="",C204="",D204=""),"",IF(AND(E204&lt;=3,F204&lt;=3,G204=""),1,0))</f>
        <v/>
      </c>
      <c r="I204" s="22">
        <f>IF(H204=0,IF(G204="중복","제외: 같은 이메일 중복 응답","제외: 3개 넘게 선택"),"")</f>
        <v/>
      </c>
    </row>
    <row r="205">
      <c r="A205" s="15" t="n"/>
      <c r="B205" s="15" t="n"/>
      <c r="C205" s="16" t="n"/>
      <c r="D205" s="16" t="n"/>
      <c r="E205" s="21">
        <f>IF(AND(A205="",B205="",C205="",D205=""),"",IF(TRIM(C205)="",0,LEN(C205)-LEN(SUBSTITUTE(C205,",",""))+1))</f>
        <v/>
      </c>
      <c r="F205" s="21">
        <f>IF(AND(A205="",B205="",C205="",D205=""),"",IF(TRIM(D205)="",0,LEN(D205)-LEN(SUBSTITUTE(D205,",",""))+1))</f>
        <v/>
      </c>
      <c r="G205" s="21">
        <f>IF(B205="","",IF(COUNTIF($B$6:B205,B205)&gt;1,"중복",""))</f>
        <v/>
      </c>
      <c r="H205" s="21">
        <f>IF(AND(A205="",B205="",C205="",D205=""),"",IF(AND(E205&lt;=3,F205&lt;=3,G205=""),1,0))</f>
        <v/>
      </c>
      <c r="I205" s="22">
        <f>IF(H205=0,IF(G205="중복","제외: 같은 이메일 중복 응답","제외: 3개 넘게 선택"),"")</f>
        <v/>
      </c>
    </row>
    <row r="206">
      <c r="A206" s="15" t="n"/>
      <c r="B206" s="15" t="n"/>
      <c r="C206" s="16" t="n"/>
      <c r="D206" s="16" t="n"/>
      <c r="E206" s="21">
        <f>IF(AND(A206="",B206="",C206="",D206=""),"",IF(TRIM(C206)="",0,LEN(C206)-LEN(SUBSTITUTE(C206,",",""))+1))</f>
        <v/>
      </c>
      <c r="F206" s="21">
        <f>IF(AND(A206="",B206="",C206="",D206=""),"",IF(TRIM(D206)="",0,LEN(D206)-LEN(SUBSTITUTE(D206,",",""))+1))</f>
        <v/>
      </c>
      <c r="G206" s="21">
        <f>IF(B206="","",IF(COUNTIF($B$6:B206,B206)&gt;1,"중복",""))</f>
        <v/>
      </c>
      <c r="H206" s="21">
        <f>IF(AND(A206="",B206="",C206="",D206=""),"",IF(AND(E206&lt;=3,F206&lt;=3,G206=""),1,0))</f>
        <v/>
      </c>
      <c r="I206" s="22">
        <f>IF(H206=0,IF(G206="중복","제외: 같은 이메일 중복 응답","제외: 3개 넘게 선택"),"")</f>
        <v/>
      </c>
    </row>
    <row r="207">
      <c r="A207" s="15" t="n"/>
      <c r="B207" s="15" t="n"/>
      <c r="C207" s="16" t="n"/>
      <c r="D207" s="16" t="n"/>
      <c r="E207" s="21">
        <f>IF(AND(A207="",B207="",C207="",D207=""),"",IF(TRIM(C207)="",0,LEN(C207)-LEN(SUBSTITUTE(C207,",",""))+1))</f>
        <v/>
      </c>
      <c r="F207" s="21">
        <f>IF(AND(A207="",B207="",C207="",D207=""),"",IF(TRIM(D207)="",0,LEN(D207)-LEN(SUBSTITUTE(D207,",",""))+1))</f>
        <v/>
      </c>
      <c r="G207" s="21">
        <f>IF(B207="","",IF(COUNTIF($B$6:B207,B207)&gt;1,"중복",""))</f>
        <v/>
      </c>
      <c r="H207" s="21">
        <f>IF(AND(A207="",B207="",C207="",D207=""),"",IF(AND(E207&lt;=3,F207&lt;=3,G207=""),1,0))</f>
        <v/>
      </c>
      <c r="I207" s="22">
        <f>IF(H207=0,IF(G207="중복","제외: 같은 이메일 중복 응답","제외: 3개 넘게 선택"),"")</f>
        <v/>
      </c>
    </row>
    <row r="208">
      <c r="A208" s="15" t="n"/>
      <c r="B208" s="15" t="n"/>
      <c r="C208" s="16" t="n"/>
      <c r="D208" s="16" t="n"/>
      <c r="E208" s="21">
        <f>IF(AND(A208="",B208="",C208="",D208=""),"",IF(TRIM(C208)="",0,LEN(C208)-LEN(SUBSTITUTE(C208,",",""))+1))</f>
        <v/>
      </c>
      <c r="F208" s="21">
        <f>IF(AND(A208="",B208="",C208="",D208=""),"",IF(TRIM(D208)="",0,LEN(D208)-LEN(SUBSTITUTE(D208,",",""))+1))</f>
        <v/>
      </c>
      <c r="G208" s="21">
        <f>IF(B208="","",IF(COUNTIF($B$6:B208,B208)&gt;1,"중복",""))</f>
        <v/>
      </c>
      <c r="H208" s="21">
        <f>IF(AND(A208="",B208="",C208="",D208=""),"",IF(AND(E208&lt;=3,F208&lt;=3,G208=""),1,0))</f>
        <v/>
      </c>
      <c r="I208" s="22">
        <f>IF(H208=0,IF(G208="중복","제외: 같은 이메일 중복 응답","제외: 3개 넘게 선택"),"")</f>
        <v/>
      </c>
    </row>
    <row r="209">
      <c r="A209" s="15" t="n"/>
      <c r="B209" s="15" t="n"/>
      <c r="C209" s="16" t="n"/>
      <c r="D209" s="16" t="n"/>
      <c r="E209" s="21">
        <f>IF(AND(A209="",B209="",C209="",D209=""),"",IF(TRIM(C209)="",0,LEN(C209)-LEN(SUBSTITUTE(C209,",",""))+1))</f>
        <v/>
      </c>
      <c r="F209" s="21">
        <f>IF(AND(A209="",B209="",C209="",D209=""),"",IF(TRIM(D209)="",0,LEN(D209)-LEN(SUBSTITUTE(D209,",",""))+1))</f>
        <v/>
      </c>
      <c r="G209" s="21">
        <f>IF(B209="","",IF(COUNTIF($B$6:B209,B209)&gt;1,"중복",""))</f>
        <v/>
      </c>
      <c r="H209" s="21">
        <f>IF(AND(A209="",B209="",C209="",D209=""),"",IF(AND(E209&lt;=3,F209&lt;=3,G209=""),1,0))</f>
        <v/>
      </c>
      <c r="I209" s="22">
        <f>IF(H209=0,IF(G209="중복","제외: 같은 이메일 중복 응답","제외: 3개 넘게 선택"),"")</f>
        <v/>
      </c>
    </row>
    <row r="210">
      <c r="A210" s="15" t="n"/>
      <c r="B210" s="15" t="n"/>
      <c r="C210" s="16" t="n"/>
      <c r="D210" s="16" t="n"/>
      <c r="E210" s="21">
        <f>IF(AND(A210="",B210="",C210="",D210=""),"",IF(TRIM(C210)="",0,LEN(C210)-LEN(SUBSTITUTE(C210,",",""))+1))</f>
        <v/>
      </c>
      <c r="F210" s="21">
        <f>IF(AND(A210="",B210="",C210="",D210=""),"",IF(TRIM(D210)="",0,LEN(D210)-LEN(SUBSTITUTE(D210,",",""))+1))</f>
        <v/>
      </c>
      <c r="G210" s="21">
        <f>IF(B210="","",IF(COUNTIF($B$6:B210,B210)&gt;1,"중복",""))</f>
        <v/>
      </c>
      <c r="H210" s="21">
        <f>IF(AND(A210="",B210="",C210="",D210=""),"",IF(AND(E210&lt;=3,F210&lt;=3,G210=""),1,0))</f>
        <v/>
      </c>
      <c r="I210" s="22">
        <f>IF(H210=0,IF(G210="중복","제외: 같은 이메일 중복 응답","제외: 3개 넘게 선택"),"")</f>
        <v/>
      </c>
    </row>
    <row r="211">
      <c r="A211" s="15" t="n"/>
      <c r="B211" s="15" t="n"/>
      <c r="C211" s="16" t="n"/>
      <c r="D211" s="16" t="n"/>
      <c r="E211" s="21">
        <f>IF(AND(A211="",B211="",C211="",D211=""),"",IF(TRIM(C211)="",0,LEN(C211)-LEN(SUBSTITUTE(C211,",",""))+1))</f>
        <v/>
      </c>
      <c r="F211" s="21">
        <f>IF(AND(A211="",B211="",C211="",D211=""),"",IF(TRIM(D211)="",0,LEN(D211)-LEN(SUBSTITUTE(D211,",",""))+1))</f>
        <v/>
      </c>
      <c r="G211" s="21">
        <f>IF(B211="","",IF(COUNTIF($B$6:B211,B211)&gt;1,"중복",""))</f>
        <v/>
      </c>
      <c r="H211" s="21">
        <f>IF(AND(A211="",B211="",C211="",D211=""),"",IF(AND(E211&lt;=3,F211&lt;=3,G211=""),1,0))</f>
        <v/>
      </c>
      <c r="I211" s="22">
        <f>IF(H211=0,IF(G211="중복","제외: 같은 이메일 중복 응답","제외: 3개 넘게 선택"),"")</f>
        <v/>
      </c>
    </row>
    <row r="212">
      <c r="A212" s="15" t="n"/>
      <c r="B212" s="15" t="n"/>
      <c r="C212" s="16" t="n"/>
      <c r="D212" s="16" t="n"/>
      <c r="E212" s="21">
        <f>IF(AND(A212="",B212="",C212="",D212=""),"",IF(TRIM(C212)="",0,LEN(C212)-LEN(SUBSTITUTE(C212,",",""))+1))</f>
        <v/>
      </c>
      <c r="F212" s="21">
        <f>IF(AND(A212="",B212="",C212="",D212=""),"",IF(TRIM(D212)="",0,LEN(D212)-LEN(SUBSTITUTE(D212,",",""))+1))</f>
        <v/>
      </c>
      <c r="G212" s="21">
        <f>IF(B212="","",IF(COUNTIF($B$6:B212,B212)&gt;1,"중복",""))</f>
        <v/>
      </c>
      <c r="H212" s="21">
        <f>IF(AND(A212="",B212="",C212="",D212=""),"",IF(AND(E212&lt;=3,F212&lt;=3,G212=""),1,0))</f>
        <v/>
      </c>
      <c r="I212" s="22">
        <f>IF(H212=0,IF(G212="중복","제외: 같은 이메일 중복 응답","제외: 3개 넘게 선택"),"")</f>
        <v/>
      </c>
    </row>
    <row r="213">
      <c r="A213" s="15" t="n"/>
      <c r="B213" s="15" t="n"/>
      <c r="C213" s="16" t="n"/>
      <c r="D213" s="16" t="n"/>
      <c r="E213" s="21">
        <f>IF(AND(A213="",B213="",C213="",D213=""),"",IF(TRIM(C213)="",0,LEN(C213)-LEN(SUBSTITUTE(C213,",",""))+1))</f>
        <v/>
      </c>
      <c r="F213" s="21">
        <f>IF(AND(A213="",B213="",C213="",D213=""),"",IF(TRIM(D213)="",0,LEN(D213)-LEN(SUBSTITUTE(D213,",",""))+1))</f>
        <v/>
      </c>
      <c r="G213" s="21">
        <f>IF(B213="","",IF(COUNTIF($B$6:B213,B213)&gt;1,"중복",""))</f>
        <v/>
      </c>
      <c r="H213" s="21">
        <f>IF(AND(A213="",B213="",C213="",D213=""),"",IF(AND(E213&lt;=3,F213&lt;=3,G213=""),1,0))</f>
        <v/>
      </c>
      <c r="I213" s="22">
        <f>IF(H213=0,IF(G213="중복","제외: 같은 이메일 중복 응답","제외: 3개 넘게 선택"),"")</f>
        <v/>
      </c>
    </row>
    <row r="214">
      <c r="A214" s="15" t="n"/>
      <c r="B214" s="15" t="n"/>
      <c r="C214" s="16" t="n"/>
      <c r="D214" s="16" t="n"/>
      <c r="E214" s="21">
        <f>IF(AND(A214="",B214="",C214="",D214=""),"",IF(TRIM(C214)="",0,LEN(C214)-LEN(SUBSTITUTE(C214,",",""))+1))</f>
        <v/>
      </c>
      <c r="F214" s="21">
        <f>IF(AND(A214="",B214="",C214="",D214=""),"",IF(TRIM(D214)="",0,LEN(D214)-LEN(SUBSTITUTE(D214,",",""))+1))</f>
        <v/>
      </c>
      <c r="G214" s="21">
        <f>IF(B214="","",IF(COUNTIF($B$6:B214,B214)&gt;1,"중복",""))</f>
        <v/>
      </c>
      <c r="H214" s="21">
        <f>IF(AND(A214="",B214="",C214="",D214=""),"",IF(AND(E214&lt;=3,F214&lt;=3,G214=""),1,0))</f>
        <v/>
      </c>
      <c r="I214" s="22">
        <f>IF(H214=0,IF(G214="중복","제외: 같은 이메일 중복 응답","제외: 3개 넘게 선택"),"")</f>
        <v/>
      </c>
    </row>
    <row r="215">
      <c r="A215" s="15" t="n"/>
      <c r="B215" s="15" t="n"/>
      <c r="C215" s="16" t="n"/>
      <c r="D215" s="16" t="n"/>
      <c r="E215" s="21">
        <f>IF(AND(A215="",B215="",C215="",D215=""),"",IF(TRIM(C215)="",0,LEN(C215)-LEN(SUBSTITUTE(C215,",",""))+1))</f>
        <v/>
      </c>
      <c r="F215" s="21">
        <f>IF(AND(A215="",B215="",C215="",D215=""),"",IF(TRIM(D215)="",0,LEN(D215)-LEN(SUBSTITUTE(D215,",",""))+1))</f>
        <v/>
      </c>
      <c r="G215" s="21">
        <f>IF(B215="","",IF(COUNTIF($B$6:B215,B215)&gt;1,"중복",""))</f>
        <v/>
      </c>
      <c r="H215" s="21">
        <f>IF(AND(A215="",B215="",C215="",D215=""),"",IF(AND(E215&lt;=3,F215&lt;=3,G215=""),1,0))</f>
        <v/>
      </c>
      <c r="I215" s="22">
        <f>IF(H215=0,IF(G215="중복","제외: 같은 이메일 중복 응답","제외: 3개 넘게 선택"),"")</f>
        <v/>
      </c>
    </row>
    <row r="216">
      <c r="A216" s="15" t="n"/>
      <c r="B216" s="15" t="n"/>
      <c r="C216" s="16" t="n"/>
      <c r="D216" s="16" t="n"/>
      <c r="E216" s="21">
        <f>IF(AND(A216="",B216="",C216="",D216=""),"",IF(TRIM(C216)="",0,LEN(C216)-LEN(SUBSTITUTE(C216,",",""))+1))</f>
        <v/>
      </c>
      <c r="F216" s="21">
        <f>IF(AND(A216="",B216="",C216="",D216=""),"",IF(TRIM(D216)="",0,LEN(D216)-LEN(SUBSTITUTE(D216,",",""))+1))</f>
        <v/>
      </c>
      <c r="G216" s="21">
        <f>IF(B216="","",IF(COUNTIF($B$6:B216,B216)&gt;1,"중복",""))</f>
        <v/>
      </c>
      <c r="H216" s="21">
        <f>IF(AND(A216="",B216="",C216="",D216=""),"",IF(AND(E216&lt;=3,F216&lt;=3,G216=""),1,0))</f>
        <v/>
      </c>
      <c r="I216" s="22">
        <f>IF(H216=0,IF(G216="중복","제외: 같은 이메일 중복 응답","제외: 3개 넘게 선택"),"")</f>
        <v/>
      </c>
    </row>
    <row r="217">
      <c r="A217" s="15" t="n"/>
      <c r="B217" s="15" t="n"/>
      <c r="C217" s="16" t="n"/>
      <c r="D217" s="16" t="n"/>
      <c r="E217" s="21">
        <f>IF(AND(A217="",B217="",C217="",D217=""),"",IF(TRIM(C217)="",0,LEN(C217)-LEN(SUBSTITUTE(C217,",",""))+1))</f>
        <v/>
      </c>
      <c r="F217" s="21">
        <f>IF(AND(A217="",B217="",C217="",D217=""),"",IF(TRIM(D217)="",0,LEN(D217)-LEN(SUBSTITUTE(D217,",",""))+1))</f>
        <v/>
      </c>
      <c r="G217" s="21">
        <f>IF(B217="","",IF(COUNTIF($B$6:B217,B217)&gt;1,"중복",""))</f>
        <v/>
      </c>
      <c r="H217" s="21">
        <f>IF(AND(A217="",B217="",C217="",D217=""),"",IF(AND(E217&lt;=3,F217&lt;=3,G217=""),1,0))</f>
        <v/>
      </c>
      <c r="I217" s="22">
        <f>IF(H217=0,IF(G217="중복","제외: 같은 이메일 중복 응답","제외: 3개 넘게 선택"),"")</f>
        <v/>
      </c>
    </row>
    <row r="218">
      <c r="A218" s="15" t="n"/>
      <c r="B218" s="15" t="n"/>
      <c r="C218" s="16" t="n"/>
      <c r="D218" s="16" t="n"/>
      <c r="E218" s="21">
        <f>IF(AND(A218="",B218="",C218="",D218=""),"",IF(TRIM(C218)="",0,LEN(C218)-LEN(SUBSTITUTE(C218,",",""))+1))</f>
        <v/>
      </c>
      <c r="F218" s="21">
        <f>IF(AND(A218="",B218="",C218="",D218=""),"",IF(TRIM(D218)="",0,LEN(D218)-LEN(SUBSTITUTE(D218,",",""))+1))</f>
        <v/>
      </c>
      <c r="G218" s="21">
        <f>IF(B218="","",IF(COUNTIF($B$6:B218,B218)&gt;1,"중복",""))</f>
        <v/>
      </c>
      <c r="H218" s="21">
        <f>IF(AND(A218="",B218="",C218="",D218=""),"",IF(AND(E218&lt;=3,F218&lt;=3,G218=""),1,0))</f>
        <v/>
      </c>
      <c r="I218" s="22">
        <f>IF(H218=0,IF(G218="중복","제외: 같은 이메일 중복 응답","제외: 3개 넘게 선택"),"")</f>
        <v/>
      </c>
    </row>
    <row r="219">
      <c r="A219" s="15" t="n"/>
      <c r="B219" s="15" t="n"/>
      <c r="C219" s="16" t="n"/>
      <c r="D219" s="16" t="n"/>
      <c r="E219" s="21">
        <f>IF(AND(A219="",B219="",C219="",D219=""),"",IF(TRIM(C219)="",0,LEN(C219)-LEN(SUBSTITUTE(C219,",",""))+1))</f>
        <v/>
      </c>
      <c r="F219" s="21">
        <f>IF(AND(A219="",B219="",C219="",D219=""),"",IF(TRIM(D219)="",0,LEN(D219)-LEN(SUBSTITUTE(D219,",",""))+1))</f>
        <v/>
      </c>
      <c r="G219" s="21">
        <f>IF(B219="","",IF(COUNTIF($B$6:B219,B219)&gt;1,"중복",""))</f>
        <v/>
      </c>
      <c r="H219" s="21">
        <f>IF(AND(A219="",B219="",C219="",D219=""),"",IF(AND(E219&lt;=3,F219&lt;=3,G219=""),1,0))</f>
        <v/>
      </c>
      <c r="I219" s="22">
        <f>IF(H219=0,IF(G219="중복","제외: 같은 이메일 중복 응답","제외: 3개 넘게 선택"),"")</f>
        <v/>
      </c>
    </row>
    <row r="220">
      <c r="A220" s="15" t="n"/>
      <c r="B220" s="15" t="n"/>
      <c r="C220" s="16" t="n"/>
      <c r="D220" s="16" t="n"/>
      <c r="E220" s="21">
        <f>IF(AND(A220="",B220="",C220="",D220=""),"",IF(TRIM(C220)="",0,LEN(C220)-LEN(SUBSTITUTE(C220,",",""))+1))</f>
        <v/>
      </c>
      <c r="F220" s="21">
        <f>IF(AND(A220="",B220="",C220="",D220=""),"",IF(TRIM(D220)="",0,LEN(D220)-LEN(SUBSTITUTE(D220,",",""))+1))</f>
        <v/>
      </c>
      <c r="G220" s="21">
        <f>IF(B220="","",IF(COUNTIF($B$6:B220,B220)&gt;1,"중복",""))</f>
        <v/>
      </c>
      <c r="H220" s="21">
        <f>IF(AND(A220="",B220="",C220="",D220=""),"",IF(AND(E220&lt;=3,F220&lt;=3,G220=""),1,0))</f>
        <v/>
      </c>
      <c r="I220" s="22">
        <f>IF(H220=0,IF(G220="중복","제외: 같은 이메일 중복 응답","제외: 3개 넘게 선택"),"")</f>
        <v/>
      </c>
    </row>
    <row r="221">
      <c r="A221" s="15" t="n"/>
      <c r="B221" s="15" t="n"/>
      <c r="C221" s="16" t="n"/>
      <c r="D221" s="16" t="n"/>
      <c r="E221" s="21">
        <f>IF(AND(A221="",B221="",C221="",D221=""),"",IF(TRIM(C221)="",0,LEN(C221)-LEN(SUBSTITUTE(C221,",",""))+1))</f>
        <v/>
      </c>
      <c r="F221" s="21">
        <f>IF(AND(A221="",B221="",C221="",D221=""),"",IF(TRIM(D221)="",0,LEN(D221)-LEN(SUBSTITUTE(D221,",",""))+1))</f>
        <v/>
      </c>
      <c r="G221" s="21">
        <f>IF(B221="","",IF(COUNTIF($B$6:B221,B221)&gt;1,"중복",""))</f>
        <v/>
      </c>
      <c r="H221" s="21">
        <f>IF(AND(A221="",B221="",C221="",D221=""),"",IF(AND(E221&lt;=3,F221&lt;=3,G221=""),1,0))</f>
        <v/>
      </c>
      <c r="I221" s="22">
        <f>IF(H221=0,IF(G221="중복","제외: 같은 이메일 중복 응답","제외: 3개 넘게 선택"),"")</f>
        <v/>
      </c>
    </row>
    <row r="222">
      <c r="A222" s="15" t="n"/>
      <c r="B222" s="15" t="n"/>
      <c r="C222" s="16" t="n"/>
      <c r="D222" s="16" t="n"/>
      <c r="E222" s="21">
        <f>IF(AND(A222="",B222="",C222="",D222=""),"",IF(TRIM(C222)="",0,LEN(C222)-LEN(SUBSTITUTE(C222,",",""))+1))</f>
        <v/>
      </c>
      <c r="F222" s="21">
        <f>IF(AND(A222="",B222="",C222="",D222=""),"",IF(TRIM(D222)="",0,LEN(D222)-LEN(SUBSTITUTE(D222,",",""))+1))</f>
        <v/>
      </c>
      <c r="G222" s="21">
        <f>IF(B222="","",IF(COUNTIF($B$6:B222,B222)&gt;1,"중복",""))</f>
        <v/>
      </c>
      <c r="H222" s="21">
        <f>IF(AND(A222="",B222="",C222="",D222=""),"",IF(AND(E222&lt;=3,F222&lt;=3,G222=""),1,0))</f>
        <v/>
      </c>
      <c r="I222" s="22">
        <f>IF(H222=0,IF(G222="중복","제외: 같은 이메일 중복 응답","제외: 3개 넘게 선택"),"")</f>
        <v/>
      </c>
    </row>
    <row r="223">
      <c r="A223" s="15" t="n"/>
      <c r="B223" s="15" t="n"/>
      <c r="C223" s="16" t="n"/>
      <c r="D223" s="16" t="n"/>
      <c r="E223" s="21">
        <f>IF(AND(A223="",B223="",C223="",D223=""),"",IF(TRIM(C223)="",0,LEN(C223)-LEN(SUBSTITUTE(C223,",",""))+1))</f>
        <v/>
      </c>
      <c r="F223" s="21">
        <f>IF(AND(A223="",B223="",C223="",D223=""),"",IF(TRIM(D223)="",0,LEN(D223)-LEN(SUBSTITUTE(D223,",",""))+1))</f>
        <v/>
      </c>
      <c r="G223" s="21">
        <f>IF(B223="","",IF(COUNTIF($B$6:B223,B223)&gt;1,"중복",""))</f>
        <v/>
      </c>
      <c r="H223" s="21">
        <f>IF(AND(A223="",B223="",C223="",D223=""),"",IF(AND(E223&lt;=3,F223&lt;=3,G223=""),1,0))</f>
        <v/>
      </c>
      <c r="I223" s="22">
        <f>IF(H223=0,IF(G223="중복","제외: 같은 이메일 중복 응답","제외: 3개 넘게 선택"),"")</f>
        <v/>
      </c>
    </row>
    <row r="224">
      <c r="A224" s="15" t="n"/>
      <c r="B224" s="15" t="n"/>
      <c r="C224" s="16" t="n"/>
      <c r="D224" s="16" t="n"/>
      <c r="E224" s="21">
        <f>IF(AND(A224="",B224="",C224="",D224=""),"",IF(TRIM(C224)="",0,LEN(C224)-LEN(SUBSTITUTE(C224,",",""))+1))</f>
        <v/>
      </c>
      <c r="F224" s="21">
        <f>IF(AND(A224="",B224="",C224="",D224=""),"",IF(TRIM(D224)="",0,LEN(D224)-LEN(SUBSTITUTE(D224,",",""))+1))</f>
        <v/>
      </c>
      <c r="G224" s="21">
        <f>IF(B224="","",IF(COUNTIF($B$6:B224,B224)&gt;1,"중복",""))</f>
        <v/>
      </c>
      <c r="H224" s="21">
        <f>IF(AND(A224="",B224="",C224="",D224=""),"",IF(AND(E224&lt;=3,F224&lt;=3,G224=""),1,0))</f>
        <v/>
      </c>
      <c r="I224" s="22">
        <f>IF(H224=0,IF(G224="중복","제외: 같은 이메일 중복 응답","제외: 3개 넘게 선택"),"")</f>
        <v/>
      </c>
    </row>
    <row r="225">
      <c r="A225" s="15" t="n"/>
      <c r="B225" s="15" t="n"/>
      <c r="C225" s="16" t="n"/>
      <c r="D225" s="16" t="n"/>
      <c r="E225" s="21">
        <f>IF(AND(A225="",B225="",C225="",D225=""),"",IF(TRIM(C225)="",0,LEN(C225)-LEN(SUBSTITUTE(C225,",",""))+1))</f>
        <v/>
      </c>
      <c r="F225" s="21">
        <f>IF(AND(A225="",B225="",C225="",D225=""),"",IF(TRIM(D225)="",0,LEN(D225)-LEN(SUBSTITUTE(D225,",",""))+1))</f>
        <v/>
      </c>
      <c r="G225" s="21">
        <f>IF(B225="","",IF(COUNTIF($B$6:B225,B225)&gt;1,"중복",""))</f>
        <v/>
      </c>
      <c r="H225" s="21">
        <f>IF(AND(A225="",B225="",C225="",D225=""),"",IF(AND(E225&lt;=3,F225&lt;=3,G225=""),1,0))</f>
        <v/>
      </c>
      <c r="I225" s="22">
        <f>IF(H225=0,IF(G225="중복","제외: 같은 이메일 중복 응답","제외: 3개 넘게 선택"),"")</f>
        <v/>
      </c>
    </row>
    <row r="226">
      <c r="A226" s="15" t="n"/>
      <c r="B226" s="15" t="n"/>
      <c r="C226" s="16" t="n"/>
      <c r="D226" s="16" t="n"/>
      <c r="E226" s="21">
        <f>IF(AND(A226="",B226="",C226="",D226=""),"",IF(TRIM(C226)="",0,LEN(C226)-LEN(SUBSTITUTE(C226,",",""))+1))</f>
        <v/>
      </c>
      <c r="F226" s="21">
        <f>IF(AND(A226="",B226="",C226="",D226=""),"",IF(TRIM(D226)="",0,LEN(D226)-LEN(SUBSTITUTE(D226,",",""))+1))</f>
        <v/>
      </c>
      <c r="G226" s="21">
        <f>IF(B226="","",IF(COUNTIF($B$6:B226,B226)&gt;1,"중복",""))</f>
        <v/>
      </c>
      <c r="H226" s="21">
        <f>IF(AND(A226="",B226="",C226="",D226=""),"",IF(AND(E226&lt;=3,F226&lt;=3,G226=""),1,0))</f>
        <v/>
      </c>
      <c r="I226" s="22">
        <f>IF(H226=0,IF(G226="중복","제외: 같은 이메일 중복 응답","제외: 3개 넘게 선택"),"")</f>
        <v/>
      </c>
    </row>
    <row r="227">
      <c r="A227" s="15" t="n"/>
      <c r="B227" s="15" t="n"/>
      <c r="C227" s="16" t="n"/>
      <c r="D227" s="16" t="n"/>
      <c r="E227" s="21">
        <f>IF(AND(A227="",B227="",C227="",D227=""),"",IF(TRIM(C227)="",0,LEN(C227)-LEN(SUBSTITUTE(C227,",",""))+1))</f>
        <v/>
      </c>
      <c r="F227" s="21">
        <f>IF(AND(A227="",B227="",C227="",D227=""),"",IF(TRIM(D227)="",0,LEN(D227)-LEN(SUBSTITUTE(D227,",",""))+1))</f>
        <v/>
      </c>
      <c r="G227" s="21">
        <f>IF(B227="","",IF(COUNTIF($B$6:B227,B227)&gt;1,"중복",""))</f>
        <v/>
      </c>
      <c r="H227" s="21">
        <f>IF(AND(A227="",B227="",C227="",D227=""),"",IF(AND(E227&lt;=3,F227&lt;=3,G227=""),1,0))</f>
        <v/>
      </c>
      <c r="I227" s="22">
        <f>IF(H227=0,IF(G227="중복","제외: 같은 이메일 중복 응답","제외: 3개 넘게 선택"),"")</f>
        <v/>
      </c>
    </row>
    <row r="228">
      <c r="A228" s="15" t="n"/>
      <c r="B228" s="15" t="n"/>
      <c r="C228" s="16" t="n"/>
      <c r="D228" s="16" t="n"/>
      <c r="E228" s="21">
        <f>IF(AND(A228="",B228="",C228="",D228=""),"",IF(TRIM(C228)="",0,LEN(C228)-LEN(SUBSTITUTE(C228,",",""))+1))</f>
        <v/>
      </c>
      <c r="F228" s="21">
        <f>IF(AND(A228="",B228="",C228="",D228=""),"",IF(TRIM(D228)="",0,LEN(D228)-LEN(SUBSTITUTE(D228,",",""))+1))</f>
        <v/>
      </c>
      <c r="G228" s="21">
        <f>IF(B228="","",IF(COUNTIF($B$6:B228,B228)&gt;1,"중복",""))</f>
        <v/>
      </c>
      <c r="H228" s="21">
        <f>IF(AND(A228="",B228="",C228="",D228=""),"",IF(AND(E228&lt;=3,F228&lt;=3,G228=""),1,0))</f>
        <v/>
      </c>
      <c r="I228" s="22">
        <f>IF(H228=0,IF(G228="중복","제외: 같은 이메일 중복 응답","제외: 3개 넘게 선택"),"")</f>
        <v/>
      </c>
    </row>
    <row r="229">
      <c r="A229" s="15" t="n"/>
      <c r="B229" s="15" t="n"/>
      <c r="C229" s="16" t="n"/>
      <c r="D229" s="16" t="n"/>
      <c r="E229" s="21">
        <f>IF(AND(A229="",B229="",C229="",D229=""),"",IF(TRIM(C229)="",0,LEN(C229)-LEN(SUBSTITUTE(C229,",",""))+1))</f>
        <v/>
      </c>
      <c r="F229" s="21">
        <f>IF(AND(A229="",B229="",C229="",D229=""),"",IF(TRIM(D229)="",0,LEN(D229)-LEN(SUBSTITUTE(D229,",",""))+1))</f>
        <v/>
      </c>
      <c r="G229" s="21">
        <f>IF(B229="","",IF(COUNTIF($B$6:B229,B229)&gt;1,"중복",""))</f>
        <v/>
      </c>
      <c r="H229" s="21">
        <f>IF(AND(A229="",B229="",C229="",D229=""),"",IF(AND(E229&lt;=3,F229&lt;=3,G229=""),1,0))</f>
        <v/>
      </c>
      <c r="I229" s="22">
        <f>IF(H229=0,IF(G229="중복","제외: 같은 이메일 중복 응답","제외: 3개 넘게 선택"),"")</f>
        <v/>
      </c>
    </row>
    <row r="230">
      <c r="A230" s="15" t="n"/>
      <c r="B230" s="15" t="n"/>
      <c r="C230" s="16" t="n"/>
      <c r="D230" s="16" t="n"/>
      <c r="E230" s="21">
        <f>IF(AND(A230="",B230="",C230="",D230=""),"",IF(TRIM(C230)="",0,LEN(C230)-LEN(SUBSTITUTE(C230,",",""))+1))</f>
        <v/>
      </c>
      <c r="F230" s="21">
        <f>IF(AND(A230="",B230="",C230="",D230=""),"",IF(TRIM(D230)="",0,LEN(D230)-LEN(SUBSTITUTE(D230,",",""))+1))</f>
        <v/>
      </c>
      <c r="G230" s="21">
        <f>IF(B230="","",IF(COUNTIF($B$6:B230,B230)&gt;1,"중복",""))</f>
        <v/>
      </c>
      <c r="H230" s="21">
        <f>IF(AND(A230="",B230="",C230="",D230=""),"",IF(AND(E230&lt;=3,F230&lt;=3,G230=""),1,0))</f>
        <v/>
      </c>
      <c r="I230" s="22">
        <f>IF(H230=0,IF(G230="중복","제외: 같은 이메일 중복 응답","제외: 3개 넘게 선택"),"")</f>
        <v/>
      </c>
    </row>
    <row r="231">
      <c r="A231" s="15" t="n"/>
      <c r="B231" s="15" t="n"/>
      <c r="C231" s="16" t="n"/>
      <c r="D231" s="16" t="n"/>
      <c r="E231" s="21">
        <f>IF(AND(A231="",B231="",C231="",D231=""),"",IF(TRIM(C231)="",0,LEN(C231)-LEN(SUBSTITUTE(C231,",",""))+1))</f>
        <v/>
      </c>
      <c r="F231" s="21">
        <f>IF(AND(A231="",B231="",C231="",D231=""),"",IF(TRIM(D231)="",0,LEN(D231)-LEN(SUBSTITUTE(D231,",",""))+1))</f>
        <v/>
      </c>
      <c r="G231" s="21">
        <f>IF(B231="","",IF(COUNTIF($B$6:B231,B231)&gt;1,"중복",""))</f>
        <v/>
      </c>
      <c r="H231" s="21">
        <f>IF(AND(A231="",B231="",C231="",D231=""),"",IF(AND(E231&lt;=3,F231&lt;=3,G231=""),1,0))</f>
        <v/>
      </c>
      <c r="I231" s="22">
        <f>IF(H231=0,IF(G231="중복","제외: 같은 이메일 중복 응답","제외: 3개 넘게 선택"),"")</f>
        <v/>
      </c>
    </row>
    <row r="232">
      <c r="A232" s="15" t="n"/>
      <c r="B232" s="15" t="n"/>
      <c r="C232" s="16" t="n"/>
      <c r="D232" s="16" t="n"/>
      <c r="E232" s="21">
        <f>IF(AND(A232="",B232="",C232="",D232=""),"",IF(TRIM(C232)="",0,LEN(C232)-LEN(SUBSTITUTE(C232,",",""))+1))</f>
        <v/>
      </c>
      <c r="F232" s="21">
        <f>IF(AND(A232="",B232="",C232="",D232=""),"",IF(TRIM(D232)="",0,LEN(D232)-LEN(SUBSTITUTE(D232,",",""))+1))</f>
        <v/>
      </c>
      <c r="G232" s="21">
        <f>IF(B232="","",IF(COUNTIF($B$6:B232,B232)&gt;1,"중복",""))</f>
        <v/>
      </c>
      <c r="H232" s="21">
        <f>IF(AND(A232="",B232="",C232="",D232=""),"",IF(AND(E232&lt;=3,F232&lt;=3,G232=""),1,0))</f>
        <v/>
      </c>
      <c r="I232" s="22">
        <f>IF(H232=0,IF(G232="중복","제외: 같은 이메일 중복 응답","제외: 3개 넘게 선택"),"")</f>
        <v/>
      </c>
    </row>
    <row r="233">
      <c r="A233" s="15" t="n"/>
      <c r="B233" s="15" t="n"/>
      <c r="C233" s="16" t="n"/>
      <c r="D233" s="16" t="n"/>
      <c r="E233" s="21">
        <f>IF(AND(A233="",B233="",C233="",D233=""),"",IF(TRIM(C233)="",0,LEN(C233)-LEN(SUBSTITUTE(C233,",",""))+1))</f>
        <v/>
      </c>
      <c r="F233" s="21">
        <f>IF(AND(A233="",B233="",C233="",D233=""),"",IF(TRIM(D233)="",0,LEN(D233)-LEN(SUBSTITUTE(D233,",",""))+1))</f>
        <v/>
      </c>
      <c r="G233" s="21">
        <f>IF(B233="","",IF(COUNTIF($B$6:B233,B233)&gt;1,"중복",""))</f>
        <v/>
      </c>
      <c r="H233" s="21">
        <f>IF(AND(A233="",B233="",C233="",D233=""),"",IF(AND(E233&lt;=3,F233&lt;=3,G233=""),1,0))</f>
        <v/>
      </c>
      <c r="I233" s="22">
        <f>IF(H233=0,IF(G233="중복","제외: 같은 이메일 중복 응답","제외: 3개 넘게 선택"),"")</f>
        <v/>
      </c>
    </row>
    <row r="234">
      <c r="A234" s="15" t="n"/>
      <c r="B234" s="15" t="n"/>
      <c r="C234" s="16" t="n"/>
      <c r="D234" s="16" t="n"/>
      <c r="E234" s="21">
        <f>IF(AND(A234="",B234="",C234="",D234=""),"",IF(TRIM(C234)="",0,LEN(C234)-LEN(SUBSTITUTE(C234,",",""))+1))</f>
        <v/>
      </c>
      <c r="F234" s="21">
        <f>IF(AND(A234="",B234="",C234="",D234=""),"",IF(TRIM(D234)="",0,LEN(D234)-LEN(SUBSTITUTE(D234,",",""))+1))</f>
        <v/>
      </c>
      <c r="G234" s="21">
        <f>IF(B234="","",IF(COUNTIF($B$6:B234,B234)&gt;1,"중복",""))</f>
        <v/>
      </c>
      <c r="H234" s="21">
        <f>IF(AND(A234="",B234="",C234="",D234=""),"",IF(AND(E234&lt;=3,F234&lt;=3,G234=""),1,0))</f>
        <v/>
      </c>
      <c r="I234" s="22">
        <f>IF(H234=0,IF(G234="중복","제외: 같은 이메일 중복 응답","제외: 3개 넘게 선택"),"")</f>
        <v/>
      </c>
    </row>
    <row r="235">
      <c r="A235" s="15" t="n"/>
      <c r="B235" s="15" t="n"/>
      <c r="C235" s="16" t="n"/>
      <c r="D235" s="16" t="n"/>
      <c r="E235" s="21">
        <f>IF(AND(A235="",B235="",C235="",D235=""),"",IF(TRIM(C235)="",0,LEN(C235)-LEN(SUBSTITUTE(C235,",",""))+1))</f>
        <v/>
      </c>
      <c r="F235" s="21">
        <f>IF(AND(A235="",B235="",C235="",D235=""),"",IF(TRIM(D235)="",0,LEN(D235)-LEN(SUBSTITUTE(D235,",",""))+1))</f>
        <v/>
      </c>
      <c r="G235" s="21">
        <f>IF(B235="","",IF(COUNTIF($B$6:B235,B235)&gt;1,"중복",""))</f>
        <v/>
      </c>
      <c r="H235" s="21">
        <f>IF(AND(A235="",B235="",C235="",D235=""),"",IF(AND(E235&lt;=3,F235&lt;=3,G235=""),1,0))</f>
        <v/>
      </c>
      <c r="I235" s="22">
        <f>IF(H235=0,IF(G235="중복","제외: 같은 이메일 중복 응답","제외: 3개 넘게 선택"),"")</f>
        <v/>
      </c>
    </row>
    <row r="236">
      <c r="A236" s="15" t="n"/>
      <c r="B236" s="15" t="n"/>
      <c r="C236" s="16" t="n"/>
      <c r="D236" s="16" t="n"/>
      <c r="E236" s="21">
        <f>IF(AND(A236="",B236="",C236="",D236=""),"",IF(TRIM(C236)="",0,LEN(C236)-LEN(SUBSTITUTE(C236,",",""))+1))</f>
        <v/>
      </c>
      <c r="F236" s="21">
        <f>IF(AND(A236="",B236="",C236="",D236=""),"",IF(TRIM(D236)="",0,LEN(D236)-LEN(SUBSTITUTE(D236,",",""))+1))</f>
        <v/>
      </c>
      <c r="G236" s="21">
        <f>IF(B236="","",IF(COUNTIF($B$6:B236,B236)&gt;1,"중복",""))</f>
        <v/>
      </c>
      <c r="H236" s="21">
        <f>IF(AND(A236="",B236="",C236="",D236=""),"",IF(AND(E236&lt;=3,F236&lt;=3,G236=""),1,0))</f>
        <v/>
      </c>
      <c r="I236" s="22">
        <f>IF(H236=0,IF(G236="중복","제외: 같은 이메일 중복 응답","제외: 3개 넘게 선택"),"")</f>
        <v/>
      </c>
    </row>
    <row r="237">
      <c r="A237" s="15" t="n"/>
      <c r="B237" s="15" t="n"/>
      <c r="C237" s="16" t="n"/>
      <c r="D237" s="16" t="n"/>
      <c r="E237" s="21">
        <f>IF(AND(A237="",B237="",C237="",D237=""),"",IF(TRIM(C237)="",0,LEN(C237)-LEN(SUBSTITUTE(C237,",",""))+1))</f>
        <v/>
      </c>
      <c r="F237" s="21">
        <f>IF(AND(A237="",B237="",C237="",D237=""),"",IF(TRIM(D237)="",0,LEN(D237)-LEN(SUBSTITUTE(D237,",",""))+1))</f>
        <v/>
      </c>
      <c r="G237" s="21">
        <f>IF(B237="","",IF(COUNTIF($B$6:B237,B237)&gt;1,"중복",""))</f>
        <v/>
      </c>
      <c r="H237" s="21">
        <f>IF(AND(A237="",B237="",C237="",D237=""),"",IF(AND(E237&lt;=3,F237&lt;=3,G237=""),1,0))</f>
        <v/>
      </c>
      <c r="I237" s="22">
        <f>IF(H237=0,IF(G237="중복","제외: 같은 이메일 중복 응답","제외: 3개 넘게 선택"),"")</f>
        <v/>
      </c>
    </row>
    <row r="238">
      <c r="A238" s="15" t="n"/>
      <c r="B238" s="15" t="n"/>
      <c r="C238" s="16" t="n"/>
      <c r="D238" s="16" t="n"/>
      <c r="E238" s="21">
        <f>IF(AND(A238="",B238="",C238="",D238=""),"",IF(TRIM(C238)="",0,LEN(C238)-LEN(SUBSTITUTE(C238,",",""))+1))</f>
        <v/>
      </c>
      <c r="F238" s="21">
        <f>IF(AND(A238="",B238="",C238="",D238=""),"",IF(TRIM(D238)="",0,LEN(D238)-LEN(SUBSTITUTE(D238,",",""))+1))</f>
        <v/>
      </c>
      <c r="G238" s="21">
        <f>IF(B238="","",IF(COUNTIF($B$6:B238,B238)&gt;1,"중복",""))</f>
        <v/>
      </c>
      <c r="H238" s="21">
        <f>IF(AND(A238="",B238="",C238="",D238=""),"",IF(AND(E238&lt;=3,F238&lt;=3,G238=""),1,0))</f>
        <v/>
      </c>
      <c r="I238" s="22">
        <f>IF(H238=0,IF(G238="중복","제외: 같은 이메일 중복 응답","제외: 3개 넘게 선택"),"")</f>
        <v/>
      </c>
    </row>
    <row r="239">
      <c r="A239" s="15" t="n"/>
      <c r="B239" s="15" t="n"/>
      <c r="C239" s="16" t="n"/>
      <c r="D239" s="16" t="n"/>
      <c r="E239" s="21">
        <f>IF(AND(A239="",B239="",C239="",D239=""),"",IF(TRIM(C239)="",0,LEN(C239)-LEN(SUBSTITUTE(C239,",",""))+1))</f>
        <v/>
      </c>
      <c r="F239" s="21">
        <f>IF(AND(A239="",B239="",C239="",D239=""),"",IF(TRIM(D239)="",0,LEN(D239)-LEN(SUBSTITUTE(D239,",",""))+1))</f>
        <v/>
      </c>
      <c r="G239" s="21">
        <f>IF(B239="","",IF(COUNTIF($B$6:B239,B239)&gt;1,"중복",""))</f>
        <v/>
      </c>
      <c r="H239" s="21">
        <f>IF(AND(A239="",B239="",C239="",D239=""),"",IF(AND(E239&lt;=3,F239&lt;=3,G239=""),1,0))</f>
        <v/>
      </c>
      <c r="I239" s="22">
        <f>IF(H239=0,IF(G239="중복","제외: 같은 이메일 중복 응답","제외: 3개 넘게 선택"),"")</f>
        <v/>
      </c>
    </row>
    <row r="240">
      <c r="A240" s="15" t="n"/>
      <c r="B240" s="15" t="n"/>
      <c r="C240" s="16" t="n"/>
      <c r="D240" s="16" t="n"/>
      <c r="E240" s="21">
        <f>IF(AND(A240="",B240="",C240="",D240=""),"",IF(TRIM(C240)="",0,LEN(C240)-LEN(SUBSTITUTE(C240,",",""))+1))</f>
        <v/>
      </c>
      <c r="F240" s="21">
        <f>IF(AND(A240="",B240="",C240="",D240=""),"",IF(TRIM(D240)="",0,LEN(D240)-LEN(SUBSTITUTE(D240,",",""))+1))</f>
        <v/>
      </c>
      <c r="G240" s="21">
        <f>IF(B240="","",IF(COUNTIF($B$6:B240,B240)&gt;1,"중복",""))</f>
        <v/>
      </c>
      <c r="H240" s="21">
        <f>IF(AND(A240="",B240="",C240="",D240=""),"",IF(AND(E240&lt;=3,F240&lt;=3,G240=""),1,0))</f>
        <v/>
      </c>
      <c r="I240" s="22">
        <f>IF(H240=0,IF(G240="중복","제외: 같은 이메일 중복 응답","제외: 3개 넘게 선택"),"")</f>
        <v/>
      </c>
    </row>
    <row r="241">
      <c r="A241" s="15" t="n"/>
      <c r="B241" s="15" t="n"/>
      <c r="C241" s="16" t="n"/>
      <c r="D241" s="16" t="n"/>
      <c r="E241" s="21">
        <f>IF(AND(A241="",B241="",C241="",D241=""),"",IF(TRIM(C241)="",0,LEN(C241)-LEN(SUBSTITUTE(C241,",",""))+1))</f>
        <v/>
      </c>
      <c r="F241" s="21">
        <f>IF(AND(A241="",B241="",C241="",D241=""),"",IF(TRIM(D241)="",0,LEN(D241)-LEN(SUBSTITUTE(D241,",",""))+1))</f>
        <v/>
      </c>
      <c r="G241" s="21">
        <f>IF(B241="","",IF(COUNTIF($B$6:B241,B241)&gt;1,"중복",""))</f>
        <v/>
      </c>
      <c r="H241" s="21">
        <f>IF(AND(A241="",B241="",C241="",D241=""),"",IF(AND(E241&lt;=3,F241&lt;=3,G241=""),1,0))</f>
        <v/>
      </c>
      <c r="I241" s="22">
        <f>IF(H241=0,IF(G241="중복","제외: 같은 이메일 중복 응답","제외: 3개 넘게 선택"),"")</f>
        <v/>
      </c>
    </row>
    <row r="242">
      <c r="A242" s="15" t="n"/>
      <c r="B242" s="15" t="n"/>
      <c r="C242" s="16" t="n"/>
      <c r="D242" s="16" t="n"/>
      <c r="E242" s="21">
        <f>IF(AND(A242="",B242="",C242="",D242=""),"",IF(TRIM(C242)="",0,LEN(C242)-LEN(SUBSTITUTE(C242,",",""))+1))</f>
        <v/>
      </c>
      <c r="F242" s="21">
        <f>IF(AND(A242="",B242="",C242="",D242=""),"",IF(TRIM(D242)="",0,LEN(D242)-LEN(SUBSTITUTE(D242,",",""))+1))</f>
        <v/>
      </c>
      <c r="G242" s="21">
        <f>IF(B242="","",IF(COUNTIF($B$6:B242,B242)&gt;1,"중복",""))</f>
        <v/>
      </c>
      <c r="H242" s="21">
        <f>IF(AND(A242="",B242="",C242="",D242=""),"",IF(AND(E242&lt;=3,F242&lt;=3,G242=""),1,0))</f>
        <v/>
      </c>
      <c r="I242" s="22">
        <f>IF(H242=0,IF(G242="중복","제외: 같은 이메일 중복 응답","제외: 3개 넘게 선택"),"")</f>
        <v/>
      </c>
    </row>
    <row r="243">
      <c r="A243" s="15" t="n"/>
      <c r="B243" s="15" t="n"/>
      <c r="C243" s="16" t="n"/>
      <c r="D243" s="16" t="n"/>
      <c r="E243" s="21">
        <f>IF(AND(A243="",B243="",C243="",D243=""),"",IF(TRIM(C243)="",0,LEN(C243)-LEN(SUBSTITUTE(C243,",",""))+1))</f>
        <v/>
      </c>
      <c r="F243" s="21">
        <f>IF(AND(A243="",B243="",C243="",D243=""),"",IF(TRIM(D243)="",0,LEN(D243)-LEN(SUBSTITUTE(D243,",",""))+1))</f>
        <v/>
      </c>
      <c r="G243" s="21">
        <f>IF(B243="","",IF(COUNTIF($B$6:B243,B243)&gt;1,"중복",""))</f>
        <v/>
      </c>
      <c r="H243" s="21">
        <f>IF(AND(A243="",B243="",C243="",D243=""),"",IF(AND(E243&lt;=3,F243&lt;=3,G243=""),1,0))</f>
        <v/>
      </c>
      <c r="I243" s="22">
        <f>IF(H243=0,IF(G243="중복","제외: 같은 이메일 중복 응답","제외: 3개 넘게 선택"),"")</f>
        <v/>
      </c>
    </row>
    <row r="244">
      <c r="A244" s="15" t="n"/>
      <c r="B244" s="15" t="n"/>
      <c r="C244" s="16" t="n"/>
      <c r="D244" s="16" t="n"/>
      <c r="E244" s="21">
        <f>IF(AND(A244="",B244="",C244="",D244=""),"",IF(TRIM(C244)="",0,LEN(C244)-LEN(SUBSTITUTE(C244,",",""))+1))</f>
        <v/>
      </c>
      <c r="F244" s="21">
        <f>IF(AND(A244="",B244="",C244="",D244=""),"",IF(TRIM(D244)="",0,LEN(D244)-LEN(SUBSTITUTE(D244,",",""))+1))</f>
        <v/>
      </c>
      <c r="G244" s="21">
        <f>IF(B244="","",IF(COUNTIF($B$6:B244,B244)&gt;1,"중복",""))</f>
        <v/>
      </c>
      <c r="H244" s="21">
        <f>IF(AND(A244="",B244="",C244="",D244=""),"",IF(AND(E244&lt;=3,F244&lt;=3,G244=""),1,0))</f>
        <v/>
      </c>
      <c r="I244" s="22">
        <f>IF(H244=0,IF(G244="중복","제외: 같은 이메일 중복 응답","제외: 3개 넘게 선택"),"")</f>
        <v/>
      </c>
    </row>
    <row r="245">
      <c r="A245" s="15" t="n"/>
      <c r="B245" s="15" t="n"/>
      <c r="C245" s="16" t="n"/>
      <c r="D245" s="16" t="n"/>
      <c r="E245" s="21">
        <f>IF(AND(A245="",B245="",C245="",D245=""),"",IF(TRIM(C245)="",0,LEN(C245)-LEN(SUBSTITUTE(C245,",",""))+1))</f>
        <v/>
      </c>
      <c r="F245" s="21">
        <f>IF(AND(A245="",B245="",C245="",D245=""),"",IF(TRIM(D245)="",0,LEN(D245)-LEN(SUBSTITUTE(D245,",",""))+1))</f>
        <v/>
      </c>
      <c r="G245" s="21">
        <f>IF(B245="","",IF(COUNTIF($B$6:B245,B245)&gt;1,"중복",""))</f>
        <v/>
      </c>
      <c r="H245" s="21">
        <f>IF(AND(A245="",B245="",C245="",D245=""),"",IF(AND(E245&lt;=3,F245&lt;=3,G245=""),1,0))</f>
        <v/>
      </c>
      <c r="I245" s="22">
        <f>IF(H245=0,IF(G245="중복","제외: 같은 이메일 중복 응답","제외: 3개 넘게 선택"),"")</f>
        <v/>
      </c>
    </row>
    <row r="246">
      <c r="A246" s="15" t="n"/>
      <c r="B246" s="15" t="n"/>
      <c r="C246" s="16" t="n"/>
      <c r="D246" s="16" t="n"/>
      <c r="E246" s="21">
        <f>IF(AND(A246="",B246="",C246="",D246=""),"",IF(TRIM(C246)="",0,LEN(C246)-LEN(SUBSTITUTE(C246,",",""))+1))</f>
        <v/>
      </c>
      <c r="F246" s="21">
        <f>IF(AND(A246="",B246="",C246="",D246=""),"",IF(TRIM(D246)="",0,LEN(D246)-LEN(SUBSTITUTE(D246,",",""))+1))</f>
        <v/>
      </c>
      <c r="G246" s="21">
        <f>IF(B246="","",IF(COUNTIF($B$6:B246,B246)&gt;1,"중복",""))</f>
        <v/>
      </c>
      <c r="H246" s="21">
        <f>IF(AND(A246="",B246="",C246="",D246=""),"",IF(AND(E246&lt;=3,F246&lt;=3,G246=""),1,0))</f>
        <v/>
      </c>
      <c r="I246" s="22">
        <f>IF(H246=0,IF(G246="중복","제외: 같은 이메일 중복 응답","제외: 3개 넘게 선택"),"")</f>
        <v/>
      </c>
    </row>
    <row r="247">
      <c r="A247" s="15" t="n"/>
      <c r="B247" s="15" t="n"/>
      <c r="C247" s="16" t="n"/>
      <c r="D247" s="16" t="n"/>
      <c r="E247" s="21">
        <f>IF(AND(A247="",B247="",C247="",D247=""),"",IF(TRIM(C247)="",0,LEN(C247)-LEN(SUBSTITUTE(C247,",",""))+1))</f>
        <v/>
      </c>
      <c r="F247" s="21">
        <f>IF(AND(A247="",B247="",C247="",D247=""),"",IF(TRIM(D247)="",0,LEN(D247)-LEN(SUBSTITUTE(D247,",",""))+1))</f>
        <v/>
      </c>
      <c r="G247" s="21">
        <f>IF(B247="","",IF(COUNTIF($B$6:B247,B247)&gt;1,"중복",""))</f>
        <v/>
      </c>
      <c r="H247" s="21">
        <f>IF(AND(A247="",B247="",C247="",D247=""),"",IF(AND(E247&lt;=3,F247&lt;=3,G247=""),1,0))</f>
        <v/>
      </c>
      <c r="I247" s="22">
        <f>IF(H247=0,IF(G247="중복","제외: 같은 이메일 중복 응답","제외: 3개 넘게 선택"),"")</f>
        <v/>
      </c>
    </row>
    <row r="248">
      <c r="A248" s="15" t="n"/>
      <c r="B248" s="15" t="n"/>
      <c r="C248" s="16" t="n"/>
      <c r="D248" s="16" t="n"/>
      <c r="E248" s="21">
        <f>IF(AND(A248="",B248="",C248="",D248=""),"",IF(TRIM(C248)="",0,LEN(C248)-LEN(SUBSTITUTE(C248,",",""))+1))</f>
        <v/>
      </c>
      <c r="F248" s="21">
        <f>IF(AND(A248="",B248="",C248="",D248=""),"",IF(TRIM(D248)="",0,LEN(D248)-LEN(SUBSTITUTE(D248,",",""))+1))</f>
        <v/>
      </c>
      <c r="G248" s="21">
        <f>IF(B248="","",IF(COUNTIF($B$6:B248,B248)&gt;1,"중복",""))</f>
        <v/>
      </c>
      <c r="H248" s="21">
        <f>IF(AND(A248="",B248="",C248="",D248=""),"",IF(AND(E248&lt;=3,F248&lt;=3,G248=""),1,0))</f>
        <v/>
      </c>
      <c r="I248" s="22">
        <f>IF(H248=0,IF(G248="중복","제외: 같은 이메일 중복 응답","제외: 3개 넘게 선택"),"")</f>
        <v/>
      </c>
    </row>
    <row r="249">
      <c r="A249" s="15" t="n"/>
      <c r="B249" s="15" t="n"/>
      <c r="C249" s="16" t="n"/>
      <c r="D249" s="16" t="n"/>
      <c r="E249" s="21">
        <f>IF(AND(A249="",B249="",C249="",D249=""),"",IF(TRIM(C249)="",0,LEN(C249)-LEN(SUBSTITUTE(C249,",",""))+1))</f>
        <v/>
      </c>
      <c r="F249" s="21">
        <f>IF(AND(A249="",B249="",C249="",D249=""),"",IF(TRIM(D249)="",0,LEN(D249)-LEN(SUBSTITUTE(D249,",",""))+1))</f>
        <v/>
      </c>
      <c r="G249" s="21">
        <f>IF(B249="","",IF(COUNTIF($B$6:B249,B249)&gt;1,"중복",""))</f>
        <v/>
      </c>
      <c r="H249" s="21">
        <f>IF(AND(A249="",B249="",C249="",D249=""),"",IF(AND(E249&lt;=3,F249&lt;=3,G249=""),1,0))</f>
        <v/>
      </c>
      <c r="I249" s="22">
        <f>IF(H249=0,IF(G249="중복","제외: 같은 이메일 중복 응답","제외: 3개 넘게 선택"),"")</f>
        <v/>
      </c>
    </row>
    <row r="250">
      <c r="A250" s="15" t="n"/>
      <c r="B250" s="15" t="n"/>
      <c r="C250" s="16" t="n"/>
      <c r="D250" s="16" t="n"/>
      <c r="E250" s="21">
        <f>IF(AND(A250="",B250="",C250="",D250=""),"",IF(TRIM(C250)="",0,LEN(C250)-LEN(SUBSTITUTE(C250,",",""))+1))</f>
        <v/>
      </c>
      <c r="F250" s="21">
        <f>IF(AND(A250="",B250="",C250="",D250=""),"",IF(TRIM(D250)="",0,LEN(D250)-LEN(SUBSTITUTE(D250,",",""))+1))</f>
        <v/>
      </c>
      <c r="G250" s="21">
        <f>IF(B250="","",IF(COUNTIF($B$6:B250,B250)&gt;1,"중복",""))</f>
        <v/>
      </c>
      <c r="H250" s="21">
        <f>IF(AND(A250="",B250="",C250="",D250=""),"",IF(AND(E250&lt;=3,F250&lt;=3,G250=""),1,0))</f>
        <v/>
      </c>
      <c r="I250" s="22">
        <f>IF(H250=0,IF(G250="중복","제외: 같은 이메일 중복 응답","제외: 3개 넘게 선택"),"")</f>
        <v/>
      </c>
    </row>
    <row r="251">
      <c r="A251" s="15" t="n"/>
      <c r="B251" s="15" t="n"/>
      <c r="C251" s="16" t="n"/>
      <c r="D251" s="16" t="n"/>
      <c r="E251" s="21">
        <f>IF(AND(A251="",B251="",C251="",D251=""),"",IF(TRIM(C251)="",0,LEN(C251)-LEN(SUBSTITUTE(C251,",",""))+1))</f>
        <v/>
      </c>
      <c r="F251" s="21">
        <f>IF(AND(A251="",B251="",C251="",D251=""),"",IF(TRIM(D251)="",0,LEN(D251)-LEN(SUBSTITUTE(D251,",",""))+1))</f>
        <v/>
      </c>
      <c r="G251" s="21">
        <f>IF(B251="","",IF(COUNTIF($B$6:B251,B251)&gt;1,"중복",""))</f>
        <v/>
      </c>
      <c r="H251" s="21">
        <f>IF(AND(A251="",B251="",C251="",D251=""),"",IF(AND(E251&lt;=3,F251&lt;=3,G251=""),1,0))</f>
        <v/>
      </c>
      <c r="I251" s="22">
        <f>IF(H251=0,IF(G251="중복","제외: 같은 이메일 중복 응답","제외: 3개 넘게 선택"),"")</f>
        <v/>
      </c>
    </row>
    <row r="252">
      <c r="A252" s="15" t="n"/>
      <c r="B252" s="15" t="n"/>
      <c r="C252" s="16" t="n"/>
      <c r="D252" s="16" t="n"/>
      <c r="E252" s="21">
        <f>IF(AND(A252="",B252="",C252="",D252=""),"",IF(TRIM(C252)="",0,LEN(C252)-LEN(SUBSTITUTE(C252,",",""))+1))</f>
        <v/>
      </c>
      <c r="F252" s="21">
        <f>IF(AND(A252="",B252="",C252="",D252=""),"",IF(TRIM(D252)="",0,LEN(D252)-LEN(SUBSTITUTE(D252,",",""))+1))</f>
        <v/>
      </c>
      <c r="G252" s="21">
        <f>IF(B252="","",IF(COUNTIF($B$6:B252,B252)&gt;1,"중복",""))</f>
        <v/>
      </c>
      <c r="H252" s="21">
        <f>IF(AND(A252="",B252="",C252="",D252=""),"",IF(AND(E252&lt;=3,F252&lt;=3,G252=""),1,0))</f>
        <v/>
      </c>
      <c r="I252" s="22">
        <f>IF(H252=0,IF(G252="중복","제외: 같은 이메일 중복 응답","제외: 3개 넘게 선택"),"")</f>
        <v/>
      </c>
    </row>
    <row r="253">
      <c r="A253" s="15" t="n"/>
      <c r="B253" s="15" t="n"/>
      <c r="C253" s="16" t="n"/>
      <c r="D253" s="16" t="n"/>
      <c r="E253" s="21">
        <f>IF(AND(A253="",B253="",C253="",D253=""),"",IF(TRIM(C253)="",0,LEN(C253)-LEN(SUBSTITUTE(C253,",",""))+1))</f>
        <v/>
      </c>
      <c r="F253" s="21">
        <f>IF(AND(A253="",B253="",C253="",D253=""),"",IF(TRIM(D253)="",0,LEN(D253)-LEN(SUBSTITUTE(D253,",",""))+1))</f>
        <v/>
      </c>
      <c r="G253" s="21">
        <f>IF(B253="","",IF(COUNTIF($B$6:B253,B253)&gt;1,"중복",""))</f>
        <v/>
      </c>
      <c r="H253" s="21">
        <f>IF(AND(A253="",B253="",C253="",D253=""),"",IF(AND(E253&lt;=3,F253&lt;=3,G253=""),1,0))</f>
        <v/>
      </c>
      <c r="I253" s="22">
        <f>IF(H253=0,IF(G253="중복","제외: 같은 이메일 중복 응답","제외: 3개 넘게 선택"),"")</f>
        <v/>
      </c>
    </row>
    <row r="254">
      <c r="A254" s="15" t="n"/>
      <c r="B254" s="15" t="n"/>
      <c r="C254" s="16" t="n"/>
      <c r="D254" s="16" t="n"/>
      <c r="E254" s="21">
        <f>IF(AND(A254="",B254="",C254="",D254=""),"",IF(TRIM(C254)="",0,LEN(C254)-LEN(SUBSTITUTE(C254,",",""))+1))</f>
        <v/>
      </c>
      <c r="F254" s="21">
        <f>IF(AND(A254="",B254="",C254="",D254=""),"",IF(TRIM(D254)="",0,LEN(D254)-LEN(SUBSTITUTE(D254,",",""))+1))</f>
        <v/>
      </c>
      <c r="G254" s="21">
        <f>IF(B254="","",IF(COUNTIF($B$6:B254,B254)&gt;1,"중복",""))</f>
        <v/>
      </c>
      <c r="H254" s="21">
        <f>IF(AND(A254="",B254="",C254="",D254=""),"",IF(AND(E254&lt;=3,F254&lt;=3,G254=""),1,0))</f>
        <v/>
      </c>
      <c r="I254" s="22">
        <f>IF(H254=0,IF(G254="중복","제외: 같은 이메일 중복 응답","제외: 3개 넘게 선택"),"")</f>
        <v/>
      </c>
    </row>
    <row r="255">
      <c r="A255" s="15" t="n"/>
      <c r="B255" s="15" t="n"/>
      <c r="C255" s="16" t="n"/>
      <c r="D255" s="16" t="n"/>
      <c r="E255" s="21">
        <f>IF(AND(A255="",B255="",C255="",D255=""),"",IF(TRIM(C255)="",0,LEN(C255)-LEN(SUBSTITUTE(C255,",",""))+1))</f>
        <v/>
      </c>
      <c r="F255" s="21">
        <f>IF(AND(A255="",B255="",C255="",D255=""),"",IF(TRIM(D255)="",0,LEN(D255)-LEN(SUBSTITUTE(D255,",",""))+1))</f>
        <v/>
      </c>
      <c r="G255" s="21">
        <f>IF(B255="","",IF(COUNTIF($B$6:B255,B255)&gt;1,"중복",""))</f>
        <v/>
      </c>
      <c r="H255" s="21">
        <f>IF(AND(A255="",B255="",C255="",D255=""),"",IF(AND(E255&lt;=3,F255&lt;=3,G255=""),1,0))</f>
        <v/>
      </c>
      <c r="I255" s="22">
        <f>IF(H255=0,IF(G255="중복","제외: 같은 이메일 중복 응답","제외: 3개 넘게 선택"),"")</f>
        <v/>
      </c>
    </row>
    <row r="256">
      <c r="A256" s="15" t="n"/>
      <c r="B256" s="15" t="n"/>
      <c r="C256" s="16" t="n"/>
      <c r="D256" s="16" t="n"/>
      <c r="E256" s="21">
        <f>IF(AND(A256="",B256="",C256="",D256=""),"",IF(TRIM(C256)="",0,LEN(C256)-LEN(SUBSTITUTE(C256,",",""))+1))</f>
        <v/>
      </c>
      <c r="F256" s="21">
        <f>IF(AND(A256="",B256="",C256="",D256=""),"",IF(TRIM(D256)="",0,LEN(D256)-LEN(SUBSTITUTE(D256,",",""))+1))</f>
        <v/>
      </c>
      <c r="G256" s="21">
        <f>IF(B256="","",IF(COUNTIF($B$6:B256,B256)&gt;1,"중복",""))</f>
        <v/>
      </c>
      <c r="H256" s="21">
        <f>IF(AND(A256="",B256="",C256="",D256=""),"",IF(AND(E256&lt;=3,F256&lt;=3,G256=""),1,0))</f>
        <v/>
      </c>
      <c r="I256" s="22">
        <f>IF(H256=0,IF(G256="중복","제외: 같은 이메일 중복 응답","제외: 3개 넘게 선택"),"")</f>
        <v/>
      </c>
    </row>
    <row r="257">
      <c r="A257" s="15" t="n"/>
      <c r="B257" s="15" t="n"/>
      <c r="C257" s="16" t="n"/>
      <c r="D257" s="16" t="n"/>
      <c r="E257" s="21">
        <f>IF(AND(A257="",B257="",C257="",D257=""),"",IF(TRIM(C257)="",0,LEN(C257)-LEN(SUBSTITUTE(C257,",",""))+1))</f>
        <v/>
      </c>
      <c r="F257" s="21">
        <f>IF(AND(A257="",B257="",C257="",D257=""),"",IF(TRIM(D257)="",0,LEN(D257)-LEN(SUBSTITUTE(D257,",",""))+1))</f>
        <v/>
      </c>
      <c r="G257" s="21">
        <f>IF(B257="","",IF(COUNTIF($B$6:B257,B257)&gt;1,"중복",""))</f>
        <v/>
      </c>
      <c r="H257" s="21">
        <f>IF(AND(A257="",B257="",C257="",D257=""),"",IF(AND(E257&lt;=3,F257&lt;=3,G257=""),1,0))</f>
        <v/>
      </c>
      <c r="I257" s="22">
        <f>IF(H257=0,IF(G257="중복","제외: 같은 이메일 중복 응답","제외: 3개 넘게 선택"),"")</f>
        <v/>
      </c>
    </row>
    <row r="258">
      <c r="A258" s="15" t="n"/>
      <c r="B258" s="15" t="n"/>
      <c r="C258" s="16" t="n"/>
      <c r="D258" s="16" t="n"/>
      <c r="E258" s="21">
        <f>IF(AND(A258="",B258="",C258="",D258=""),"",IF(TRIM(C258)="",0,LEN(C258)-LEN(SUBSTITUTE(C258,",",""))+1))</f>
        <v/>
      </c>
      <c r="F258" s="21">
        <f>IF(AND(A258="",B258="",C258="",D258=""),"",IF(TRIM(D258)="",0,LEN(D258)-LEN(SUBSTITUTE(D258,",",""))+1))</f>
        <v/>
      </c>
      <c r="G258" s="21">
        <f>IF(B258="","",IF(COUNTIF($B$6:B258,B258)&gt;1,"중복",""))</f>
        <v/>
      </c>
      <c r="H258" s="21">
        <f>IF(AND(A258="",B258="",C258="",D258=""),"",IF(AND(E258&lt;=3,F258&lt;=3,G258=""),1,0))</f>
        <v/>
      </c>
      <c r="I258" s="22">
        <f>IF(H258=0,IF(G258="중복","제외: 같은 이메일 중복 응답","제외: 3개 넘게 선택"),"")</f>
        <v/>
      </c>
    </row>
    <row r="259">
      <c r="A259" s="15" t="n"/>
      <c r="B259" s="15" t="n"/>
      <c r="C259" s="16" t="n"/>
      <c r="D259" s="16" t="n"/>
      <c r="E259" s="21">
        <f>IF(AND(A259="",B259="",C259="",D259=""),"",IF(TRIM(C259)="",0,LEN(C259)-LEN(SUBSTITUTE(C259,",",""))+1))</f>
        <v/>
      </c>
      <c r="F259" s="21">
        <f>IF(AND(A259="",B259="",C259="",D259=""),"",IF(TRIM(D259)="",0,LEN(D259)-LEN(SUBSTITUTE(D259,",",""))+1))</f>
        <v/>
      </c>
      <c r="G259" s="21">
        <f>IF(B259="","",IF(COUNTIF($B$6:B259,B259)&gt;1,"중복",""))</f>
        <v/>
      </c>
      <c r="H259" s="21">
        <f>IF(AND(A259="",B259="",C259="",D259=""),"",IF(AND(E259&lt;=3,F259&lt;=3,G259=""),1,0))</f>
        <v/>
      </c>
      <c r="I259" s="22">
        <f>IF(H259=0,IF(G259="중복","제외: 같은 이메일 중복 응답","제외: 3개 넘게 선택"),"")</f>
        <v/>
      </c>
    </row>
    <row r="260">
      <c r="A260" s="15" t="n"/>
      <c r="B260" s="15" t="n"/>
      <c r="C260" s="16" t="n"/>
      <c r="D260" s="16" t="n"/>
      <c r="E260" s="21">
        <f>IF(AND(A260="",B260="",C260="",D260=""),"",IF(TRIM(C260)="",0,LEN(C260)-LEN(SUBSTITUTE(C260,",",""))+1))</f>
        <v/>
      </c>
      <c r="F260" s="21">
        <f>IF(AND(A260="",B260="",C260="",D260=""),"",IF(TRIM(D260)="",0,LEN(D260)-LEN(SUBSTITUTE(D260,",",""))+1))</f>
        <v/>
      </c>
      <c r="G260" s="21">
        <f>IF(B260="","",IF(COUNTIF($B$6:B260,B260)&gt;1,"중복",""))</f>
        <v/>
      </c>
      <c r="H260" s="21">
        <f>IF(AND(A260="",B260="",C260="",D260=""),"",IF(AND(E260&lt;=3,F260&lt;=3,G260=""),1,0))</f>
        <v/>
      </c>
      <c r="I260" s="22">
        <f>IF(H260=0,IF(G260="중복","제외: 같은 이메일 중복 응답","제외: 3개 넘게 선택"),"")</f>
        <v/>
      </c>
    </row>
    <row r="261">
      <c r="A261" s="15" t="n"/>
      <c r="B261" s="15" t="n"/>
      <c r="C261" s="16" t="n"/>
      <c r="D261" s="16" t="n"/>
      <c r="E261" s="21">
        <f>IF(AND(A261="",B261="",C261="",D261=""),"",IF(TRIM(C261)="",0,LEN(C261)-LEN(SUBSTITUTE(C261,",",""))+1))</f>
        <v/>
      </c>
      <c r="F261" s="21">
        <f>IF(AND(A261="",B261="",C261="",D261=""),"",IF(TRIM(D261)="",0,LEN(D261)-LEN(SUBSTITUTE(D261,",",""))+1))</f>
        <v/>
      </c>
      <c r="G261" s="21">
        <f>IF(B261="","",IF(COUNTIF($B$6:B261,B261)&gt;1,"중복",""))</f>
        <v/>
      </c>
      <c r="H261" s="21">
        <f>IF(AND(A261="",B261="",C261="",D261=""),"",IF(AND(E261&lt;=3,F261&lt;=3,G261=""),1,0))</f>
        <v/>
      </c>
      <c r="I261" s="22">
        <f>IF(H261=0,IF(G261="중복","제외: 같은 이메일 중복 응답","제외: 3개 넘게 선택"),"")</f>
        <v/>
      </c>
    </row>
    <row r="262">
      <c r="A262" s="15" t="n"/>
      <c r="B262" s="15" t="n"/>
      <c r="C262" s="16" t="n"/>
      <c r="D262" s="16" t="n"/>
      <c r="E262" s="21">
        <f>IF(AND(A262="",B262="",C262="",D262=""),"",IF(TRIM(C262)="",0,LEN(C262)-LEN(SUBSTITUTE(C262,",",""))+1))</f>
        <v/>
      </c>
      <c r="F262" s="21">
        <f>IF(AND(A262="",B262="",C262="",D262=""),"",IF(TRIM(D262)="",0,LEN(D262)-LEN(SUBSTITUTE(D262,",",""))+1))</f>
        <v/>
      </c>
      <c r="G262" s="21">
        <f>IF(B262="","",IF(COUNTIF($B$6:B262,B262)&gt;1,"중복",""))</f>
        <v/>
      </c>
      <c r="H262" s="21">
        <f>IF(AND(A262="",B262="",C262="",D262=""),"",IF(AND(E262&lt;=3,F262&lt;=3,G262=""),1,0))</f>
        <v/>
      </c>
      <c r="I262" s="22">
        <f>IF(H262=0,IF(G262="중복","제외: 같은 이메일 중복 응답","제외: 3개 넘게 선택"),"")</f>
        <v/>
      </c>
    </row>
    <row r="263">
      <c r="A263" s="15" t="n"/>
      <c r="B263" s="15" t="n"/>
      <c r="C263" s="16" t="n"/>
      <c r="D263" s="16" t="n"/>
      <c r="E263" s="21">
        <f>IF(AND(A263="",B263="",C263="",D263=""),"",IF(TRIM(C263)="",0,LEN(C263)-LEN(SUBSTITUTE(C263,",",""))+1))</f>
        <v/>
      </c>
      <c r="F263" s="21">
        <f>IF(AND(A263="",B263="",C263="",D263=""),"",IF(TRIM(D263)="",0,LEN(D263)-LEN(SUBSTITUTE(D263,",",""))+1))</f>
        <v/>
      </c>
      <c r="G263" s="21">
        <f>IF(B263="","",IF(COUNTIF($B$6:B263,B263)&gt;1,"중복",""))</f>
        <v/>
      </c>
      <c r="H263" s="21">
        <f>IF(AND(A263="",B263="",C263="",D263=""),"",IF(AND(E263&lt;=3,F263&lt;=3,G263=""),1,0))</f>
        <v/>
      </c>
      <c r="I263" s="22">
        <f>IF(H263=0,IF(G263="중복","제외: 같은 이메일 중복 응답","제외: 3개 넘게 선택"),"")</f>
        <v/>
      </c>
    </row>
    <row r="264">
      <c r="A264" s="15" t="n"/>
      <c r="B264" s="15" t="n"/>
      <c r="C264" s="16" t="n"/>
      <c r="D264" s="16" t="n"/>
      <c r="E264" s="21">
        <f>IF(AND(A264="",B264="",C264="",D264=""),"",IF(TRIM(C264)="",0,LEN(C264)-LEN(SUBSTITUTE(C264,",",""))+1))</f>
        <v/>
      </c>
      <c r="F264" s="21">
        <f>IF(AND(A264="",B264="",C264="",D264=""),"",IF(TRIM(D264)="",0,LEN(D264)-LEN(SUBSTITUTE(D264,",",""))+1))</f>
        <v/>
      </c>
      <c r="G264" s="21">
        <f>IF(B264="","",IF(COUNTIF($B$6:B264,B264)&gt;1,"중복",""))</f>
        <v/>
      </c>
      <c r="H264" s="21">
        <f>IF(AND(A264="",B264="",C264="",D264=""),"",IF(AND(E264&lt;=3,F264&lt;=3,G264=""),1,0))</f>
        <v/>
      </c>
      <c r="I264" s="22">
        <f>IF(H264=0,IF(G264="중복","제외: 같은 이메일 중복 응답","제외: 3개 넘게 선택"),"")</f>
        <v/>
      </c>
    </row>
    <row r="265">
      <c r="A265" s="15" t="n"/>
      <c r="B265" s="15" t="n"/>
      <c r="C265" s="16" t="n"/>
      <c r="D265" s="16" t="n"/>
      <c r="E265" s="21">
        <f>IF(AND(A265="",B265="",C265="",D265=""),"",IF(TRIM(C265)="",0,LEN(C265)-LEN(SUBSTITUTE(C265,",",""))+1))</f>
        <v/>
      </c>
      <c r="F265" s="21">
        <f>IF(AND(A265="",B265="",C265="",D265=""),"",IF(TRIM(D265)="",0,LEN(D265)-LEN(SUBSTITUTE(D265,",",""))+1))</f>
        <v/>
      </c>
      <c r="G265" s="21">
        <f>IF(B265="","",IF(COUNTIF($B$6:B265,B265)&gt;1,"중복",""))</f>
        <v/>
      </c>
      <c r="H265" s="21">
        <f>IF(AND(A265="",B265="",C265="",D265=""),"",IF(AND(E265&lt;=3,F265&lt;=3,G265=""),1,0))</f>
        <v/>
      </c>
      <c r="I265" s="22">
        <f>IF(H265=0,IF(G265="중복","제외: 같은 이메일 중복 응답","제외: 3개 넘게 선택"),"")</f>
        <v/>
      </c>
    </row>
    <row r="266">
      <c r="A266" s="15" t="n"/>
      <c r="B266" s="15" t="n"/>
      <c r="C266" s="16" t="n"/>
      <c r="D266" s="16" t="n"/>
      <c r="E266" s="21">
        <f>IF(AND(A266="",B266="",C266="",D266=""),"",IF(TRIM(C266)="",0,LEN(C266)-LEN(SUBSTITUTE(C266,",",""))+1))</f>
        <v/>
      </c>
      <c r="F266" s="21">
        <f>IF(AND(A266="",B266="",C266="",D266=""),"",IF(TRIM(D266)="",0,LEN(D266)-LEN(SUBSTITUTE(D266,",",""))+1))</f>
        <v/>
      </c>
      <c r="G266" s="21">
        <f>IF(B266="","",IF(COUNTIF($B$6:B266,B266)&gt;1,"중복",""))</f>
        <v/>
      </c>
      <c r="H266" s="21">
        <f>IF(AND(A266="",B266="",C266="",D266=""),"",IF(AND(E266&lt;=3,F266&lt;=3,G266=""),1,0))</f>
        <v/>
      </c>
      <c r="I266" s="22">
        <f>IF(H266=0,IF(G266="중복","제외: 같은 이메일 중복 응답","제외: 3개 넘게 선택"),"")</f>
        <v/>
      </c>
    </row>
    <row r="267">
      <c r="A267" s="15" t="n"/>
      <c r="B267" s="15" t="n"/>
      <c r="C267" s="16" t="n"/>
      <c r="D267" s="16" t="n"/>
      <c r="E267" s="21">
        <f>IF(AND(A267="",B267="",C267="",D267=""),"",IF(TRIM(C267)="",0,LEN(C267)-LEN(SUBSTITUTE(C267,",",""))+1))</f>
        <v/>
      </c>
      <c r="F267" s="21">
        <f>IF(AND(A267="",B267="",C267="",D267=""),"",IF(TRIM(D267)="",0,LEN(D267)-LEN(SUBSTITUTE(D267,",",""))+1))</f>
        <v/>
      </c>
      <c r="G267" s="21">
        <f>IF(B267="","",IF(COUNTIF($B$6:B267,B267)&gt;1,"중복",""))</f>
        <v/>
      </c>
      <c r="H267" s="21">
        <f>IF(AND(A267="",B267="",C267="",D267=""),"",IF(AND(E267&lt;=3,F267&lt;=3,G267=""),1,0))</f>
        <v/>
      </c>
      <c r="I267" s="22">
        <f>IF(H267=0,IF(G267="중복","제외: 같은 이메일 중복 응답","제외: 3개 넘게 선택"),"")</f>
        <v/>
      </c>
    </row>
    <row r="268">
      <c r="A268" s="15" t="n"/>
      <c r="B268" s="15" t="n"/>
      <c r="C268" s="16" t="n"/>
      <c r="D268" s="16" t="n"/>
      <c r="E268" s="21">
        <f>IF(AND(A268="",B268="",C268="",D268=""),"",IF(TRIM(C268)="",0,LEN(C268)-LEN(SUBSTITUTE(C268,",",""))+1))</f>
        <v/>
      </c>
      <c r="F268" s="21">
        <f>IF(AND(A268="",B268="",C268="",D268=""),"",IF(TRIM(D268)="",0,LEN(D268)-LEN(SUBSTITUTE(D268,",",""))+1))</f>
        <v/>
      </c>
      <c r="G268" s="21">
        <f>IF(B268="","",IF(COUNTIF($B$6:B268,B268)&gt;1,"중복",""))</f>
        <v/>
      </c>
      <c r="H268" s="21">
        <f>IF(AND(A268="",B268="",C268="",D268=""),"",IF(AND(E268&lt;=3,F268&lt;=3,G268=""),1,0))</f>
        <v/>
      </c>
      <c r="I268" s="22">
        <f>IF(H268=0,IF(G268="중복","제외: 같은 이메일 중복 응답","제외: 3개 넘게 선택"),"")</f>
        <v/>
      </c>
    </row>
    <row r="269">
      <c r="A269" s="15" t="n"/>
      <c r="B269" s="15" t="n"/>
      <c r="C269" s="16" t="n"/>
      <c r="D269" s="16" t="n"/>
      <c r="E269" s="21">
        <f>IF(AND(A269="",B269="",C269="",D269=""),"",IF(TRIM(C269)="",0,LEN(C269)-LEN(SUBSTITUTE(C269,",",""))+1))</f>
        <v/>
      </c>
      <c r="F269" s="21">
        <f>IF(AND(A269="",B269="",C269="",D269=""),"",IF(TRIM(D269)="",0,LEN(D269)-LEN(SUBSTITUTE(D269,",",""))+1))</f>
        <v/>
      </c>
      <c r="G269" s="21">
        <f>IF(B269="","",IF(COUNTIF($B$6:B269,B269)&gt;1,"중복",""))</f>
        <v/>
      </c>
      <c r="H269" s="21">
        <f>IF(AND(A269="",B269="",C269="",D269=""),"",IF(AND(E269&lt;=3,F269&lt;=3,G269=""),1,0))</f>
        <v/>
      </c>
      <c r="I269" s="22">
        <f>IF(H269=0,IF(G269="중복","제외: 같은 이메일 중복 응답","제외: 3개 넘게 선택"),"")</f>
        <v/>
      </c>
    </row>
    <row r="270">
      <c r="A270" s="15" t="n"/>
      <c r="B270" s="15" t="n"/>
      <c r="C270" s="16" t="n"/>
      <c r="D270" s="16" t="n"/>
      <c r="E270" s="21">
        <f>IF(AND(A270="",B270="",C270="",D270=""),"",IF(TRIM(C270)="",0,LEN(C270)-LEN(SUBSTITUTE(C270,",",""))+1))</f>
        <v/>
      </c>
      <c r="F270" s="21">
        <f>IF(AND(A270="",B270="",C270="",D270=""),"",IF(TRIM(D270)="",0,LEN(D270)-LEN(SUBSTITUTE(D270,",",""))+1))</f>
        <v/>
      </c>
      <c r="G270" s="21">
        <f>IF(B270="","",IF(COUNTIF($B$6:B270,B270)&gt;1,"중복",""))</f>
        <v/>
      </c>
      <c r="H270" s="21">
        <f>IF(AND(A270="",B270="",C270="",D270=""),"",IF(AND(E270&lt;=3,F270&lt;=3,G270=""),1,0))</f>
        <v/>
      </c>
      <c r="I270" s="22">
        <f>IF(H270=0,IF(G270="중복","제외: 같은 이메일 중복 응답","제외: 3개 넘게 선택"),"")</f>
        <v/>
      </c>
    </row>
    <row r="271">
      <c r="A271" s="15" t="n"/>
      <c r="B271" s="15" t="n"/>
      <c r="C271" s="16" t="n"/>
      <c r="D271" s="16" t="n"/>
      <c r="E271" s="21">
        <f>IF(AND(A271="",B271="",C271="",D271=""),"",IF(TRIM(C271)="",0,LEN(C271)-LEN(SUBSTITUTE(C271,",",""))+1))</f>
        <v/>
      </c>
      <c r="F271" s="21">
        <f>IF(AND(A271="",B271="",C271="",D271=""),"",IF(TRIM(D271)="",0,LEN(D271)-LEN(SUBSTITUTE(D271,",",""))+1))</f>
        <v/>
      </c>
      <c r="G271" s="21">
        <f>IF(B271="","",IF(COUNTIF($B$6:B271,B271)&gt;1,"중복",""))</f>
        <v/>
      </c>
      <c r="H271" s="21">
        <f>IF(AND(A271="",B271="",C271="",D271=""),"",IF(AND(E271&lt;=3,F271&lt;=3,G271=""),1,0))</f>
        <v/>
      </c>
      <c r="I271" s="22">
        <f>IF(H271=0,IF(G271="중복","제외: 같은 이메일 중복 응답","제외: 3개 넘게 선택"),"")</f>
        <v/>
      </c>
    </row>
    <row r="272">
      <c r="A272" s="15" t="n"/>
      <c r="B272" s="15" t="n"/>
      <c r="C272" s="16" t="n"/>
      <c r="D272" s="16" t="n"/>
      <c r="E272" s="21">
        <f>IF(AND(A272="",B272="",C272="",D272=""),"",IF(TRIM(C272)="",0,LEN(C272)-LEN(SUBSTITUTE(C272,",",""))+1))</f>
        <v/>
      </c>
      <c r="F272" s="21">
        <f>IF(AND(A272="",B272="",C272="",D272=""),"",IF(TRIM(D272)="",0,LEN(D272)-LEN(SUBSTITUTE(D272,",",""))+1))</f>
        <v/>
      </c>
      <c r="G272" s="21">
        <f>IF(B272="","",IF(COUNTIF($B$6:B272,B272)&gt;1,"중복",""))</f>
        <v/>
      </c>
      <c r="H272" s="21">
        <f>IF(AND(A272="",B272="",C272="",D272=""),"",IF(AND(E272&lt;=3,F272&lt;=3,G272=""),1,0))</f>
        <v/>
      </c>
      <c r="I272" s="22">
        <f>IF(H272=0,IF(G272="중복","제외: 같은 이메일 중복 응답","제외: 3개 넘게 선택"),"")</f>
        <v/>
      </c>
    </row>
    <row r="273">
      <c r="A273" s="15" t="n"/>
      <c r="B273" s="15" t="n"/>
      <c r="C273" s="16" t="n"/>
      <c r="D273" s="16" t="n"/>
      <c r="E273" s="21">
        <f>IF(AND(A273="",B273="",C273="",D273=""),"",IF(TRIM(C273)="",0,LEN(C273)-LEN(SUBSTITUTE(C273,",",""))+1))</f>
        <v/>
      </c>
      <c r="F273" s="21">
        <f>IF(AND(A273="",B273="",C273="",D273=""),"",IF(TRIM(D273)="",0,LEN(D273)-LEN(SUBSTITUTE(D273,",",""))+1))</f>
        <v/>
      </c>
      <c r="G273" s="21">
        <f>IF(B273="","",IF(COUNTIF($B$6:B273,B273)&gt;1,"중복",""))</f>
        <v/>
      </c>
      <c r="H273" s="21">
        <f>IF(AND(A273="",B273="",C273="",D273=""),"",IF(AND(E273&lt;=3,F273&lt;=3,G273=""),1,0))</f>
        <v/>
      </c>
      <c r="I273" s="22">
        <f>IF(H273=0,IF(G273="중복","제외: 같은 이메일 중복 응답","제외: 3개 넘게 선택"),"")</f>
        <v/>
      </c>
    </row>
    <row r="274">
      <c r="A274" s="15" t="n"/>
      <c r="B274" s="15" t="n"/>
      <c r="C274" s="16" t="n"/>
      <c r="D274" s="16" t="n"/>
      <c r="E274" s="21">
        <f>IF(AND(A274="",B274="",C274="",D274=""),"",IF(TRIM(C274)="",0,LEN(C274)-LEN(SUBSTITUTE(C274,",",""))+1))</f>
        <v/>
      </c>
      <c r="F274" s="21">
        <f>IF(AND(A274="",B274="",C274="",D274=""),"",IF(TRIM(D274)="",0,LEN(D274)-LEN(SUBSTITUTE(D274,",",""))+1))</f>
        <v/>
      </c>
      <c r="G274" s="21">
        <f>IF(B274="","",IF(COUNTIF($B$6:B274,B274)&gt;1,"중복",""))</f>
        <v/>
      </c>
      <c r="H274" s="21">
        <f>IF(AND(A274="",B274="",C274="",D274=""),"",IF(AND(E274&lt;=3,F274&lt;=3,G274=""),1,0))</f>
        <v/>
      </c>
      <c r="I274" s="22">
        <f>IF(H274=0,IF(G274="중복","제외: 같은 이메일 중복 응답","제외: 3개 넘게 선택"),"")</f>
        <v/>
      </c>
    </row>
    <row r="275">
      <c r="A275" s="15" t="n"/>
      <c r="B275" s="15" t="n"/>
      <c r="C275" s="16" t="n"/>
      <c r="D275" s="16" t="n"/>
      <c r="E275" s="21">
        <f>IF(AND(A275="",B275="",C275="",D275=""),"",IF(TRIM(C275)="",0,LEN(C275)-LEN(SUBSTITUTE(C275,",",""))+1))</f>
        <v/>
      </c>
      <c r="F275" s="21">
        <f>IF(AND(A275="",B275="",C275="",D275=""),"",IF(TRIM(D275)="",0,LEN(D275)-LEN(SUBSTITUTE(D275,",",""))+1))</f>
        <v/>
      </c>
      <c r="G275" s="21">
        <f>IF(B275="","",IF(COUNTIF($B$6:B275,B275)&gt;1,"중복",""))</f>
        <v/>
      </c>
      <c r="H275" s="21">
        <f>IF(AND(A275="",B275="",C275="",D275=""),"",IF(AND(E275&lt;=3,F275&lt;=3,G275=""),1,0))</f>
        <v/>
      </c>
      <c r="I275" s="22">
        <f>IF(H275=0,IF(G275="중복","제외: 같은 이메일 중복 응답","제외: 3개 넘게 선택"),"")</f>
        <v/>
      </c>
    </row>
    <row r="276">
      <c r="A276" s="15" t="n"/>
      <c r="B276" s="15" t="n"/>
      <c r="C276" s="16" t="n"/>
      <c r="D276" s="16" t="n"/>
      <c r="E276" s="21">
        <f>IF(AND(A276="",B276="",C276="",D276=""),"",IF(TRIM(C276)="",0,LEN(C276)-LEN(SUBSTITUTE(C276,",",""))+1))</f>
        <v/>
      </c>
      <c r="F276" s="21">
        <f>IF(AND(A276="",B276="",C276="",D276=""),"",IF(TRIM(D276)="",0,LEN(D276)-LEN(SUBSTITUTE(D276,",",""))+1))</f>
        <v/>
      </c>
      <c r="G276" s="21">
        <f>IF(B276="","",IF(COUNTIF($B$6:B276,B276)&gt;1,"중복",""))</f>
        <v/>
      </c>
      <c r="H276" s="21">
        <f>IF(AND(A276="",B276="",C276="",D276=""),"",IF(AND(E276&lt;=3,F276&lt;=3,G276=""),1,0))</f>
        <v/>
      </c>
      <c r="I276" s="22">
        <f>IF(H276=0,IF(G276="중복","제외: 같은 이메일 중복 응답","제외: 3개 넘게 선택"),"")</f>
        <v/>
      </c>
    </row>
    <row r="277">
      <c r="A277" s="15" t="n"/>
      <c r="B277" s="15" t="n"/>
      <c r="C277" s="16" t="n"/>
      <c r="D277" s="16" t="n"/>
      <c r="E277" s="21">
        <f>IF(AND(A277="",B277="",C277="",D277=""),"",IF(TRIM(C277)="",0,LEN(C277)-LEN(SUBSTITUTE(C277,",",""))+1))</f>
        <v/>
      </c>
      <c r="F277" s="21">
        <f>IF(AND(A277="",B277="",C277="",D277=""),"",IF(TRIM(D277)="",0,LEN(D277)-LEN(SUBSTITUTE(D277,",",""))+1))</f>
        <v/>
      </c>
      <c r="G277" s="21">
        <f>IF(B277="","",IF(COUNTIF($B$6:B277,B277)&gt;1,"중복",""))</f>
        <v/>
      </c>
      <c r="H277" s="21">
        <f>IF(AND(A277="",B277="",C277="",D277=""),"",IF(AND(E277&lt;=3,F277&lt;=3,G277=""),1,0))</f>
        <v/>
      </c>
      <c r="I277" s="22">
        <f>IF(H277=0,IF(G277="중복","제외: 같은 이메일 중복 응답","제외: 3개 넘게 선택"),"")</f>
        <v/>
      </c>
    </row>
    <row r="278">
      <c r="A278" s="15" t="n"/>
      <c r="B278" s="15" t="n"/>
      <c r="C278" s="16" t="n"/>
      <c r="D278" s="16" t="n"/>
      <c r="E278" s="21">
        <f>IF(AND(A278="",B278="",C278="",D278=""),"",IF(TRIM(C278)="",0,LEN(C278)-LEN(SUBSTITUTE(C278,",",""))+1))</f>
        <v/>
      </c>
      <c r="F278" s="21">
        <f>IF(AND(A278="",B278="",C278="",D278=""),"",IF(TRIM(D278)="",0,LEN(D278)-LEN(SUBSTITUTE(D278,",",""))+1))</f>
        <v/>
      </c>
      <c r="G278" s="21">
        <f>IF(B278="","",IF(COUNTIF($B$6:B278,B278)&gt;1,"중복",""))</f>
        <v/>
      </c>
      <c r="H278" s="21">
        <f>IF(AND(A278="",B278="",C278="",D278=""),"",IF(AND(E278&lt;=3,F278&lt;=3,G278=""),1,0))</f>
        <v/>
      </c>
      <c r="I278" s="22">
        <f>IF(H278=0,IF(G278="중복","제외: 같은 이메일 중복 응답","제외: 3개 넘게 선택"),"")</f>
        <v/>
      </c>
    </row>
    <row r="279">
      <c r="A279" s="15" t="n"/>
      <c r="B279" s="15" t="n"/>
      <c r="C279" s="16" t="n"/>
      <c r="D279" s="16" t="n"/>
      <c r="E279" s="21">
        <f>IF(AND(A279="",B279="",C279="",D279=""),"",IF(TRIM(C279)="",0,LEN(C279)-LEN(SUBSTITUTE(C279,",",""))+1))</f>
        <v/>
      </c>
      <c r="F279" s="21">
        <f>IF(AND(A279="",B279="",C279="",D279=""),"",IF(TRIM(D279)="",0,LEN(D279)-LEN(SUBSTITUTE(D279,",",""))+1))</f>
        <v/>
      </c>
      <c r="G279" s="21">
        <f>IF(B279="","",IF(COUNTIF($B$6:B279,B279)&gt;1,"중복",""))</f>
        <v/>
      </c>
      <c r="H279" s="21">
        <f>IF(AND(A279="",B279="",C279="",D279=""),"",IF(AND(E279&lt;=3,F279&lt;=3,G279=""),1,0))</f>
        <v/>
      </c>
      <c r="I279" s="22">
        <f>IF(H279=0,IF(G279="중복","제외: 같은 이메일 중복 응답","제외: 3개 넘게 선택"),"")</f>
        <v/>
      </c>
    </row>
    <row r="280">
      <c r="A280" s="15" t="n"/>
      <c r="B280" s="15" t="n"/>
      <c r="C280" s="16" t="n"/>
      <c r="D280" s="16" t="n"/>
      <c r="E280" s="21">
        <f>IF(AND(A280="",B280="",C280="",D280=""),"",IF(TRIM(C280)="",0,LEN(C280)-LEN(SUBSTITUTE(C280,",",""))+1))</f>
        <v/>
      </c>
      <c r="F280" s="21">
        <f>IF(AND(A280="",B280="",C280="",D280=""),"",IF(TRIM(D280)="",0,LEN(D280)-LEN(SUBSTITUTE(D280,",",""))+1))</f>
        <v/>
      </c>
      <c r="G280" s="21">
        <f>IF(B280="","",IF(COUNTIF($B$6:B280,B280)&gt;1,"중복",""))</f>
        <v/>
      </c>
      <c r="H280" s="21">
        <f>IF(AND(A280="",B280="",C280="",D280=""),"",IF(AND(E280&lt;=3,F280&lt;=3,G280=""),1,0))</f>
        <v/>
      </c>
      <c r="I280" s="22">
        <f>IF(H280=0,IF(G280="중복","제외: 같은 이메일 중복 응답","제외: 3개 넘게 선택"),"")</f>
        <v/>
      </c>
    </row>
    <row r="281">
      <c r="A281" s="15" t="n"/>
      <c r="B281" s="15" t="n"/>
      <c r="C281" s="16" t="n"/>
      <c r="D281" s="16" t="n"/>
      <c r="E281" s="21">
        <f>IF(AND(A281="",B281="",C281="",D281=""),"",IF(TRIM(C281)="",0,LEN(C281)-LEN(SUBSTITUTE(C281,",",""))+1))</f>
        <v/>
      </c>
      <c r="F281" s="21">
        <f>IF(AND(A281="",B281="",C281="",D281=""),"",IF(TRIM(D281)="",0,LEN(D281)-LEN(SUBSTITUTE(D281,",",""))+1))</f>
        <v/>
      </c>
      <c r="G281" s="21">
        <f>IF(B281="","",IF(COUNTIF($B$6:B281,B281)&gt;1,"중복",""))</f>
        <v/>
      </c>
      <c r="H281" s="21">
        <f>IF(AND(A281="",B281="",C281="",D281=""),"",IF(AND(E281&lt;=3,F281&lt;=3,G281=""),1,0))</f>
        <v/>
      </c>
      <c r="I281" s="22">
        <f>IF(H281=0,IF(G281="중복","제외: 같은 이메일 중복 응답","제외: 3개 넘게 선택"),"")</f>
        <v/>
      </c>
    </row>
    <row r="282">
      <c r="A282" s="15" t="n"/>
      <c r="B282" s="15" t="n"/>
      <c r="C282" s="16" t="n"/>
      <c r="D282" s="16" t="n"/>
      <c r="E282" s="21">
        <f>IF(AND(A282="",B282="",C282="",D282=""),"",IF(TRIM(C282)="",0,LEN(C282)-LEN(SUBSTITUTE(C282,",",""))+1))</f>
        <v/>
      </c>
      <c r="F282" s="21">
        <f>IF(AND(A282="",B282="",C282="",D282=""),"",IF(TRIM(D282)="",0,LEN(D282)-LEN(SUBSTITUTE(D282,",",""))+1))</f>
        <v/>
      </c>
      <c r="G282" s="21">
        <f>IF(B282="","",IF(COUNTIF($B$6:B282,B282)&gt;1,"중복",""))</f>
        <v/>
      </c>
      <c r="H282" s="21">
        <f>IF(AND(A282="",B282="",C282="",D282=""),"",IF(AND(E282&lt;=3,F282&lt;=3,G282=""),1,0))</f>
        <v/>
      </c>
      <c r="I282" s="22">
        <f>IF(H282=0,IF(G282="중복","제외: 같은 이메일 중복 응답","제외: 3개 넘게 선택"),"")</f>
        <v/>
      </c>
    </row>
    <row r="283">
      <c r="A283" s="15" t="n"/>
      <c r="B283" s="15" t="n"/>
      <c r="C283" s="16" t="n"/>
      <c r="D283" s="16" t="n"/>
      <c r="E283" s="21">
        <f>IF(AND(A283="",B283="",C283="",D283=""),"",IF(TRIM(C283)="",0,LEN(C283)-LEN(SUBSTITUTE(C283,",",""))+1))</f>
        <v/>
      </c>
      <c r="F283" s="21">
        <f>IF(AND(A283="",B283="",C283="",D283=""),"",IF(TRIM(D283)="",0,LEN(D283)-LEN(SUBSTITUTE(D283,",",""))+1))</f>
        <v/>
      </c>
      <c r="G283" s="21">
        <f>IF(B283="","",IF(COUNTIF($B$6:B283,B283)&gt;1,"중복",""))</f>
        <v/>
      </c>
      <c r="H283" s="21">
        <f>IF(AND(A283="",B283="",C283="",D283=""),"",IF(AND(E283&lt;=3,F283&lt;=3,G283=""),1,0))</f>
        <v/>
      </c>
      <c r="I283" s="22">
        <f>IF(H283=0,IF(G283="중복","제외: 같은 이메일 중복 응답","제외: 3개 넘게 선택"),"")</f>
        <v/>
      </c>
    </row>
    <row r="284">
      <c r="A284" s="15" t="n"/>
      <c r="B284" s="15" t="n"/>
      <c r="C284" s="16" t="n"/>
      <c r="D284" s="16" t="n"/>
      <c r="E284" s="21">
        <f>IF(AND(A284="",B284="",C284="",D284=""),"",IF(TRIM(C284)="",0,LEN(C284)-LEN(SUBSTITUTE(C284,",",""))+1))</f>
        <v/>
      </c>
      <c r="F284" s="21">
        <f>IF(AND(A284="",B284="",C284="",D284=""),"",IF(TRIM(D284)="",0,LEN(D284)-LEN(SUBSTITUTE(D284,",",""))+1))</f>
        <v/>
      </c>
      <c r="G284" s="21">
        <f>IF(B284="","",IF(COUNTIF($B$6:B284,B284)&gt;1,"중복",""))</f>
        <v/>
      </c>
      <c r="H284" s="21">
        <f>IF(AND(A284="",B284="",C284="",D284=""),"",IF(AND(E284&lt;=3,F284&lt;=3,G284=""),1,0))</f>
        <v/>
      </c>
      <c r="I284" s="22">
        <f>IF(H284=0,IF(G284="중복","제외: 같은 이메일 중복 응답","제외: 3개 넘게 선택"),"")</f>
        <v/>
      </c>
    </row>
    <row r="285">
      <c r="A285" s="15" t="n"/>
      <c r="B285" s="15" t="n"/>
      <c r="C285" s="16" t="n"/>
      <c r="D285" s="16" t="n"/>
      <c r="E285" s="21">
        <f>IF(AND(A285="",B285="",C285="",D285=""),"",IF(TRIM(C285)="",0,LEN(C285)-LEN(SUBSTITUTE(C285,",",""))+1))</f>
        <v/>
      </c>
      <c r="F285" s="21">
        <f>IF(AND(A285="",B285="",C285="",D285=""),"",IF(TRIM(D285)="",0,LEN(D285)-LEN(SUBSTITUTE(D285,",",""))+1))</f>
        <v/>
      </c>
      <c r="G285" s="21">
        <f>IF(B285="","",IF(COUNTIF($B$6:B285,B285)&gt;1,"중복",""))</f>
        <v/>
      </c>
      <c r="H285" s="21">
        <f>IF(AND(A285="",B285="",C285="",D285=""),"",IF(AND(E285&lt;=3,F285&lt;=3,G285=""),1,0))</f>
        <v/>
      </c>
      <c r="I285" s="22">
        <f>IF(H285=0,IF(G285="중복","제외: 같은 이메일 중복 응답","제외: 3개 넘게 선택"),"")</f>
        <v/>
      </c>
    </row>
    <row r="286">
      <c r="A286" s="15" t="n"/>
      <c r="B286" s="15" t="n"/>
      <c r="C286" s="16" t="n"/>
      <c r="D286" s="16" t="n"/>
      <c r="E286" s="21">
        <f>IF(AND(A286="",B286="",C286="",D286=""),"",IF(TRIM(C286)="",0,LEN(C286)-LEN(SUBSTITUTE(C286,",",""))+1))</f>
        <v/>
      </c>
      <c r="F286" s="21">
        <f>IF(AND(A286="",B286="",C286="",D286=""),"",IF(TRIM(D286)="",0,LEN(D286)-LEN(SUBSTITUTE(D286,",",""))+1))</f>
        <v/>
      </c>
      <c r="G286" s="21">
        <f>IF(B286="","",IF(COUNTIF($B$6:B286,B286)&gt;1,"중복",""))</f>
        <v/>
      </c>
      <c r="H286" s="21">
        <f>IF(AND(A286="",B286="",C286="",D286=""),"",IF(AND(E286&lt;=3,F286&lt;=3,G286=""),1,0))</f>
        <v/>
      </c>
      <c r="I286" s="22">
        <f>IF(H286=0,IF(G286="중복","제외: 같은 이메일 중복 응답","제외: 3개 넘게 선택"),"")</f>
        <v/>
      </c>
    </row>
    <row r="287">
      <c r="A287" s="15" t="n"/>
      <c r="B287" s="15" t="n"/>
      <c r="C287" s="16" t="n"/>
      <c r="D287" s="16" t="n"/>
      <c r="E287" s="21">
        <f>IF(AND(A287="",B287="",C287="",D287=""),"",IF(TRIM(C287)="",0,LEN(C287)-LEN(SUBSTITUTE(C287,",",""))+1))</f>
        <v/>
      </c>
      <c r="F287" s="21">
        <f>IF(AND(A287="",B287="",C287="",D287=""),"",IF(TRIM(D287)="",0,LEN(D287)-LEN(SUBSTITUTE(D287,",",""))+1))</f>
        <v/>
      </c>
      <c r="G287" s="21">
        <f>IF(B287="","",IF(COUNTIF($B$6:B287,B287)&gt;1,"중복",""))</f>
        <v/>
      </c>
      <c r="H287" s="21">
        <f>IF(AND(A287="",B287="",C287="",D287=""),"",IF(AND(E287&lt;=3,F287&lt;=3,G287=""),1,0))</f>
        <v/>
      </c>
      <c r="I287" s="22">
        <f>IF(H287=0,IF(G287="중복","제외: 같은 이메일 중복 응답","제외: 3개 넘게 선택"),"")</f>
        <v/>
      </c>
    </row>
    <row r="288">
      <c r="A288" s="15" t="n"/>
      <c r="B288" s="15" t="n"/>
      <c r="C288" s="16" t="n"/>
      <c r="D288" s="16" t="n"/>
      <c r="E288" s="21">
        <f>IF(AND(A288="",B288="",C288="",D288=""),"",IF(TRIM(C288)="",0,LEN(C288)-LEN(SUBSTITUTE(C288,",",""))+1))</f>
        <v/>
      </c>
      <c r="F288" s="21">
        <f>IF(AND(A288="",B288="",C288="",D288=""),"",IF(TRIM(D288)="",0,LEN(D288)-LEN(SUBSTITUTE(D288,",",""))+1))</f>
        <v/>
      </c>
      <c r="G288" s="21">
        <f>IF(B288="","",IF(COUNTIF($B$6:B288,B288)&gt;1,"중복",""))</f>
        <v/>
      </c>
      <c r="H288" s="21">
        <f>IF(AND(A288="",B288="",C288="",D288=""),"",IF(AND(E288&lt;=3,F288&lt;=3,G288=""),1,0))</f>
        <v/>
      </c>
      <c r="I288" s="22">
        <f>IF(H288=0,IF(G288="중복","제외: 같은 이메일 중복 응답","제외: 3개 넘게 선택"),"")</f>
        <v/>
      </c>
    </row>
    <row r="289">
      <c r="A289" s="15" t="n"/>
      <c r="B289" s="15" t="n"/>
      <c r="C289" s="16" t="n"/>
      <c r="D289" s="16" t="n"/>
      <c r="E289" s="21">
        <f>IF(AND(A289="",B289="",C289="",D289=""),"",IF(TRIM(C289)="",0,LEN(C289)-LEN(SUBSTITUTE(C289,",",""))+1))</f>
        <v/>
      </c>
      <c r="F289" s="21">
        <f>IF(AND(A289="",B289="",C289="",D289=""),"",IF(TRIM(D289)="",0,LEN(D289)-LEN(SUBSTITUTE(D289,",",""))+1))</f>
        <v/>
      </c>
      <c r="G289" s="21">
        <f>IF(B289="","",IF(COUNTIF($B$6:B289,B289)&gt;1,"중복",""))</f>
        <v/>
      </c>
      <c r="H289" s="21">
        <f>IF(AND(A289="",B289="",C289="",D289=""),"",IF(AND(E289&lt;=3,F289&lt;=3,G289=""),1,0))</f>
        <v/>
      </c>
      <c r="I289" s="22">
        <f>IF(H289=0,IF(G289="중복","제외: 같은 이메일 중복 응답","제외: 3개 넘게 선택"),"")</f>
        <v/>
      </c>
    </row>
    <row r="290">
      <c r="A290" s="15" t="n"/>
      <c r="B290" s="15" t="n"/>
      <c r="C290" s="16" t="n"/>
      <c r="D290" s="16" t="n"/>
      <c r="E290" s="21">
        <f>IF(AND(A290="",B290="",C290="",D290=""),"",IF(TRIM(C290)="",0,LEN(C290)-LEN(SUBSTITUTE(C290,",",""))+1))</f>
        <v/>
      </c>
      <c r="F290" s="21">
        <f>IF(AND(A290="",B290="",C290="",D290=""),"",IF(TRIM(D290)="",0,LEN(D290)-LEN(SUBSTITUTE(D290,",",""))+1))</f>
        <v/>
      </c>
      <c r="G290" s="21">
        <f>IF(B290="","",IF(COUNTIF($B$6:B290,B290)&gt;1,"중복",""))</f>
        <v/>
      </c>
      <c r="H290" s="21">
        <f>IF(AND(A290="",B290="",C290="",D290=""),"",IF(AND(E290&lt;=3,F290&lt;=3,G290=""),1,0))</f>
        <v/>
      </c>
      <c r="I290" s="22">
        <f>IF(H290=0,IF(G290="중복","제외: 같은 이메일 중복 응답","제외: 3개 넘게 선택"),"")</f>
        <v/>
      </c>
    </row>
    <row r="291">
      <c r="A291" s="15" t="n"/>
      <c r="B291" s="15" t="n"/>
      <c r="C291" s="16" t="n"/>
      <c r="D291" s="16" t="n"/>
      <c r="E291" s="21">
        <f>IF(AND(A291="",B291="",C291="",D291=""),"",IF(TRIM(C291)="",0,LEN(C291)-LEN(SUBSTITUTE(C291,",",""))+1))</f>
        <v/>
      </c>
      <c r="F291" s="21">
        <f>IF(AND(A291="",B291="",C291="",D291=""),"",IF(TRIM(D291)="",0,LEN(D291)-LEN(SUBSTITUTE(D291,",",""))+1))</f>
        <v/>
      </c>
      <c r="G291" s="21">
        <f>IF(B291="","",IF(COUNTIF($B$6:B291,B291)&gt;1,"중복",""))</f>
        <v/>
      </c>
      <c r="H291" s="21">
        <f>IF(AND(A291="",B291="",C291="",D291=""),"",IF(AND(E291&lt;=3,F291&lt;=3,G291=""),1,0))</f>
        <v/>
      </c>
      <c r="I291" s="22">
        <f>IF(H291=0,IF(G291="중복","제외: 같은 이메일 중복 응답","제외: 3개 넘게 선택"),"")</f>
        <v/>
      </c>
    </row>
    <row r="292">
      <c r="A292" s="15" t="n"/>
      <c r="B292" s="15" t="n"/>
      <c r="C292" s="16" t="n"/>
      <c r="D292" s="16" t="n"/>
      <c r="E292" s="21">
        <f>IF(AND(A292="",B292="",C292="",D292=""),"",IF(TRIM(C292)="",0,LEN(C292)-LEN(SUBSTITUTE(C292,",",""))+1))</f>
        <v/>
      </c>
      <c r="F292" s="21">
        <f>IF(AND(A292="",B292="",C292="",D292=""),"",IF(TRIM(D292)="",0,LEN(D292)-LEN(SUBSTITUTE(D292,",",""))+1))</f>
        <v/>
      </c>
      <c r="G292" s="21">
        <f>IF(B292="","",IF(COUNTIF($B$6:B292,B292)&gt;1,"중복",""))</f>
        <v/>
      </c>
      <c r="H292" s="21">
        <f>IF(AND(A292="",B292="",C292="",D292=""),"",IF(AND(E292&lt;=3,F292&lt;=3,G292=""),1,0))</f>
        <v/>
      </c>
      <c r="I292" s="22">
        <f>IF(H292=0,IF(G292="중복","제외: 같은 이메일 중복 응답","제외: 3개 넘게 선택"),"")</f>
        <v/>
      </c>
    </row>
    <row r="293">
      <c r="A293" s="15" t="n"/>
      <c r="B293" s="15" t="n"/>
      <c r="C293" s="16" t="n"/>
      <c r="D293" s="16" t="n"/>
      <c r="E293" s="21">
        <f>IF(AND(A293="",B293="",C293="",D293=""),"",IF(TRIM(C293)="",0,LEN(C293)-LEN(SUBSTITUTE(C293,",",""))+1))</f>
        <v/>
      </c>
      <c r="F293" s="21">
        <f>IF(AND(A293="",B293="",C293="",D293=""),"",IF(TRIM(D293)="",0,LEN(D293)-LEN(SUBSTITUTE(D293,",",""))+1))</f>
        <v/>
      </c>
      <c r="G293" s="21">
        <f>IF(B293="","",IF(COUNTIF($B$6:B293,B293)&gt;1,"중복",""))</f>
        <v/>
      </c>
      <c r="H293" s="21">
        <f>IF(AND(A293="",B293="",C293="",D293=""),"",IF(AND(E293&lt;=3,F293&lt;=3,G293=""),1,0))</f>
        <v/>
      </c>
      <c r="I293" s="22">
        <f>IF(H293=0,IF(G293="중복","제외: 같은 이메일 중복 응답","제외: 3개 넘게 선택"),"")</f>
        <v/>
      </c>
    </row>
    <row r="294">
      <c r="A294" s="15" t="n"/>
      <c r="B294" s="15" t="n"/>
      <c r="C294" s="16" t="n"/>
      <c r="D294" s="16" t="n"/>
      <c r="E294" s="21">
        <f>IF(AND(A294="",B294="",C294="",D294=""),"",IF(TRIM(C294)="",0,LEN(C294)-LEN(SUBSTITUTE(C294,",",""))+1))</f>
        <v/>
      </c>
      <c r="F294" s="21">
        <f>IF(AND(A294="",B294="",C294="",D294=""),"",IF(TRIM(D294)="",0,LEN(D294)-LEN(SUBSTITUTE(D294,",",""))+1))</f>
        <v/>
      </c>
      <c r="G294" s="21">
        <f>IF(B294="","",IF(COUNTIF($B$6:B294,B294)&gt;1,"중복",""))</f>
        <v/>
      </c>
      <c r="H294" s="21">
        <f>IF(AND(A294="",B294="",C294="",D294=""),"",IF(AND(E294&lt;=3,F294&lt;=3,G294=""),1,0))</f>
        <v/>
      </c>
      <c r="I294" s="22">
        <f>IF(H294=0,IF(G294="중복","제외: 같은 이메일 중복 응답","제외: 3개 넘게 선택"),"")</f>
        <v/>
      </c>
    </row>
    <row r="295">
      <c r="A295" s="15" t="n"/>
      <c r="B295" s="15" t="n"/>
      <c r="C295" s="16" t="n"/>
      <c r="D295" s="16" t="n"/>
      <c r="E295" s="21">
        <f>IF(AND(A295="",B295="",C295="",D295=""),"",IF(TRIM(C295)="",0,LEN(C295)-LEN(SUBSTITUTE(C295,",",""))+1))</f>
        <v/>
      </c>
      <c r="F295" s="21">
        <f>IF(AND(A295="",B295="",C295="",D295=""),"",IF(TRIM(D295)="",0,LEN(D295)-LEN(SUBSTITUTE(D295,",",""))+1))</f>
        <v/>
      </c>
      <c r="G295" s="21">
        <f>IF(B295="","",IF(COUNTIF($B$6:B295,B295)&gt;1,"중복",""))</f>
        <v/>
      </c>
      <c r="H295" s="21">
        <f>IF(AND(A295="",B295="",C295="",D295=""),"",IF(AND(E295&lt;=3,F295&lt;=3,G295=""),1,0))</f>
        <v/>
      </c>
      <c r="I295" s="22">
        <f>IF(H295=0,IF(G295="중복","제외: 같은 이메일 중복 응답","제외: 3개 넘게 선택"),"")</f>
        <v/>
      </c>
    </row>
    <row r="296">
      <c r="A296" s="15" t="n"/>
      <c r="B296" s="15" t="n"/>
      <c r="C296" s="16" t="n"/>
      <c r="D296" s="16" t="n"/>
      <c r="E296" s="21">
        <f>IF(AND(A296="",B296="",C296="",D296=""),"",IF(TRIM(C296)="",0,LEN(C296)-LEN(SUBSTITUTE(C296,",",""))+1))</f>
        <v/>
      </c>
      <c r="F296" s="21">
        <f>IF(AND(A296="",B296="",C296="",D296=""),"",IF(TRIM(D296)="",0,LEN(D296)-LEN(SUBSTITUTE(D296,",",""))+1))</f>
        <v/>
      </c>
      <c r="G296" s="21">
        <f>IF(B296="","",IF(COUNTIF($B$6:B296,B296)&gt;1,"중복",""))</f>
        <v/>
      </c>
      <c r="H296" s="21">
        <f>IF(AND(A296="",B296="",C296="",D296=""),"",IF(AND(E296&lt;=3,F296&lt;=3,G296=""),1,0))</f>
        <v/>
      </c>
      <c r="I296" s="22">
        <f>IF(H296=0,IF(G296="중복","제외: 같은 이메일 중복 응답","제외: 3개 넘게 선택"),"")</f>
        <v/>
      </c>
    </row>
    <row r="297">
      <c r="A297" s="15" t="n"/>
      <c r="B297" s="15" t="n"/>
      <c r="C297" s="16" t="n"/>
      <c r="D297" s="16" t="n"/>
      <c r="E297" s="21">
        <f>IF(AND(A297="",B297="",C297="",D297=""),"",IF(TRIM(C297)="",0,LEN(C297)-LEN(SUBSTITUTE(C297,",",""))+1))</f>
        <v/>
      </c>
      <c r="F297" s="21">
        <f>IF(AND(A297="",B297="",C297="",D297=""),"",IF(TRIM(D297)="",0,LEN(D297)-LEN(SUBSTITUTE(D297,",",""))+1))</f>
        <v/>
      </c>
      <c r="G297" s="21">
        <f>IF(B297="","",IF(COUNTIF($B$6:B297,B297)&gt;1,"중복",""))</f>
        <v/>
      </c>
      <c r="H297" s="21">
        <f>IF(AND(A297="",B297="",C297="",D297=""),"",IF(AND(E297&lt;=3,F297&lt;=3,G297=""),1,0))</f>
        <v/>
      </c>
      <c r="I297" s="22">
        <f>IF(H297=0,IF(G297="중복","제외: 같은 이메일 중복 응답","제외: 3개 넘게 선택"),"")</f>
        <v/>
      </c>
    </row>
    <row r="298">
      <c r="A298" s="15" t="n"/>
      <c r="B298" s="15" t="n"/>
      <c r="C298" s="16" t="n"/>
      <c r="D298" s="16" t="n"/>
      <c r="E298" s="21">
        <f>IF(AND(A298="",B298="",C298="",D298=""),"",IF(TRIM(C298)="",0,LEN(C298)-LEN(SUBSTITUTE(C298,",",""))+1))</f>
        <v/>
      </c>
      <c r="F298" s="21">
        <f>IF(AND(A298="",B298="",C298="",D298=""),"",IF(TRIM(D298)="",0,LEN(D298)-LEN(SUBSTITUTE(D298,",",""))+1))</f>
        <v/>
      </c>
      <c r="G298" s="21">
        <f>IF(B298="","",IF(COUNTIF($B$6:B298,B298)&gt;1,"중복",""))</f>
        <v/>
      </c>
      <c r="H298" s="21">
        <f>IF(AND(A298="",B298="",C298="",D298=""),"",IF(AND(E298&lt;=3,F298&lt;=3,G298=""),1,0))</f>
        <v/>
      </c>
      <c r="I298" s="22">
        <f>IF(H298=0,IF(G298="중복","제외: 같은 이메일 중복 응답","제외: 3개 넘게 선택"),"")</f>
        <v/>
      </c>
    </row>
    <row r="299">
      <c r="A299" s="15" t="n"/>
      <c r="B299" s="15" t="n"/>
      <c r="C299" s="16" t="n"/>
      <c r="D299" s="16" t="n"/>
      <c r="E299" s="21">
        <f>IF(AND(A299="",B299="",C299="",D299=""),"",IF(TRIM(C299)="",0,LEN(C299)-LEN(SUBSTITUTE(C299,",",""))+1))</f>
        <v/>
      </c>
      <c r="F299" s="21">
        <f>IF(AND(A299="",B299="",C299="",D299=""),"",IF(TRIM(D299)="",0,LEN(D299)-LEN(SUBSTITUTE(D299,",",""))+1))</f>
        <v/>
      </c>
      <c r="G299" s="21">
        <f>IF(B299="","",IF(COUNTIF($B$6:B299,B299)&gt;1,"중복",""))</f>
        <v/>
      </c>
      <c r="H299" s="21">
        <f>IF(AND(A299="",B299="",C299="",D299=""),"",IF(AND(E299&lt;=3,F299&lt;=3,G299=""),1,0))</f>
        <v/>
      </c>
      <c r="I299" s="22">
        <f>IF(H299=0,IF(G299="중복","제외: 같은 이메일 중복 응답","제외: 3개 넘게 선택"),"")</f>
        <v/>
      </c>
    </row>
    <row r="300">
      <c r="A300" s="15" t="n"/>
      <c r="B300" s="15" t="n"/>
      <c r="C300" s="16" t="n"/>
      <c r="D300" s="16" t="n"/>
      <c r="E300" s="21">
        <f>IF(AND(A300="",B300="",C300="",D300=""),"",IF(TRIM(C300)="",0,LEN(C300)-LEN(SUBSTITUTE(C300,",",""))+1))</f>
        <v/>
      </c>
      <c r="F300" s="21">
        <f>IF(AND(A300="",B300="",C300="",D300=""),"",IF(TRIM(D300)="",0,LEN(D300)-LEN(SUBSTITUTE(D300,",",""))+1))</f>
        <v/>
      </c>
      <c r="G300" s="21">
        <f>IF(B300="","",IF(COUNTIF($B$6:B300,B300)&gt;1,"중복",""))</f>
        <v/>
      </c>
      <c r="H300" s="21">
        <f>IF(AND(A300="",B300="",C300="",D300=""),"",IF(AND(E300&lt;=3,F300&lt;=3,G300=""),1,0))</f>
        <v/>
      </c>
      <c r="I300" s="22">
        <f>IF(H300=0,IF(G300="중복","제외: 같은 이메일 중복 응답","제외: 3개 넘게 선택"),"")</f>
        <v/>
      </c>
    </row>
    <row r="301">
      <c r="A301" s="15" t="n"/>
      <c r="B301" s="15" t="n"/>
      <c r="C301" s="16" t="n"/>
      <c r="D301" s="16" t="n"/>
      <c r="E301" s="21">
        <f>IF(AND(A301="",B301="",C301="",D301=""),"",IF(TRIM(C301)="",0,LEN(C301)-LEN(SUBSTITUTE(C301,",",""))+1))</f>
        <v/>
      </c>
      <c r="F301" s="21">
        <f>IF(AND(A301="",B301="",C301="",D301=""),"",IF(TRIM(D301)="",0,LEN(D301)-LEN(SUBSTITUTE(D301,",",""))+1))</f>
        <v/>
      </c>
      <c r="G301" s="21">
        <f>IF(B301="","",IF(COUNTIF($B$6:B301,B301)&gt;1,"중복",""))</f>
        <v/>
      </c>
      <c r="H301" s="21">
        <f>IF(AND(A301="",B301="",C301="",D301=""),"",IF(AND(E301&lt;=3,F301&lt;=3,G301=""),1,0))</f>
        <v/>
      </c>
      <c r="I301" s="22">
        <f>IF(H301=0,IF(G301="중복","제외: 같은 이메일 중복 응답","제외: 3개 넘게 선택"),"")</f>
        <v/>
      </c>
    </row>
    <row r="302">
      <c r="A302" s="15" t="n"/>
      <c r="B302" s="15" t="n"/>
      <c r="C302" s="16" t="n"/>
      <c r="D302" s="16" t="n"/>
      <c r="E302" s="21">
        <f>IF(AND(A302="",B302="",C302="",D302=""),"",IF(TRIM(C302)="",0,LEN(C302)-LEN(SUBSTITUTE(C302,",",""))+1))</f>
        <v/>
      </c>
      <c r="F302" s="21">
        <f>IF(AND(A302="",B302="",C302="",D302=""),"",IF(TRIM(D302)="",0,LEN(D302)-LEN(SUBSTITUTE(D302,",",""))+1))</f>
        <v/>
      </c>
      <c r="G302" s="21">
        <f>IF(B302="","",IF(COUNTIF($B$6:B302,B302)&gt;1,"중복",""))</f>
        <v/>
      </c>
      <c r="H302" s="21">
        <f>IF(AND(A302="",B302="",C302="",D302=""),"",IF(AND(E302&lt;=3,F302&lt;=3,G302=""),1,0))</f>
        <v/>
      </c>
      <c r="I302" s="22">
        <f>IF(H302=0,IF(G302="중복","제외: 같은 이메일 중복 응답","제외: 3개 넘게 선택"),"")</f>
        <v/>
      </c>
    </row>
    <row r="303">
      <c r="A303" s="15" t="n"/>
      <c r="B303" s="15" t="n"/>
      <c r="C303" s="16" t="n"/>
      <c r="D303" s="16" t="n"/>
      <c r="E303" s="21">
        <f>IF(AND(A303="",B303="",C303="",D303=""),"",IF(TRIM(C303)="",0,LEN(C303)-LEN(SUBSTITUTE(C303,",",""))+1))</f>
        <v/>
      </c>
      <c r="F303" s="21">
        <f>IF(AND(A303="",B303="",C303="",D303=""),"",IF(TRIM(D303)="",0,LEN(D303)-LEN(SUBSTITUTE(D303,",",""))+1))</f>
        <v/>
      </c>
      <c r="G303" s="21">
        <f>IF(B303="","",IF(COUNTIF($B$6:B303,B303)&gt;1,"중복",""))</f>
        <v/>
      </c>
      <c r="H303" s="21">
        <f>IF(AND(A303="",B303="",C303="",D303=""),"",IF(AND(E303&lt;=3,F303&lt;=3,G303=""),1,0))</f>
        <v/>
      </c>
      <c r="I303" s="22">
        <f>IF(H303=0,IF(G303="중복","제외: 같은 이메일 중복 응답","제외: 3개 넘게 선택"),"")</f>
        <v/>
      </c>
    </row>
    <row r="304">
      <c r="A304" s="15" t="n"/>
      <c r="B304" s="15" t="n"/>
      <c r="C304" s="16" t="n"/>
      <c r="D304" s="16" t="n"/>
      <c r="E304" s="21">
        <f>IF(AND(A304="",B304="",C304="",D304=""),"",IF(TRIM(C304)="",0,LEN(C304)-LEN(SUBSTITUTE(C304,",",""))+1))</f>
        <v/>
      </c>
      <c r="F304" s="21">
        <f>IF(AND(A304="",B304="",C304="",D304=""),"",IF(TRIM(D304)="",0,LEN(D304)-LEN(SUBSTITUTE(D304,",",""))+1))</f>
        <v/>
      </c>
      <c r="G304" s="21">
        <f>IF(B304="","",IF(COUNTIF($B$6:B304,B304)&gt;1,"중복",""))</f>
        <v/>
      </c>
      <c r="H304" s="21">
        <f>IF(AND(A304="",B304="",C304="",D304=""),"",IF(AND(E304&lt;=3,F304&lt;=3,G304=""),1,0))</f>
        <v/>
      </c>
      <c r="I304" s="22">
        <f>IF(H304=0,IF(G304="중복","제외: 같은 이메일 중복 응답","제외: 3개 넘게 선택"),"")</f>
        <v/>
      </c>
    </row>
    <row r="305">
      <c r="A305" s="15" t="n"/>
      <c r="B305" s="15" t="n"/>
      <c r="C305" s="16" t="n"/>
      <c r="D305" s="16" t="n"/>
      <c r="E305" s="21">
        <f>IF(AND(A305="",B305="",C305="",D305=""),"",IF(TRIM(C305)="",0,LEN(C305)-LEN(SUBSTITUTE(C305,",",""))+1))</f>
        <v/>
      </c>
      <c r="F305" s="21">
        <f>IF(AND(A305="",B305="",C305="",D305=""),"",IF(TRIM(D305)="",0,LEN(D305)-LEN(SUBSTITUTE(D305,",",""))+1))</f>
        <v/>
      </c>
      <c r="G305" s="21">
        <f>IF(B305="","",IF(COUNTIF($B$6:B305,B305)&gt;1,"중복",""))</f>
        <v/>
      </c>
      <c r="H305" s="21">
        <f>IF(AND(A305="",B305="",C305="",D305=""),"",IF(AND(E305&lt;=3,F305&lt;=3,G305=""),1,0))</f>
        <v/>
      </c>
      <c r="I305" s="22">
        <f>IF(H305=0,IF(G305="중복","제외: 같은 이메일 중복 응답","제외: 3개 넘게 선택"),"")</f>
        <v/>
      </c>
    </row>
    <row r="306">
      <c r="A306" s="15" t="n"/>
      <c r="B306" s="15" t="n"/>
      <c r="C306" s="16" t="n"/>
      <c r="D306" s="16" t="n"/>
      <c r="E306" s="21">
        <f>IF(AND(A306="",B306="",C306="",D306=""),"",IF(TRIM(C306)="",0,LEN(C306)-LEN(SUBSTITUTE(C306,",",""))+1))</f>
        <v/>
      </c>
      <c r="F306" s="21">
        <f>IF(AND(A306="",B306="",C306="",D306=""),"",IF(TRIM(D306)="",0,LEN(D306)-LEN(SUBSTITUTE(D306,",",""))+1))</f>
        <v/>
      </c>
      <c r="G306" s="21">
        <f>IF(B306="","",IF(COUNTIF($B$6:B306,B306)&gt;1,"중복",""))</f>
        <v/>
      </c>
      <c r="H306" s="21">
        <f>IF(AND(A306="",B306="",C306="",D306=""),"",IF(AND(E306&lt;=3,F306&lt;=3,G306=""),1,0))</f>
        <v/>
      </c>
      <c r="I306" s="22">
        <f>IF(H306=0,IF(G306="중복","제외: 같은 이메일 중복 응답","제외: 3개 넘게 선택"),"")</f>
        <v/>
      </c>
    </row>
    <row r="307">
      <c r="A307" s="15" t="n"/>
      <c r="B307" s="15" t="n"/>
      <c r="C307" s="16" t="n"/>
      <c r="D307" s="16" t="n"/>
      <c r="E307" s="21">
        <f>IF(AND(A307="",B307="",C307="",D307=""),"",IF(TRIM(C307)="",0,LEN(C307)-LEN(SUBSTITUTE(C307,",",""))+1))</f>
        <v/>
      </c>
      <c r="F307" s="21">
        <f>IF(AND(A307="",B307="",C307="",D307=""),"",IF(TRIM(D307)="",0,LEN(D307)-LEN(SUBSTITUTE(D307,",",""))+1))</f>
        <v/>
      </c>
      <c r="G307" s="21">
        <f>IF(B307="","",IF(COUNTIF($B$6:B307,B307)&gt;1,"중복",""))</f>
        <v/>
      </c>
      <c r="H307" s="21">
        <f>IF(AND(A307="",B307="",C307="",D307=""),"",IF(AND(E307&lt;=3,F307&lt;=3,G307=""),1,0))</f>
        <v/>
      </c>
      <c r="I307" s="22">
        <f>IF(H307=0,IF(G307="중복","제외: 같은 이메일 중복 응답","제외: 3개 넘게 선택"),"")</f>
        <v/>
      </c>
    </row>
    <row r="308">
      <c r="A308" s="15" t="n"/>
      <c r="B308" s="15" t="n"/>
      <c r="C308" s="16" t="n"/>
      <c r="D308" s="16" t="n"/>
      <c r="E308" s="21">
        <f>IF(AND(A308="",B308="",C308="",D308=""),"",IF(TRIM(C308)="",0,LEN(C308)-LEN(SUBSTITUTE(C308,",",""))+1))</f>
        <v/>
      </c>
      <c r="F308" s="21">
        <f>IF(AND(A308="",B308="",C308="",D308=""),"",IF(TRIM(D308)="",0,LEN(D308)-LEN(SUBSTITUTE(D308,",",""))+1))</f>
        <v/>
      </c>
      <c r="G308" s="21">
        <f>IF(B308="","",IF(COUNTIF($B$6:B308,B308)&gt;1,"중복",""))</f>
        <v/>
      </c>
      <c r="H308" s="21">
        <f>IF(AND(A308="",B308="",C308="",D308=""),"",IF(AND(E308&lt;=3,F308&lt;=3,G308=""),1,0))</f>
        <v/>
      </c>
      <c r="I308" s="22">
        <f>IF(H308=0,IF(G308="중복","제외: 같은 이메일 중복 응답","제외: 3개 넘게 선택"),"")</f>
        <v/>
      </c>
    </row>
    <row r="309">
      <c r="A309" s="15" t="n"/>
      <c r="B309" s="15" t="n"/>
      <c r="C309" s="16" t="n"/>
      <c r="D309" s="16" t="n"/>
      <c r="E309" s="21">
        <f>IF(AND(A309="",B309="",C309="",D309=""),"",IF(TRIM(C309)="",0,LEN(C309)-LEN(SUBSTITUTE(C309,",",""))+1))</f>
        <v/>
      </c>
      <c r="F309" s="21">
        <f>IF(AND(A309="",B309="",C309="",D309=""),"",IF(TRIM(D309)="",0,LEN(D309)-LEN(SUBSTITUTE(D309,",",""))+1))</f>
        <v/>
      </c>
      <c r="G309" s="21">
        <f>IF(B309="","",IF(COUNTIF($B$6:B309,B309)&gt;1,"중복",""))</f>
        <v/>
      </c>
      <c r="H309" s="21">
        <f>IF(AND(A309="",B309="",C309="",D309=""),"",IF(AND(E309&lt;=3,F309&lt;=3,G309=""),1,0))</f>
        <v/>
      </c>
      <c r="I309" s="22">
        <f>IF(H309=0,IF(G309="중복","제외: 같은 이메일 중복 응답","제외: 3개 넘게 선택"),"")</f>
        <v/>
      </c>
    </row>
    <row r="310">
      <c r="A310" s="15" t="n"/>
      <c r="B310" s="15" t="n"/>
      <c r="C310" s="16" t="n"/>
      <c r="D310" s="16" t="n"/>
      <c r="E310" s="21">
        <f>IF(AND(A310="",B310="",C310="",D310=""),"",IF(TRIM(C310)="",0,LEN(C310)-LEN(SUBSTITUTE(C310,",",""))+1))</f>
        <v/>
      </c>
      <c r="F310" s="21">
        <f>IF(AND(A310="",B310="",C310="",D310=""),"",IF(TRIM(D310)="",0,LEN(D310)-LEN(SUBSTITUTE(D310,",",""))+1))</f>
        <v/>
      </c>
      <c r="G310" s="21">
        <f>IF(B310="","",IF(COUNTIF($B$6:B310,B310)&gt;1,"중복",""))</f>
        <v/>
      </c>
      <c r="H310" s="21">
        <f>IF(AND(A310="",B310="",C310="",D310=""),"",IF(AND(E310&lt;=3,F310&lt;=3,G310=""),1,0))</f>
        <v/>
      </c>
      <c r="I310" s="22">
        <f>IF(H310=0,IF(G310="중복","제외: 같은 이메일 중복 응답","제외: 3개 넘게 선택"),"")</f>
        <v/>
      </c>
    </row>
    <row r="311">
      <c r="A311" s="15" t="n"/>
      <c r="B311" s="15" t="n"/>
      <c r="C311" s="16" t="n"/>
      <c r="D311" s="16" t="n"/>
      <c r="E311" s="21">
        <f>IF(AND(A311="",B311="",C311="",D311=""),"",IF(TRIM(C311)="",0,LEN(C311)-LEN(SUBSTITUTE(C311,",",""))+1))</f>
        <v/>
      </c>
      <c r="F311" s="21">
        <f>IF(AND(A311="",B311="",C311="",D311=""),"",IF(TRIM(D311)="",0,LEN(D311)-LEN(SUBSTITUTE(D311,",",""))+1))</f>
        <v/>
      </c>
      <c r="G311" s="21">
        <f>IF(B311="","",IF(COUNTIF($B$6:B311,B311)&gt;1,"중복",""))</f>
        <v/>
      </c>
      <c r="H311" s="21">
        <f>IF(AND(A311="",B311="",C311="",D311=""),"",IF(AND(E311&lt;=3,F311&lt;=3,G311=""),1,0))</f>
        <v/>
      </c>
      <c r="I311" s="22">
        <f>IF(H311=0,IF(G311="중복","제외: 같은 이메일 중복 응답","제외: 3개 넘게 선택"),"")</f>
        <v/>
      </c>
    </row>
    <row r="312">
      <c r="A312" s="15" t="n"/>
      <c r="B312" s="15" t="n"/>
      <c r="C312" s="16" t="n"/>
      <c r="D312" s="16" t="n"/>
      <c r="E312" s="21">
        <f>IF(AND(A312="",B312="",C312="",D312=""),"",IF(TRIM(C312)="",0,LEN(C312)-LEN(SUBSTITUTE(C312,",",""))+1))</f>
        <v/>
      </c>
      <c r="F312" s="21">
        <f>IF(AND(A312="",B312="",C312="",D312=""),"",IF(TRIM(D312)="",0,LEN(D312)-LEN(SUBSTITUTE(D312,",",""))+1))</f>
        <v/>
      </c>
      <c r="G312" s="21">
        <f>IF(B312="","",IF(COUNTIF($B$6:B312,B312)&gt;1,"중복",""))</f>
        <v/>
      </c>
      <c r="H312" s="21">
        <f>IF(AND(A312="",B312="",C312="",D312=""),"",IF(AND(E312&lt;=3,F312&lt;=3,G312=""),1,0))</f>
        <v/>
      </c>
      <c r="I312" s="22">
        <f>IF(H312=0,IF(G312="중복","제외: 같은 이메일 중복 응답","제외: 3개 넘게 선택"),"")</f>
        <v/>
      </c>
    </row>
    <row r="313">
      <c r="A313" s="15" t="n"/>
      <c r="B313" s="15" t="n"/>
      <c r="C313" s="16" t="n"/>
      <c r="D313" s="16" t="n"/>
      <c r="E313" s="21">
        <f>IF(AND(A313="",B313="",C313="",D313=""),"",IF(TRIM(C313)="",0,LEN(C313)-LEN(SUBSTITUTE(C313,",",""))+1))</f>
        <v/>
      </c>
      <c r="F313" s="21">
        <f>IF(AND(A313="",B313="",C313="",D313=""),"",IF(TRIM(D313)="",0,LEN(D313)-LEN(SUBSTITUTE(D313,",",""))+1))</f>
        <v/>
      </c>
      <c r="G313" s="21">
        <f>IF(B313="","",IF(COUNTIF($B$6:B313,B313)&gt;1,"중복",""))</f>
        <v/>
      </c>
      <c r="H313" s="21">
        <f>IF(AND(A313="",B313="",C313="",D313=""),"",IF(AND(E313&lt;=3,F313&lt;=3,G313=""),1,0))</f>
        <v/>
      </c>
      <c r="I313" s="22">
        <f>IF(H313=0,IF(G313="중복","제외: 같은 이메일 중복 응답","제외: 3개 넘게 선택"),"")</f>
        <v/>
      </c>
    </row>
    <row r="314">
      <c r="A314" s="15" t="n"/>
      <c r="B314" s="15" t="n"/>
      <c r="C314" s="16" t="n"/>
      <c r="D314" s="16" t="n"/>
      <c r="E314" s="21">
        <f>IF(AND(A314="",B314="",C314="",D314=""),"",IF(TRIM(C314)="",0,LEN(C314)-LEN(SUBSTITUTE(C314,",",""))+1))</f>
        <v/>
      </c>
      <c r="F314" s="21">
        <f>IF(AND(A314="",B314="",C314="",D314=""),"",IF(TRIM(D314)="",0,LEN(D314)-LEN(SUBSTITUTE(D314,",",""))+1))</f>
        <v/>
      </c>
      <c r="G314" s="21">
        <f>IF(B314="","",IF(COUNTIF($B$6:B314,B314)&gt;1,"중복",""))</f>
        <v/>
      </c>
      <c r="H314" s="21">
        <f>IF(AND(A314="",B314="",C314="",D314=""),"",IF(AND(E314&lt;=3,F314&lt;=3,G314=""),1,0))</f>
        <v/>
      </c>
      <c r="I314" s="22">
        <f>IF(H314=0,IF(G314="중복","제외: 같은 이메일 중복 응답","제외: 3개 넘게 선택"),"")</f>
        <v/>
      </c>
    </row>
    <row r="315">
      <c r="A315" s="15" t="n"/>
      <c r="B315" s="15" t="n"/>
      <c r="C315" s="16" t="n"/>
      <c r="D315" s="16" t="n"/>
      <c r="E315" s="21">
        <f>IF(AND(A315="",B315="",C315="",D315=""),"",IF(TRIM(C315)="",0,LEN(C315)-LEN(SUBSTITUTE(C315,",",""))+1))</f>
        <v/>
      </c>
      <c r="F315" s="21">
        <f>IF(AND(A315="",B315="",C315="",D315=""),"",IF(TRIM(D315)="",0,LEN(D315)-LEN(SUBSTITUTE(D315,",",""))+1))</f>
        <v/>
      </c>
      <c r="G315" s="21">
        <f>IF(B315="","",IF(COUNTIF($B$6:B315,B315)&gt;1,"중복",""))</f>
        <v/>
      </c>
      <c r="H315" s="21">
        <f>IF(AND(A315="",B315="",C315="",D315=""),"",IF(AND(E315&lt;=3,F315&lt;=3,G315=""),1,0))</f>
        <v/>
      </c>
      <c r="I315" s="22">
        <f>IF(H315=0,IF(G315="중복","제외: 같은 이메일 중복 응답","제외: 3개 넘게 선택"),"")</f>
        <v/>
      </c>
    </row>
    <row r="316">
      <c r="A316" s="15" t="n"/>
      <c r="B316" s="15" t="n"/>
      <c r="C316" s="16" t="n"/>
      <c r="D316" s="16" t="n"/>
      <c r="E316" s="21">
        <f>IF(AND(A316="",B316="",C316="",D316=""),"",IF(TRIM(C316)="",0,LEN(C316)-LEN(SUBSTITUTE(C316,",",""))+1))</f>
        <v/>
      </c>
      <c r="F316" s="21">
        <f>IF(AND(A316="",B316="",C316="",D316=""),"",IF(TRIM(D316)="",0,LEN(D316)-LEN(SUBSTITUTE(D316,",",""))+1))</f>
        <v/>
      </c>
      <c r="G316" s="21">
        <f>IF(B316="","",IF(COUNTIF($B$6:B316,B316)&gt;1,"중복",""))</f>
        <v/>
      </c>
      <c r="H316" s="21">
        <f>IF(AND(A316="",B316="",C316="",D316=""),"",IF(AND(E316&lt;=3,F316&lt;=3,G316=""),1,0))</f>
        <v/>
      </c>
      <c r="I316" s="22">
        <f>IF(H316=0,IF(G316="중복","제외: 같은 이메일 중복 응답","제외: 3개 넘게 선택"),"")</f>
        <v/>
      </c>
    </row>
    <row r="317">
      <c r="A317" s="15" t="n"/>
      <c r="B317" s="15" t="n"/>
      <c r="C317" s="16" t="n"/>
      <c r="D317" s="16" t="n"/>
      <c r="E317" s="21">
        <f>IF(AND(A317="",B317="",C317="",D317=""),"",IF(TRIM(C317)="",0,LEN(C317)-LEN(SUBSTITUTE(C317,",",""))+1))</f>
        <v/>
      </c>
      <c r="F317" s="21">
        <f>IF(AND(A317="",B317="",C317="",D317=""),"",IF(TRIM(D317)="",0,LEN(D317)-LEN(SUBSTITUTE(D317,",",""))+1))</f>
        <v/>
      </c>
      <c r="G317" s="21">
        <f>IF(B317="","",IF(COUNTIF($B$6:B317,B317)&gt;1,"중복",""))</f>
        <v/>
      </c>
      <c r="H317" s="21">
        <f>IF(AND(A317="",B317="",C317="",D317=""),"",IF(AND(E317&lt;=3,F317&lt;=3,G317=""),1,0))</f>
        <v/>
      </c>
      <c r="I317" s="22">
        <f>IF(H317=0,IF(G317="중복","제외: 같은 이메일 중복 응답","제외: 3개 넘게 선택"),"")</f>
        <v/>
      </c>
    </row>
    <row r="318">
      <c r="A318" s="15" t="n"/>
      <c r="B318" s="15" t="n"/>
      <c r="C318" s="16" t="n"/>
      <c r="D318" s="16" t="n"/>
      <c r="E318" s="21">
        <f>IF(AND(A318="",B318="",C318="",D318=""),"",IF(TRIM(C318)="",0,LEN(C318)-LEN(SUBSTITUTE(C318,",",""))+1))</f>
        <v/>
      </c>
      <c r="F318" s="21">
        <f>IF(AND(A318="",B318="",C318="",D318=""),"",IF(TRIM(D318)="",0,LEN(D318)-LEN(SUBSTITUTE(D318,",",""))+1))</f>
        <v/>
      </c>
      <c r="G318" s="21">
        <f>IF(B318="","",IF(COUNTIF($B$6:B318,B318)&gt;1,"중복",""))</f>
        <v/>
      </c>
      <c r="H318" s="21">
        <f>IF(AND(A318="",B318="",C318="",D318=""),"",IF(AND(E318&lt;=3,F318&lt;=3,G318=""),1,0))</f>
        <v/>
      </c>
      <c r="I318" s="22">
        <f>IF(H318=0,IF(G318="중복","제외: 같은 이메일 중복 응답","제외: 3개 넘게 선택"),"")</f>
        <v/>
      </c>
    </row>
    <row r="319">
      <c r="A319" s="15" t="n"/>
      <c r="B319" s="15" t="n"/>
      <c r="C319" s="16" t="n"/>
      <c r="D319" s="16" t="n"/>
      <c r="E319" s="21">
        <f>IF(AND(A319="",B319="",C319="",D319=""),"",IF(TRIM(C319)="",0,LEN(C319)-LEN(SUBSTITUTE(C319,",",""))+1))</f>
        <v/>
      </c>
      <c r="F319" s="21">
        <f>IF(AND(A319="",B319="",C319="",D319=""),"",IF(TRIM(D319)="",0,LEN(D319)-LEN(SUBSTITUTE(D319,",",""))+1))</f>
        <v/>
      </c>
      <c r="G319" s="21">
        <f>IF(B319="","",IF(COUNTIF($B$6:B319,B319)&gt;1,"중복",""))</f>
        <v/>
      </c>
      <c r="H319" s="21">
        <f>IF(AND(A319="",B319="",C319="",D319=""),"",IF(AND(E319&lt;=3,F319&lt;=3,G319=""),1,0))</f>
        <v/>
      </c>
      <c r="I319" s="22">
        <f>IF(H319=0,IF(G319="중복","제외: 같은 이메일 중복 응답","제외: 3개 넘게 선택"),"")</f>
        <v/>
      </c>
    </row>
    <row r="320">
      <c r="A320" s="15" t="n"/>
      <c r="B320" s="15" t="n"/>
      <c r="C320" s="16" t="n"/>
      <c r="D320" s="16" t="n"/>
      <c r="E320" s="21">
        <f>IF(AND(A320="",B320="",C320="",D320=""),"",IF(TRIM(C320)="",0,LEN(C320)-LEN(SUBSTITUTE(C320,",",""))+1))</f>
        <v/>
      </c>
      <c r="F320" s="21">
        <f>IF(AND(A320="",B320="",C320="",D320=""),"",IF(TRIM(D320)="",0,LEN(D320)-LEN(SUBSTITUTE(D320,",",""))+1))</f>
        <v/>
      </c>
      <c r="G320" s="21">
        <f>IF(B320="","",IF(COUNTIF($B$6:B320,B320)&gt;1,"중복",""))</f>
        <v/>
      </c>
      <c r="H320" s="21">
        <f>IF(AND(A320="",B320="",C320="",D320=""),"",IF(AND(E320&lt;=3,F320&lt;=3,G320=""),1,0))</f>
        <v/>
      </c>
      <c r="I320" s="22">
        <f>IF(H320=0,IF(G320="중복","제외: 같은 이메일 중복 응답","제외: 3개 넘게 선택"),"")</f>
        <v/>
      </c>
    </row>
    <row r="321">
      <c r="A321" s="15" t="n"/>
      <c r="B321" s="15" t="n"/>
      <c r="C321" s="16" t="n"/>
      <c r="D321" s="16" t="n"/>
      <c r="E321" s="21">
        <f>IF(AND(A321="",B321="",C321="",D321=""),"",IF(TRIM(C321)="",0,LEN(C321)-LEN(SUBSTITUTE(C321,",",""))+1))</f>
        <v/>
      </c>
      <c r="F321" s="21">
        <f>IF(AND(A321="",B321="",C321="",D321=""),"",IF(TRIM(D321)="",0,LEN(D321)-LEN(SUBSTITUTE(D321,",",""))+1))</f>
        <v/>
      </c>
      <c r="G321" s="21">
        <f>IF(B321="","",IF(COUNTIF($B$6:B321,B321)&gt;1,"중복",""))</f>
        <v/>
      </c>
      <c r="H321" s="21">
        <f>IF(AND(A321="",B321="",C321="",D321=""),"",IF(AND(E321&lt;=3,F321&lt;=3,G321=""),1,0))</f>
        <v/>
      </c>
      <c r="I321" s="22">
        <f>IF(H321=0,IF(G321="중복","제외: 같은 이메일 중복 응답","제외: 3개 넘게 선택"),"")</f>
        <v/>
      </c>
    </row>
    <row r="322">
      <c r="A322" s="15" t="n"/>
      <c r="B322" s="15" t="n"/>
      <c r="C322" s="16" t="n"/>
      <c r="D322" s="16" t="n"/>
      <c r="E322" s="21">
        <f>IF(AND(A322="",B322="",C322="",D322=""),"",IF(TRIM(C322)="",0,LEN(C322)-LEN(SUBSTITUTE(C322,",",""))+1))</f>
        <v/>
      </c>
      <c r="F322" s="21">
        <f>IF(AND(A322="",B322="",C322="",D322=""),"",IF(TRIM(D322)="",0,LEN(D322)-LEN(SUBSTITUTE(D322,",",""))+1))</f>
        <v/>
      </c>
      <c r="G322" s="21">
        <f>IF(B322="","",IF(COUNTIF($B$6:B322,B322)&gt;1,"중복",""))</f>
        <v/>
      </c>
      <c r="H322" s="21">
        <f>IF(AND(A322="",B322="",C322="",D322=""),"",IF(AND(E322&lt;=3,F322&lt;=3,G322=""),1,0))</f>
        <v/>
      </c>
      <c r="I322" s="22">
        <f>IF(H322=0,IF(G322="중복","제외: 같은 이메일 중복 응답","제외: 3개 넘게 선택"),"")</f>
        <v/>
      </c>
    </row>
    <row r="323">
      <c r="A323" s="15" t="n"/>
      <c r="B323" s="15" t="n"/>
      <c r="C323" s="16" t="n"/>
      <c r="D323" s="16" t="n"/>
      <c r="E323" s="21">
        <f>IF(AND(A323="",B323="",C323="",D323=""),"",IF(TRIM(C323)="",0,LEN(C323)-LEN(SUBSTITUTE(C323,",",""))+1))</f>
        <v/>
      </c>
      <c r="F323" s="21">
        <f>IF(AND(A323="",B323="",C323="",D323=""),"",IF(TRIM(D323)="",0,LEN(D323)-LEN(SUBSTITUTE(D323,",",""))+1))</f>
        <v/>
      </c>
      <c r="G323" s="21">
        <f>IF(B323="","",IF(COUNTIF($B$6:B323,B323)&gt;1,"중복",""))</f>
        <v/>
      </c>
      <c r="H323" s="21">
        <f>IF(AND(A323="",B323="",C323="",D323=""),"",IF(AND(E323&lt;=3,F323&lt;=3,G323=""),1,0))</f>
        <v/>
      </c>
      <c r="I323" s="22">
        <f>IF(H323=0,IF(G323="중복","제외: 같은 이메일 중복 응답","제외: 3개 넘게 선택"),"")</f>
        <v/>
      </c>
    </row>
    <row r="324">
      <c r="A324" s="15" t="n"/>
      <c r="B324" s="15" t="n"/>
      <c r="C324" s="16" t="n"/>
      <c r="D324" s="16" t="n"/>
      <c r="E324" s="21">
        <f>IF(AND(A324="",B324="",C324="",D324=""),"",IF(TRIM(C324)="",0,LEN(C324)-LEN(SUBSTITUTE(C324,",",""))+1))</f>
        <v/>
      </c>
      <c r="F324" s="21">
        <f>IF(AND(A324="",B324="",C324="",D324=""),"",IF(TRIM(D324)="",0,LEN(D324)-LEN(SUBSTITUTE(D324,",",""))+1))</f>
        <v/>
      </c>
      <c r="G324" s="21">
        <f>IF(B324="","",IF(COUNTIF($B$6:B324,B324)&gt;1,"중복",""))</f>
        <v/>
      </c>
      <c r="H324" s="21">
        <f>IF(AND(A324="",B324="",C324="",D324=""),"",IF(AND(E324&lt;=3,F324&lt;=3,G324=""),1,0))</f>
        <v/>
      </c>
      <c r="I324" s="22">
        <f>IF(H324=0,IF(G324="중복","제외: 같은 이메일 중복 응답","제외: 3개 넘게 선택"),"")</f>
        <v/>
      </c>
    </row>
    <row r="325">
      <c r="A325" s="15" t="n"/>
      <c r="B325" s="15" t="n"/>
      <c r="C325" s="16" t="n"/>
      <c r="D325" s="16" t="n"/>
      <c r="E325" s="21">
        <f>IF(AND(A325="",B325="",C325="",D325=""),"",IF(TRIM(C325)="",0,LEN(C325)-LEN(SUBSTITUTE(C325,",",""))+1))</f>
        <v/>
      </c>
      <c r="F325" s="21">
        <f>IF(AND(A325="",B325="",C325="",D325=""),"",IF(TRIM(D325)="",0,LEN(D325)-LEN(SUBSTITUTE(D325,",",""))+1))</f>
        <v/>
      </c>
      <c r="G325" s="21">
        <f>IF(B325="","",IF(COUNTIF($B$6:B325,B325)&gt;1,"중복",""))</f>
        <v/>
      </c>
      <c r="H325" s="21">
        <f>IF(AND(A325="",B325="",C325="",D325=""),"",IF(AND(E325&lt;=3,F325&lt;=3,G325=""),1,0))</f>
        <v/>
      </c>
      <c r="I325" s="22">
        <f>IF(H325=0,IF(G325="중복","제외: 같은 이메일 중복 응답","제외: 3개 넘게 선택"),"")</f>
        <v/>
      </c>
    </row>
    <row r="326">
      <c r="A326" s="15" t="n"/>
      <c r="B326" s="15" t="n"/>
      <c r="C326" s="16" t="n"/>
      <c r="D326" s="16" t="n"/>
      <c r="E326" s="21">
        <f>IF(AND(A326="",B326="",C326="",D326=""),"",IF(TRIM(C326)="",0,LEN(C326)-LEN(SUBSTITUTE(C326,",",""))+1))</f>
        <v/>
      </c>
      <c r="F326" s="21">
        <f>IF(AND(A326="",B326="",C326="",D326=""),"",IF(TRIM(D326)="",0,LEN(D326)-LEN(SUBSTITUTE(D326,",",""))+1))</f>
        <v/>
      </c>
      <c r="G326" s="21">
        <f>IF(B326="","",IF(COUNTIF($B$6:B326,B326)&gt;1,"중복",""))</f>
        <v/>
      </c>
      <c r="H326" s="21">
        <f>IF(AND(A326="",B326="",C326="",D326=""),"",IF(AND(E326&lt;=3,F326&lt;=3,G326=""),1,0))</f>
        <v/>
      </c>
      <c r="I326" s="22">
        <f>IF(H326=0,IF(G326="중복","제외: 같은 이메일 중복 응답","제외: 3개 넘게 선택"),"")</f>
        <v/>
      </c>
    </row>
    <row r="327">
      <c r="A327" s="15" t="n"/>
      <c r="B327" s="15" t="n"/>
      <c r="C327" s="16" t="n"/>
      <c r="D327" s="16" t="n"/>
      <c r="E327" s="21">
        <f>IF(AND(A327="",B327="",C327="",D327=""),"",IF(TRIM(C327)="",0,LEN(C327)-LEN(SUBSTITUTE(C327,",",""))+1))</f>
        <v/>
      </c>
      <c r="F327" s="21">
        <f>IF(AND(A327="",B327="",C327="",D327=""),"",IF(TRIM(D327)="",0,LEN(D327)-LEN(SUBSTITUTE(D327,",",""))+1))</f>
        <v/>
      </c>
      <c r="G327" s="21">
        <f>IF(B327="","",IF(COUNTIF($B$6:B327,B327)&gt;1,"중복",""))</f>
        <v/>
      </c>
      <c r="H327" s="21">
        <f>IF(AND(A327="",B327="",C327="",D327=""),"",IF(AND(E327&lt;=3,F327&lt;=3,G327=""),1,0))</f>
        <v/>
      </c>
      <c r="I327" s="22">
        <f>IF(H327=0,IF(G327="중복","제외: 같은 이메일 중복 응답","제외: 3개 넘게 선택"),"")</f>
        <v/>
      </c>
    </row>
    <row r="328">
      <c r="A328" s="15" t="n"/>
      <c r="B328" s="15" t="n"/>
      <c r="C328" s="16" t="n"/>
      <c r="D328" s="16" t="n"/>
      <c r="E328" s="21">
        <f>IF(AND(A328="",B328="",C328="",D328=""),"",IF(TRIM(C328)="",0,LEN(C328)-LEN(SUBSTITUTE(C328,",",""))+1))</f>
        <v/>
      </c>
      <c r="F328" s="21">
        <f>IF(AND(A328="",B328="",C328="",D328=""),"",IF(TRIM(D328)="",0,LEN(D328)-LEN(SUBSTITUTE(D328,",",""))+1))</f>
        <v/>
      </c>
      <c r="G328" s="21">
        <f>IF(B328="","",IF(COUNTIF($B$6:B328,B328)&gt;1,"중복",""))</f>
        <v/>
      </c>
      <c r="H328" s="21">
        <f>IF(AND(A328="",B328="",C328="",D328=""),"",IF(AND(E328&lt;=3,F328&lt;=3,G328=""),1,0))</f>
        <v/>
      </c>
      <c r="I328" s="22">
        <f>IF(H328=0,IF(G328="중복","제외: 같은 이메일 중복 응답","제외: 3개 넘게 선택"),"")</f>
        <v/>
      </c>
    </row>
    <row r="329">
      <c r="A329" s="15" t="n"/>
      <c r="B329" s="15" t="n"/>
      <c r="C329" s="16" t="n"/>
      <c r="D329" s="16" t="n"/>
      <c r="E329" s="21">
        <f>IF(AND(A329="",B329="",C329="",D329=""),"",IF(TRIM(C329)="",0,LEN(C329)-LEN(SUBSTITUTE(C329,",",""))+1))</f>
        <v/>
      </c>
      <c r="F329" s="21">
        <f>IF(AND(A329="",B329="",C329="",D329=""),"",IF(TRIM(D329)="",0,LEN(D329)-LEN(SUBSTITUTE(D329,",",""))+1))</f>
        <v/>
      </c>
      <c r="G329" s="21">
        <f>IF(B329="","",IF(COUNTIF($B$6:B329,B329)&gt;1,"중복",""))</f>
        <v/>
      </c>
      <c r="H329" s="21">
        <f>IF(AND(A329="",B329="",C329="",D329=""),"",IF(AND(E329&lt;=3,F329&lt;=3,G329=""),1,0))</f>
        <v/>
      </c>
      <c r="I329" s="22">
        <f>IF(H329=0,IF(G329="중복","제외: 같은 이메일 중복 응답","제외: 3개 넘게 선택"),"")</f>
        <v/>
      </c>
    </row>
    <row r="330">
      <c r="A330" s="15" t="n"/>
      <c r="B330" s="15" t="n"/>
      <c r="C330" s="16" t="n"/>
      <c r="D330" s="16" t="n"/>
      <c r="E330" s="21">
        <f>IF(AND(A330="",B330="",C330="",D330=""),"",IF(TRIM(C330)="",0,LEN(C330)-LEN(SUBSTITUTE(C330,",",""))+1))</f>
        <v/>
      </c>
      <c r="F330" s="21">
        <f>IF(AND(A330="",B330="",C330="",D330=""),"",IF(TRIM(D330)="",0,LEN(D330)-LEN(SUBSTITUTE(D330,",",""))+1))</f>
        <v/>
      </c>
      <c r="G330" s="21">
        <f>IF(B330="","",IF(COUNTIF($B$6:B330,B330)&gt;1,"중복",""))</f>
        <v/>
      </c>
      <c r="H330" s="21">
        <f>IF(AND(A330="",B330="",C330="",D330=""),"",IF(AND(E330&lt;=3,F330&lt;=3,G330=""),1,0))</f>
        <v/>
      </c>
      <c r="I330" s="22">
        <f>IF(H330=0,IF(G330="중복","제외: 같은 이메일 중복 응답","제외: 3개 넘게 선택"),"")</f>
        <v/>
      </c>
    </row>
    <row r="331">
      <c r="A331" s="15" t="n"/>
      <c r="B331" s="15" t="n"/>
      <c r="C331" s="16" t="n"/>
      <c r="D331" s="16" t="n"/>
      <c r="E331" s="21">
        <f>IF(AND(A331="",B331="",C331="",D331=""),"",IF(TRIM(C331)="",0,LEN(C331)-LEN(SUBSTITUTE(C331,",",""))+1))</f>
        <v/>
      </c>
      <c r="F331" s="21">
        <f>IF(AND(A331="",B331="",C331="",D331=""),"",IF(TRIM(D331)="",0,LEN(D331)-LEN(SUBSTITUTE(D331,",",""))+1))</f>
        <v/>
      </c>
      <c r="G331" s="21">
        <f>IF(B331="","",IF(COUNTIF($B$6:B331,B331)&gt;1,"중복",""))</f>
        <v/>
      </c>
      <c r="H331" s="21">
        <f>IF(AND(A331="",B331="",C331="",D331=""),"",IF(AND(E331&lt;=3,F331&lt;=3,G331=""),1,0))</f>
        <v/>
      </c>
      <c r="I331" s="22">
        <f>IF(H331=0,IF(G331="중복","제외: 같은 이메일 중복 응답","제외: 3개 넘게 선택"),"")</f>
        <v/>
      </c>
    </row>
    <row r="332">
      <c r="A332" s="15" t="n"/>
      <c r="B332" s="15" t="n"/>
      <c r="C332" s="16" t="n"/>
      <c r="D332" s="16" t="n"/>
      <c r="E332" s="21">
        <f>IF(AND(A332="",B332="",C332="",D332=""),"",IF(TRIM(C332)="",0,LEN(C332)-LEN(SUBSTITUTE(C332,",",""))+1))</f>
        <v/>
      </c>
      <c r="F332" s="21">
        <f>IF(AND(A332="",B332="",C332="",D332=""),"",IF(TRIM(D332)="",0,LEN(D332)-LEN(SUBSTITUTE(D332,",",""))+1))</f>
        <v/>
      </c>
      <c r="G332" s="21">
        <f>IF(B332="","",IF(COUNTIF($B$6:B332,B332)&gt;1,"중복",""))</f>
        <v/>
      </c>
      <c r="H332" s="21">
        <f>IF(AND(A332="",B332="",C332="",D332=""),"",IF(AND(E332&lt;=3,F332&lt;=3,G332=""),1,0))</f>
        <v/>
      </c>
      <c r="I332" s="22">
        <f>IF(H332=0,IF(G332="중복","제외: 같은 이메일 중복 응답","제외: 3개 넘게 선택"),"")</f>
        <v/>
      </c>
    </row>
    <row r="333">
      <c r="A333" s="15" t="n"/>
      <c r="B333" s="15" t="n"/>
      <c r="C333" s="16" t="n"/>
      <c r="D333" s="16" t="n"/>
      <c r="E333" s="21">
        <f>IF(AND(A333="",B333="",C333="",D333=""),"",IF(TRIM(C333)="",0,LEN(C333)-LEN(SUBSTITUTE(C333,",",""))+1))</f>
        <v/>
      </c>
      <c r="F333" s="21">
        <f>IF(AND(A333="",B333="",C333="",D333=""),"",IF(TRIM(D333)="",0,LEN(D333)-LEN(SUBSTITUTE(D333,",",""))+1))</f>
        <v/>
      </c>
      <c r="G333" s="21">
        <f>IF(B333="","",IF(COUNTIF($B$6:B333,B333)&gt;1,"중복",""))</f>
        <v/>
      </c>
      <c r="H333" s="21">
        <f>IF(AND(A333="",B333="",C333="",D333=""),"",IF(AND(E333&lt;=3,F333&lt;=3,G333=""),1,0))</f>
        <v/>
      </c>
      <c r="I333" s="22">
        <f>IF(H333=0,IF(G333="중복","제외: 같은 이메일 중복 응답","제외: 3개 넘게 선택"),"")</f>
        <v/>
      </c>
    </row>
    <row r="334">
      <c r="A334" s="15" t="n"/>
      <c r="B334" s="15" t="n"/>
      <c r="C334" s="16" t="n"/>
      <c r="D334" s="16" t="n"/>
      <c r="E334" s="21">
        <f>IF(AND(A334="",B334="",C334="",D334=""),"",IF(TRIM(C334)="",0,LEN(C334)-LEN(SUBSTITUTE(C334,",",""))+1))</f>
        <v/>
      </c>
      <c r="F334" s="21">
        <f>IF(AND(A334="",B334="",C334="",D334=""),"",IF(TRIM(D334)="",0,LEN(D334)-LEN(SUBSTITUTE(D334,",",""))+1))</f>
        <v/>
      </c>
      <c r="G334" s="21">
        <f>IF(B334="","",IF(COUNTIF($B$6:B334,B334)&gt;1,"중복",""))</f>
        <v/>
      </c>
      <c r="H334" s="21">
        <f>IF(AND(A334="",B334="",C334="",D334=""),"",IF(AND(E334&lt;=3,F334&lt;=3,G334=""),1,0))</f>
        <v/>
      </c>
      <c r="I334" s="22">
        <f>IF(H334=0,IF(G334="중복","제외: 같은 이메일 중복 응답","제외: 3개 넘게 선택"),"")</f>
        <v/>
      </c>
    </row>
    <row r="335">
      <c r="A335" s="15" t="n"/>
      <c r="B335" s="15" t="n"/>
      <c r="C335" s="16" t="n"/>
      <c r="D335" s="16" t="n"/>
      <c r="E335" s="21">
        <f>IF(AND(A335="",B335="",C335="",D335=""),"",IF(TRIM(C335)="",0,LEN(C335)-LEN(SUBSTITUTE(C335,",",""))+1))</f>
        <v/>
      </c>
      <c r="F335" s="21">
        <f>IF(AND(A335="",B335="",C335="",D335=""),"",IF(TRIM(D335)="",0,LEN(D335)-LEN(SUBSTITUTE(D335,",",""))+1))</f>
        <v/>
      </c>
      <c r="G335" s="21">
        <f>IF(B335="","",IF(COUNTIF($B$6:B335,B335)&gt;1,"중복",""))</f>
        <v/>
      </c>
      <c r="H335" s="21">
        <f>IF(AND(A335="",B335="",C335="",D335=""),"",IF(AND(E335&lt;=3,F335&lt;=3,G335=""),1,0))</f>
        <v/>
      </c>
      <c r="I335" s="22">
        <f>IF(H335=0,IF(G335="중복","제외: 같은 이메일 중복 응답","제외: 3개 넘게 선택"),"")</f>
        <v/>
      </c>
    </row>
    <row r="336">
      <c r="A336" s="15" t="n"/>
      <c r="B336" s="15" t="n"/>
      <c r="C336" s="16" t="n"/>
      <c r="D336" s="16" t="n"/>
      <c r="E336" s="21">
        <f>IF(AND(A336="",B336="",C336="",D336=""),"",IF(TRIM(C336)="",0,LEN(C336)-LEN(SUBSTITUTE(C336,",",""))+1))</f>
        <v/>
      </c>
      <c r="F336" s="21">
        <f>IF(AND(A336="",B336="",C336="",D336=""),"",IF(TRIM(D336)="",0,LEN(D336)-LEN(SUBSTITUTE(D336,",",""))+1))</f>
        <v/>
      </c>
      <c r="G336" s="21">
        <f>IF(B336="","",IF(COUNTIF($B$6:B336,B336)&gt;1,"중복",""))</f>
        <v/>
      </c>
      <c r="H336" s="21">
        <f>IF(AND(A336="",B336="",C336="",D336=""),"",IF(AND(E336&lt;=3,F336&lt;=3,G336=""),1,0))</f>
        <v/>
      </c>
      <c r="I336" s="22">
        <f>IF(H336=0,IF(G336="중복","제외: 같은 이메일 중복 응답","제외: 3개 넘게 선택"),"")</f>
        <v/>
      </c>
    </row>
    <row r="337">
      <c r="A337" s="15" t="n"/>
      <c r="B337" s="15" t="n"/>
      <c r="C337" s="16" t="n"/>
      <c r="D337" s="16" t="n"/>
      <c r="E337" s="21">
        <f>IF(AND(A337="",B337="",C337="",D337=""),"",IF(TRIM(C337)="",0,LEN(C337)-LEN(SUBSTITUTE(C337,",",""))+1))</f>
        <v/>
      </c>
      <c r="F337" s="21">
        <f>IF(AND(A337="",B337="",C337="",D337=""),"",IF(TRIM(D337)="",0,LEN(D337)-LEN(SUBSTITUTE(D337,",",""))+1))</f>
        <v/>
      </c>
      <c r="G337" s="21">
        <f>IF(B337="","",IF(COUNTIF($B$6:B337,B337)&gt;1,"중복",""))</f>
        <v/>
      </c>
      <c r="H337" s="21">
        <f>IF(AND(A337="",B337="",C337="",D337=""),"",IF(AND(E337&lt;=3,F337&lt;=3,G337=""),1,0))</f>
        <v/>
      </c>
      <c r="I337" s="22">
        <f>IF(H337=0,IF(G337="중복","제외: 같은 이메일 중복 응답","제외: 3개 넘게 선택"),"")</f>
        <v/>
      </c>
    </row>
    <row r="338">
      <c r="A338" s="15" t="n"/>
      <c r="B338" s="15" t="n"/>
      <c r="C338" s="16" t="n"/>
      <c r="D338" s="16" t="n"/>
      <c r="E338" s="21">
        <f>IF(AND(A338="",B338="",C338="",D338=""),"",IF(TRIM(C338)="",0,LEN(C338)-LEN(SUBSTITUTE(C338,",",""))+1))</f>
        <v/>
      </c>
      <c r="F338" s="21">
        <f>IF(AND(A338="",B338="",C338="",D338=""),"",IF(TRIM(D338)="",0,LEN(D338)-LEN(SUBSTITUTE(D338,",",""))+1))</f>
        <v/>
      </c>
      <c r="G338" s="21">
        <f>IF(B338="","",IF(COUNTIF($B$6:B338,B338)&gt;1,"중복",""))</f>
        <v/>
      </c>
      <c r="H338" s="21">
        <f>IF(AND(A338="",B338="",C338="",D338=""),"",IF(AND(E338&lt;=3,F338&lt;=3,G338=""),1,0))</f>
        <v/>
      </c>
      <c r="I338" s="22">
        <f>IF(H338=0,IF(G338="중복","제외: 같은 이메일 중복 응답","제외: 3개 넘게 선택"),"")</f>
        <v/>
      </c>
    </row>
    <row r="339">
      <c r="A339" s="15" t="n"/>
      <c r="B339" s="15" t="n"/>
      <c r="C339" s="16" t="n"/>
      <c r="D339" s="16" t="n"/>
      <c r="E339" s="21">
        <f>IF(AND(A339="",B339="",C339="",D339=""),"",IF(TRIM(C339)="",0,LEN(C339)-LEN(SUBSTITUTE(C339,",",""))+1))</f>
        <v/>
      </c>
      <c r="F339" s="21">
        <f>IF(AND(A339="",B339="",C339="",D339=""),"",IF(TRIM(D339)="",0,LEN(D339)-LEN(SUBSTITUTE(D339,",",""))+1))</f>
        <v/>
      </c>
      <c r="G339" s="21">
        <f>IF(B339="","",IF(COUNTIF($B$6:B339,B339)&gt;1,"중복",""))</f>
        <v/>
      </c>
      <c r="H339" s="21">
        <f>IF(AND(A339="",B339="",C339="",D339=""),"",IF(AND(E339&lt;=3,F339&lt;=3,G339=""),1,0))</f>
        <v/>
      </c>
      <c r="I339" s="22">
        <f>IF(H339=0,IF(G339="중복","제외: 같은 이메일 중복 응답","제외: 3개 넘게 선택"),"")</f>
        <v/>
      </c>
    </row>
    <row r="340">
      <c r="A340" s="15" t="n"/>
      <c r="B340" s="15" t="n"/>
      <c r="C340" s="16" t="n"/>
      <c r="D340" s="16" t="n"/>
      <c r="E340" s="21">
        <f>IF(AND(A340="",B340="",C340="",D340=""),"",IF(TRIM(C340)="",0,LEN(C340)-LEN(SUBSTITUTE(C340,",",""))+1))</f>
        <v/>
      </c>
      <c r="F340" s="21">
        <f>IF(AND(A340="",B340="",C340="",D340=""),"",IF(TRIM(D340)="",0,LEN(D340)-LEN(SUBSTITUTE(D340,",",""))+1))</f>
        <v/>
      </c>
      <c r="G340" s="21">
        <f>IF(B340="","",IF(COUNTIF($B$6:B340,B340)&gt;1,"중복",""))</f>
        <v/>
      </c>
      <c r="H340" s="21">
        <f>IF(AND(A340="",B340="",C340="",D340=""),"",IF(AND(E340&lt;=3,F340&lt;=3,G340=""),1,0))</f>
        <v/>
      </c>
      <c r="I340" s="22">
        <f>IF(H340=0,IF(G340="중복","제외: 같은 이메일 중복 응답","제외: 3개 넘게 선택"),"")</f>
        <v/>
      </c>
    </row>
    <row r="341">
      <c r="A341" s="15" t="n"/>
      <c r="B341" s="15" t="n"/>
      <c r="C341" s="16" t="n"/>
      <c r="D341" s="16" t="n"/>
      <c r="E341" s="21">
        <f>IF(AND(A341="",B341="",C341="",D341=""),"",IF(TRIM(C341)="",0,LEN(C341)-LEN(SUBSTITUTE(C341,",",""))+1))</f>
        <v/>
      </c>
      <c r="F341" s="21">
        <f>IF(AND(A341="",B341="",C341="",D341=""),"",IF(TRIM(D341)="",0,LEN(D341)-LEN(SUBSTITUTE(D341,",",""))+1))</f>
        <v/>
      </c>
      <c r="G341" s="21">
        <f>IF(B341="","",IF(COUNTIF($B$6:B341,B341)&gt;1,"중복",""))</f>
        <v/>
      </c>
      <c r="H341" s="21">
        <f>IF(AND(A341="",B341="",C341="",D341=""),"",IF(AND(E341&lt;=3,F341&lt;=3,G341=""),1,0))</f>
        <v/>
      </c>
      <c r="I341" s="22">
        <f>IF(H341=0,IF(G341="중복","제외: 같은 이메일 중복 응답","제외: 3개 넘게 선택"),"")</f>
        <v/>
      </c>
    </row>
    <row r="342">
      <c r="A342" s="15" t="n"/>
      <c r="B342" s="15" t="n"/>
      <c r="C342" s="16" t="n"/>
      <c r="D342" s="16" t="n"/>
      <c r="E342" s="21">
        <f>IF(AND(A342="",B342="",C342="",D342=""),"",IF(TRIM(C342)="",0,LEN(C342)-LEN(SUBSTITUTE(C342,",",""))+1))</f>
        <v/>
      </c>
      <c r="F342" s="21">
        <f>IF(AND(A342="",B342="",C342="",D342=""),"",IF(TRIM(D342)="",0,LEN(D342)-LEN(SUBSTITUTE(D342,",",""))+1))</f>
        <v/>
      </c>
      <c r="G342" s="21">
        <f>IF(B342="","",IF(COUNTIF($B$6:B342,B342)&gt;1,"중복",""))</f>
        <v/>
      </c>
      <c r="H342" s="21">
        <f>IF(AND(A342="",B342="",C342="",D342=""),"",IF(AND(E342&lt;=3,F342&lt;=3,G342=""),1,0))</f>
        <v/>
      </c>
      <c r="I342" s="22">
        <f>IF(H342=0,IF(G342="중복","제외: 같은 이메일 중복 응답","제외: 3개 넘게 선택"),"")</f>
        <v/>
      </c>
    </row>
    <row r="343">
      <c r="A343" s="15" t="n"/>
      <c r="B343" s="15" t="n"/>
      <c r="C343" s="16" t="n"/>
      <c r="D343" s="16" t="n"/>
      <c r="E343" s="21">
        <f>IF(AND(A343="",B343="",C343="",D343=""),"",IF(TRIM(C343)="",0,LEN(C343)-LEN(SUBSTITUTE(C343,",",""))+1))</f>
        <v/>
      </c>
      <c r="F343" s="21">
        <f>IF(AND(A343="",B343="",C343="",D343=""),"",IF(TRIM(D343)="",0,LEN(D343)-LEN(SUBSTITUTE(D343,",",""))+1))</f>
        <v/>
      </c>
      <c r="G343" s="21">
        <f>IF(B343="","",IF(COUNTIF($B$6:B343,B343)&gt;1,"중복",""))</f>
        <v/>
      </c>
      <c r="H343" s="21">
        <f>IF(AND(A343="",B343="",C343="",D343=""),"",IF(AND(E343&lt;=3,F343&lt;=3,G343=""),1,0))</f>
        <v/>
      </c>
      <c r="I343" s="22">
        <f>IF(H343=0,IF(G343="중복","제외: 같은 이메일 중복 응답","제외: 3개 넘게 선택"),"")</f>
        <v/>
      </c>
    </row>
    <row r="344">
      <c r="A344" s="15" t="n"/>
      <c r="B344" s="15" t="n"/>
      <c r="C344" s="16" t="n"/>
      <c r="D344" s="16" t="n"/>
      <c r="E344" s="21">
        <f>IF(AND(A344="",B344="",C344="",D344=""),"",IF(TRIM(C344)="",0,LEN(C344)-LEN(SUBSTITUTE(C344,",",""))+1))</f>
        <v/>
      </c>
      <c r="F344" s="21">
        <f>IF(AND(A344="",B344="",C344="",D344=""),"",IF(TRIM(D344)="",0,LEN(D344)-LEN(SUBSTITUTE(D344,",",""))+1))</f>
        <v/>
      </c>
      <c r="G344" s="21">
        <f>IF(B344="","",IF(COUNTIF($B$6:B344,B344)&gt;1,"중복",""))</f>
        <v/>
      </c>
      <c r="H344" s="21">
        <f>IF(AND(A344="",B344="",C344="",D344=""),"",IF(AND(E344&lt;=3,F344&lt;=3,G344=""),1,0))</f>
        <v/>
      </c>
      <c r="I344" s="22">
        <f>IF(H344=0,IF(G344="중복","제외: 같은 이메일 중복 응답","제외: 3개 넘게 선택"),"")</f>
        <v/>
      </c>
    </row>
    <row r="345">
      <c r="A345" s="15" t="n"/>
      <c r="B345" s="15" t="n"/>
      <c r="C345" s="16" t="n"/>
      <c r="D345" s="16" t="n"/>
      <c r="E345" s="21">
        <f>IF(AND(A345="",B345="",C345="",D345=""),"",IF(TRIM(C345)="",0,LEN(C345)-LEN(SUBSTITUTE(C345,",",""))+1))</f>
        <v/>
      </c>
      <c r="F345" s="21">
        <f>IF(AND(A345="",B345="",C345="",D345=""),"",IF(TRIM(D345)="",0,LEN(D345)-LEN(SUBSTITUTE(D345,",",""))+1))</f>
        <v/>
      </c>
      <c r="G345" s="21">
        <f>IF(B345="","",IF(COUNTIF($B$6:B345,B345)&gt;1,"중복",""))</f>
        <v/>
      </c>
      <c r="H345" s="21">
        <f>IF(AND(A345="",B345="",C345="",D345=""),"",IF(AND(E345&lt;=3,F345&lt;=3,G345=""),1,0))</f>
        <v/>
      </c>
      <c r="I345" s="22">
        <f>IF(H345=0,IF(G345="중복","제외: 같은 이메일 중복 응답","제외: 3개 넘게 선택"),"")</f>
        <v/>
      </c>
    </row>
    <row r="346">
      <c r="A346" s="15" t="n"/>
      <c r="B346" s="15" t="n"/>
      <c r="C346" s="16" t="n"/>
      <c r="D346" s="16" t="n"/>
      <c r="E346" s="21">
        <f>IF(AND(A346="",B346="",C346="",D346=""),"",IF(TRIM(C346)="",0,LEN(C346)-LEN(SUBSTITUTE(C346,",",""))+1))</f>
        <v/>
      </c>
      <c r="F346" s="21">
        <f>IF(AND(A346="",B346="",C346="",D346=""),"",IF(TRIM(D346)="",0,LEN(D346)-LEN(SUBSTITUTE(D346,",",""))+1))</f>
        <v/>
      </c>
      <c r="G346" s="21">
        <f>IF(B346="","",IF(COUNTIF($B$6:B346,B346)&gt;1,"중복",""))</f>
        <v/>
      </c>
      <c r="H346" s="21">
        <f>IF(AND(A346="",B346="",C346="",D346=""),"",IF(AND(E346&lt;=3,F346&lt;=3,G346=""),1,0))</f>
        <v/>
      </c>
      <c r="I346" s="22">
        <f>IF(H346=0,IF(G346="중복","제외: 같은 이메일 중복 응답","제외: 3개 넘게 선택"),"")</f>
        <v/>
      </c>
    </row>
    <row r="347">
      <c r="A347" s="15" t="n"/>
      <c r="B347" s="15" t="n"/>
      <c r="C347" s="16" t="n"/>
      <c r="D347" s="16" t="n"/>
      <c r="E347" s="21">
        <f>IF(AND(A347="",B347="",C347="",D347=""),"",IF(TRIM(C347)="",0,LEN(C347)-LEN(SUBSTITUTE(C347,",",""))+1))</f>
        <v/>
      </c>
      <c r="F347" s="21">
        <f>IF(AND(A347="",B347="",C347="",D347=""),"",IF(TRIM(D347)="",0,LEN(D347)-LEN(SUBSTITUTE(D347,",",""))+1))</f>
        <v/>
      </c>
      <c r="G347" s="21">
        <f>IF(B347="","",IF(COUNTIF($B$6:B347,B347)&gt;1,"중복",""))</f>
        <v/>
      </c>
      <c r="H347" s="21">
        <f>IF(AND(A347="",B347="",C347="",D347=""),"",IF(AND(E347&lt;=3,F347&lt;=3,G347=""),1,0))</f>
        <v/>
      </c>
      <c r="I347" s="22">
        <f>IF(H347=0,IF(G347="중복","제외: 같은 이메일 중복 응답","제외: 3개 넘게 선택"),"")</f>
        <v/>
      </c>
    </row>
    <row r="348">
      <c r="A348" s="15" t="n"/>
      <c r="B348" s="15" t="n"/>
      <c r="C348" s="16" t="n"/>
      <c r="D348" s="16" t="n"/>
      <c r="E348" s="21">
        <f>IF(AND(A348="",B348="",C348="",D348=""),"",IF(TRIM(C348)="",0,LEN(C348)-LEN(SUBSTITUTE(C348,",",""))+1))</f>
        <v/>
      </c>
      <c r="F348" s="21">
        <f>IF(AND(A348="",B348="",C348="",D348=""),"",IF(TRIM(D348)="",0,LEN(D348)-LEN(SUBSTITUTE(D348,",",""))+1))</f>
        <v/>
      </c>
      <c r="G348" s="21">
        <f>IF(B348="","",IF(COUNTIF($B$6:B348,B348)&gt;1,"중복",""))</f>
        <v/>
      </c>
      <c r="H348" s="21">
        <f>IF(AND(A348="",B348="",C348="",D348=""),"",IF(AND(E348&lt;=3,F348&lt;=3,G348=""),1,0))</f>
        <v/>
      </c>
      <c r="I348" s="22">
        <f>IF(H348=0,IF(G348="중복","제외: 같은 이메일 중복 응답","제외: 3개 넘게 선택"),"")</f>
        <v/>
      </c>
    </row>
    <row r="349">
      <c r="A349" s="15" t="n"/>
      <c r="B349" s="15" t="n"/>
      <c r="C349" s="16" t="n"/>
      <c r="D349" s="16" t="n"/>
      <c r="E349" s="21">
        <f>IF(AND(A349="",B349="",C349="",D349=""),"",IF(TRIM(C349)="",0,LEN(C349)-LEN(SUBSTITUTE(C349,",",""))+1))</f>
        <v/>
      </c>
      <c r="F349" s="21">
        <f>IF(AND(A349="",B349="",C349="",D349=""),"",IF(TRIM(D349)="",0,LEN(D349)-LEN(SUBSTITUTE(D349,",",""))+1))</f>
        <v/>
      </c>
      <c r="G349" s="21">
        <f>IF(B349="","",IF(COUNTIF($B$6:B349,B349)&gt;1,"중복",""))</f>
        <v/>
      </c>
      <c r="H349" s="21">
        <f>IF(AND(A349="",B349="",C349="",D349=""),"",IF(AND(E349&lt;=3,F349&lt;=3,G349=""),1,0))</f>
        <v/>
      </c>
      <c r="I349" s="22">
        <f>IF(H349=0,IF(G349="중복","제외: 같은 이메일 중복 응답","제외: 3개 넘게 선택"),"")</f>
        <v/>
      </c>
    </row>
    <row r="350">
      <c r="A350" s="15" t="n"/>
      <c r="B350" s="15" t="n"/>
      <c r="C350" s="16" t="n"/>
      <c r="D350" s="16" t="n"/>
      <c r="E350" s="21">
        <f>IF(AND(A350="",B350="",C350="",D350=""),"",IF(TRIM(C350)="",0,LEN(C350)-LEN(SUBSTITUTE(C350,",",""))+1))</f>
        <v/>
      </c>
      <c r="F350" s="21">
        <f>IF(AND(A350="",B350="",C350="",D350=""),"",IF(TRIM(D350)="",0,LEN(D350)-LEN(SUBSTITUTE(D350,",",""))+1))</f>
        <v/>
      </c>
      <c r="G350" s="21">
        <f>IF(B350="","",IF(COUNTIF($B$6:B350,B350)&gt;1,"중복",""))</f>
        <v/>
      </c>
      <c r="H350" s="21">
        <f>IF(AND(A350="",B350="",C350="",D350=""),"",IF(AND(E350&lt;=3,F350&lt;=3,G350=""),1,0))</f>
        <v/>
      </c>
      <c r="I350" s="22">
        <f>IF(H350=0,IF(G350="중복","제외: 같은 이메일 중복 응답","제외: 3개 넘게 선택"),"")</f>
        <v/>
      </c>
    </row>
    <row r="351">
      <c r="A351" s="15" t="n"/>
      <c r="B351" s="15" t="n"/>
      <c r="C351" s="16" t="n"/>
      <c r="D351" s="16" t="n"/>
      <c r="E351" s="21">
        <f>IF(AND(A351="",B351="",C351="",D351=""),"",IF(TRIM(C351)="",0,LEN(C351)-LEN(SUBSTITUTE(C351,",",""))+1))</f>
        <v/>
      </c>
      <c r="F351" s="21">
        <f>IF(AND(A351="",B351="",C351="",D351=""),"",IF(TRIM(D351)="",0,LEN(D351)-LEN(SUBSTITUTE(D351,",",""))+1))</f>
        <v/>
      </c>
      <c r="G351" s="21">
        <f>IF(B351="","",IF(COUNTIF($B$6:B351,B351)&gt;1,"중복",""))</f>
        <v/>
      </c>
      <c r="H351" s="21">
        <f>IF(AND(A351="",B351="",C351="",D351=""),"",IF(AND(E351&lt;=3,F351&lt;=3,G351=""),1,0))</f>
        <v/>
      </c>
      <c r="I351" s="22">
        <f>IF(H351=0,IF(G351="중복","제외: 같은 이메일 중복 응답","제외: 3개 넘게 선택"),"")</f>
        <v/>
      </c>
    </row>
    <row r="352">
      <c r="A352" s="15" t="n"/>
      <c r="B352" s="15" t="n"/>
      <c r="C352" s="16" t="n"/>
      <c r="D352" s="16" t="n"/>
      <c r="E352" s="21">
        <f>IF(AND(A352="",B352="",C352="",D352=""),"",IF(TRIM(C352)="",0,LEN(C352)-LEN(SUBSTITUTE(C352,",",""))+1))</f>
        <v/>
      </c>
      <c r="F352" s="21">
        <f>IF(AND(A352="",B352="",C352="",D352=""),"",IF(TRIM(D352)="",0,LEN(D352)-LEN(SUBSTITUTE(D352,",",""))+1))</f>
        <v/>
      </c>
      <c r="G352" s="21">
        <f>IF(B352="","",IF(COUNTIF($B$6:B352,B352)&gt;1,"중복",""))</f>
        <v/>
      </c>
      <c r="H352" s="21">
        <f>IF(AND(A352="",B352="",C352="",D352=""),"",IF(AND(E352&lt;=3,F352&lt;=3,G352=""),1,0))</f>
        <v/>
      </c>
      <c r="I352" s="22">
        <f>IF(H352=0,IF(G352="중복","제외: 같은 이메일 중복 응답","제외: 3개 넘게 선택"),"")</f>
        <v/>
      </c>
    </row>
    <row r="353">
      <c r="A353" s="15" t="n"/>
      <c r="B353" s="15" t="n"/>
      <c r="C353" s="16" t="n"/>
      <c r="D353" s="16" t="n"/>
      <c r="E353" s="21">
        <f>IF(AND(A353="",B353="",C353="",D353=""),"",IF(TRIM(C353)="",0,LEN(C353)-LEN(SUBSTITUTE(C353,",",""))+1))</f>
        <v/>
      </c>
      <c r="F353" s="21">
        <f>IF(AND(A353="",B353="",C353="",D353=""),"",IF(TRIM(D353)="",0,LEN(D353)-LEN(SUBSTITUTE(D353,",",""))+1))</f>
        <v/>
      </c>
      <c r="G353" s="21">
        <f>IF(B353="","",IF(COUNTIF($B$6:B353,B353)&gt;1,"중복",""))</f>
        <v/>
      </c>
      <c r="H353" s="21">
        <f>IF(AND(A353="",B353="",C353="",D353=""),"",IF(AND(E353&lt;=3,F353&lt;=3,G353=""),1,0))</f>
        <v/>
      </c>
      <c r="I353" s="22">
        <f>IF(H353=0,IF(G353="중복","제외: 같은 이메일 중복 응답","제외: 3개 넘게 선택"),"")</f>
        <v/>
      </c>
    </row>
    <row r="354">
      <c r="A354" s="15" t="n"/>
      <c r="B354" s="15" t="n"/>
      <c r="C354" s="16" t="n"/>
      <c r="D354" s="16" t="n"/>
      <c r="E354" s="21">
        <f>IF(AND(A354="",B354="",C354="",D354=""),"",IF(TRIM(C354)="",0,LEN(C354)-LEN(SUBSTITUTE(C354,",",""))+1))</f>
        <v/>
      </c>
      <c r="F354" s="21">
        <f>IF(AND(A354="",B354="",C354="",D354=""),"",IF(TRIM(D354)="",0,LEN(D354)-LEN(SUBSTITUTE(D354,",",""))+1))</f>
        <v/>
      </c>
      <c r="G354" s="21">
        <f>IF(B354="","",IF(COUNTIF($B$6:B354,B354)&gt;1,"중복",""))</f>
        <v/>
      </c>
      <c r="H354" s="21">
        <f>IF(AND(A354="",B354="",C354="",D354=""),"",IF(AND(E354&lt;=3,F354&lt;=3,G354=""),1,0))</f>
        <v/>
      </c>
      <c r="I354" s="22">
        <f>IF(H354=0,IF(G354="중복","제외: 같은 이메일 중복 응답","제외: 3개 넘게 선택"),"")</f>
        <v/>
      </c>
    </row>
    <row r="355">
      <c r="A355" s="15" t="n"/>
      <c r="B355" s="15" t="n"/>
      <c r="C355" s="16" t="n"/>
      <c r="D355" s="16" t="n"/>
      <c r="E355" s="21">
        <f>IF(AND(A355="",B355="",C355="",D355=""),"",IF(TRIM(C355)="",0,LEN(C355)-LEN(SUBSTITUTE(C355,",",""))+1))</f>
        <v/>
      </c>
      <c r="F355" s="21">
        <f>IF(AND(A355="",B355="",C355="",D355=""),"",IF(TRIM(D355)="",0,LEN(D355)-LEN(SUBSTITUTE(D355,",",""))+1))</f>
        <v/>
      </c>
      <c r="G355" s="21">
        <f>IF(B355="","",IF(COUNTIF($B$6:B355,B355)&gt;1,"중복",""))</f>
        <v/>
      </c>
      <c r="H355" s="21">
        <f>IF(AND(A355="",B355="",C355="",D355=""),"",IF(AND(E355&lt;=3,F355&lt;=3,G355=""),1,0))</f>
        <v/>
      </c>
      <c r="I355" s="22">
        <f>IF(H355=0,IF(G355="중복","제외: 같은 이메일 중복 응답","제외: 3개 넘게 선택"),"")</f>
        <v/>
      </c>
    </row>
    <row r="356">
      <c r="A356" s="15" t="n"/>
      <c r="B356" s="15" t="n"/>
      <c r="C356" s="16" t="n"/>
      <c r="D356" s="16" t="n"/>
      <c r="E356" s="21">
        <f>IF(AND(A356="",B356="",C356="",D356=""),"",IF(TRIM(C356)="",0,LEN(C356)-LEN(SUBSTITUTE(C356,",",""))+1))</f>
        <v/>
      </c>
      <c r="F356" s="21">
        <f>IF(AND(A356="",B356="",C356="",D356=""),"",IF(TRIM(D356)="",0,LEN(D356)-LEN(SUBSTITUTE(D356,",",""))+1))</f>
        <v/>
      </c>
      <c r="G356" s="21">
        <f>IF(B356="","",IF(COUNTIF($B$6:B356,B356)&gt;1,"중복",""))</f>
        <v/>
      </c>
      <c r="H356" s="21">
        <f>IF(AND(A356="",B356="",C356="",D356=""),"",IF(AND(E356&lt;=3,F356&lt;=3,G356=""),1,0))</f>
        <v/>
      </c>
      <c r="I356" s="22">
        <f>IF(H356=0,IF(G356="중복","제외: 같은 이메일 중복 응답","제외: 3개 넘게 선택"),"")</f>
        <v/>
      </c>
    </row>
    <row r="357">
      <c r="A357" s="15" t="n"/>
      <c r="B357" s="15" t="n"/>
      <c r="C357" s="16" t="n"/>
      <c r="D357" s="16" t="n"/>
      <c r="E357" s="21">
        <f>IF(AND(A357="",B357="",C357="",D357=""),"",IF(TRIM(C357)="",0,LEN(C357)-LEN(SUBSTITUTE(C357,",",""))+1))</f>
        <v/>
      </c>
      <c r="F357" s="21">
        <f>IF(AND(A357="",B357="",C357="",D357=""),"",IF(TRIM(D357)="",0,LEN(D357)-LEN(SUBSTITUTE(D357,",",""))+1))</f>
        <v/>
      </c>
      <c r="G357" s="21">
        <f>IF(B357="","",IF(COUNTIF($B$6:B357,B357)&gt;1,"중복",""))</f>
        <v/>
      </c>
      <c r="H357" s="21">
        <f>IF(AND(A357="",B357="",C357="",D357=""),"",IF(AND(E357&lt;=3,F357&lt;=3,G357=""),1,0))</f>
        <v/>
      </c>
      <c r="I357" s="22">
        <f>IF(H357=0,IF(G357="중복","제외: 같은 이메일 중복 응답","제외: 3개 넘게 선택"),"")</f>
        <v/>
      </c>
    </row>
    <row r="358">
      <c r="A358" s="15" t="n"/>
      <c r="B358" s="15" t="n"/>
      <c r="C358" s="16" t="n"/>
      <c r="D358" s="16" t="n"/>
      <c r="E358" s="21">
        <f>IF(AND(A358="",B358="",C358="",D358=""),"",IF(TRIM(C358)="",0,LEN(C358)-LEN(SUBSTITUTE(C358,",",""))+1))</f>
        <v/>
      </c>
      <c r="F358" s="21">
        <f>IF(AND(A358="",B358="",C358="",D358=""),"",IF(TRIM(D358)="",0,LEN(D358)-LEN(SUBSTITUTE(D358,",",""))+1))</f>
        <v/>
      </c>
      <c r="G358" s="21">
        <f>IF(B358="","",IF(COUNTIF($B$6:B358,B358)&gt;1,"중복",""))</f>
        <v/>
      </c>
      <c r="H358" s="21">
        <f>IF(AND(A358="",B358="",C358="",D358=""),"",IF(AND(E358&lt;=3,F358&lt;=3,G358=""),1,0))</f>
        <v/>
      </c>
      <c r="I358" s="22">
        <f>IF(H358=0,IF(G358="중복","제외: 같은 이메일 중복 응답","제외: 3개 넘게 선택"),"")</f>
        <v/>
      </c>
    </row>
    <row r="359">
      <c r="A359" s="15" t="n"/>
      <c r="B359" s="15" t="n"/>
      <c r="C359" s="16" t="n"/>
      <c r="D359" s="16" t="n"/>
      <c r="E359" s="21">
        <f>IF(AND(A359="",B359="",C359="",D359=""),"",IF(TRIM(C359)="",0,LEN(C359)-LEN(SUBSTITUTE(C359,",",""))+1))</f>
        <v/>
      </c>
      <c r="F359" s="21">
        <f>IF(AND(A359="",B359="",C359="",D359=""),"",IF(TRIM(D359)="",0,LEN(D359)-LEN(SUBSTITUTE(D359,",",""))+1))</f>
        <v/>
      </c>
      <c r="G359" s="21">
        <f>IF(B359="","",IF(COUNTIF($B$6:B359,B359)&gt;1,"중복",""))</f>
        <v/>
      </c>
      <c r="H359" s="21">
        <f>IF(AND(A359="",B359="",C359="",D359=""),"",IF(AND(E359&lt;=3,F359&lt;=3,G359=""),1,0))</f>
        <v/>
      </c>
      <c r="I359" s="22">
        <f>IF(H359=0,IF(G359="중복","제외: 같은 이메일 중복 응답","제외: 3개 넘게 선택"),"")</f>
        <v/>
      </c>
    </row>
    <row r="360">
      <c r="A360" s="15" t="n"/>
      <c r="B360" s="15" t="n"/>
      <c r="C360" s="16" t="n"/>
      <c r="D360" s="16" t="n"/>
      <c r="E360" s="21">
        <f>IF(AND(A360="",B360="",C360="",D360=""),"",IF(TRIM(C360)="",0,LEN(C360)-LEN(SUBSTITUTE(C360,",",""))+1))</f>
        <v/>
      </c>
      <c r="F360" s="21">
        <f>IF(AND(A360="",B360="",C360="",D360=""),"",IF(TRIM(D360)="",0,LEN(D360)-LEN(SUBSTITUTE(D360,",",""))+1))</f>
        <v/>
      </c>
      <c r="G360" s="21">
        <f>IF(B360="","",IF(COUNTIF($B$6:B360,B360)&gt;1,"중복",""))</f>
        <v/>
      </c>
      <c r="H360" s="21">
        <f>IF(AND(A360="",B360="",C360="",D360=""),"",IF(AND(E360&lt;=3,F360&lt;=3,G360=""),1,0))</f>
        <v/>
      </c>
      <c r="I360" s="22">
        <f>IF(H360=0,IF(G360="중복","제외: 같은 이메일 중복 응답","제외: 3개 넘게 선택"),"")</f>
        <v/>
      </c>
    </row>
    <row r="361">
      <c r="A361" s="15" t="n"/>
      <c r="B361" s="15" t="n"/>
      <c r="C361" s="16" t="n"/>
      <c r="D361" s="16" t="n"/>
      <c r="E361" s="21">
        <f>IF(AND(A361="",B361="",C361="",D361=""),"",IF(TRIM(C361)="",0,LEN(C361)-LEN(SUBSTITUTE(C361,",",""))+1))</f>
        <v/>
      </c>
      <c r="F361" s="21">
        <f>IF(AND(A361="",B361="",C361="",D361=""),"",IF(TRIM(D361)="",0,LEN(D361)-LEN(SUBSTITUTE(D361,",",""))+1))</f>
        <v/>
      </c>
      <c r="G361" s="21">
        <f>IF(B361="","",IF(COUNTIF($B$6:B361,B361)&gt;1,"중복",""))</f>
        <v/>
      </c>
      <c r="H361" s="21">
        <f>IF(AND(A361="",B361="",C361="",D361=""),"",IF(AND(E361&lt;=3,F361&lt;=3,G361=""),1,0))</f>
        <v/>
      </c>
      <c r="I361" s="22">
        <f>IF(H361=0,IF(G361="중복","제외: 같은 이메일 중복 응답","제외: 3개 넘게 선택"),"")</f>
        <v/>
      </c>
    </row>
    <row r="362">
      <c r="A362" s="15" t="n"/>
      <c r="B362" s="15" t="n"/>
      <c r="C362" s="16" t="n"/>
      <c r="D362" s="16" t="n"/>
      <c r="E362" s="21">
        <f>IF(AND(A362="",B362="",C362="",D362=""),"",IF(TRIM(C362)="",0,LEN(C362)-LEN(SUBSTITUTE(C362,",",""))+1))</f>
        <v/>
      </c>
      <c r="F362" s="21">
        <f>IF(AND(A362="",B362="",C362="",D362=""),"",IF(TRIM(D362)="",0,LEN(D362)-LEN(SUBSTITUTE(D362,",",""))+1))</f>
        <v/>
      </c>
      <c r="G362" s="21">
        <f>IF(B362="","",IF(COUNTIF($B$6:B362,B362)&gt;1,"중복",""))</f>
        <v/>
      </c>
      <c r="H362" s="21">
        <f>IF(AND(A362="",B362="",C362="",D362=""),"",IF(AND(E362&lt;=3,F362&lt;=3,G362=""),1,0))</f>
        <v/>
      </c>
      <c r="I362" s="22">
        <f>IF(H362=0,IF(G362="중복","제외: 같은 이메일 중복 응답","제외: 3개 넘게 선택"),"")</f>
        <v/>
      </c>
    </row>
    <row r="363">
      <c r="A363" s="15" t="n"/>
      <c r="B363" s="15" t="n"/>
      <c r="C363" s="16" t="n"/>
      <c r="D363" s="16" t="n"/>
      <c r="E363" s="21">
        <f>IF(AND(A363="",B363="",C363="",D363=""),"",IF(TRIM(C363)="",0,LEN(C363)-LEN(SUBSTITUTE(C363,",",""))+1))</f>
        <v/>
      </c>
      <c r="F363" s="21">
        <f>IF(AND(A363="",B363="",C363="",D363=""),"",IF(TRIM(D363)="",0,LEN(D363)-LEN(SUBSTITUTE(D363,",",""))+1))</f>
        <v/>
      </c>
      <c r="G363" s="21">
        <f>IF(B363="","",IF(COUNTIF($B$6:B363,B363)&gt;1,"중복",""))</f>
        <v/>
      </c>
      <c r="H363" s="21">
        <f>IF(AND(A363="",B363="",C363="",D363=""),"",IF(AND(E363&lt;=3,F363&lt;=3,G363=""),1,0))</f>
        <v/>
      </c>
      <c r="I363" s="22">
        <f>IF(H363=0,IF(G363="중복","제외: 같은 이메일 중복 응답","제외: 3개 넘게 선택"),"")</f>
        <v/>
      </c>
    </row>
    <row r="364">
      <c r="A364" s="15" t="n"/>
      <c r="B364" s="15" t="n"/>
      <c r="C364" s="16" t="n"/>
      <c r="D364" s="16" t="n"/>
      <c r="E364" s="21">
        <f>IF(AND(A364="",B364="",C364="",D364=""),"",IF(TRIM(C364)="",0,LEN(C364)-LEN(SUBSTITUTE(C364,",",""))+1))</f>
        <v/>
      </c>
      <c r="F364" s="21">
        <f>IF(AND(A364="",B364="",C364="",D364=""),"",IF(TRIM(D364)="",0,LEN(D364)-LEN(SUBSTITUTE(D364,",",""))+1))</f>
        <v/>
      </c>
      <c r="G364" s="21">
        <f>IF(B364="","",IF(COUNTIF($B$6:B364,B364)&gt;1,"중복",""))</f>
        <v/>
      </c>
      <c r="H364" s="21">
        <f>IF(AND(A364="",B364="",C364="",D364=""),"",IF(AND(E364&lt;=3,F364&lt;=3,G364=""),1,0))</f>
        <v/>
      </c>
      <c r="I364" s="22">
        <f>IF(H364=0,IF(G364="중복","제외: 같은 이메일 중복 응답","제외: 3개 넘게 선택"),"")</f>
        <v/>
      </c>
    </row>
    <row r="365">
      <c r="A365" s="15" t="n"/>
      <c r="B365" s="15" t="n"/>
      <c r="C365" s="16" t="n"/>
      <c r="D365" s="16" t="n"/>
      <c r="E365" s="21">
        <f>IF(AND(A365="",B365="",C365="",D365=""),"",IF(TRIM(C365)="",0,LEN(C365)-LEN(SUBSTITUTE(C365,",",""))+1))</f>
        <v/>
      </c>
      <c r="F365" s="21">
        <f>IF(AND(A365="",B365="",C365="",D365=""),"",IF(TRIM(D365)="",0,LEN(D365)-LEN(SUBSTITUTE(D365,",",""))+1))</f>
        <v/>
      </c>
      <c r="G365" s="21">
        <f>IF(B365="","",IF(COUNTIF($B$6:B365,B365)&gt;1,"중복",""))</f>
        <v/>
      </c>
      <c r="H365" s="21">
        <f>IF(AND(A365="",B365="",C365="",D365=""),"",IF(AND(E365&lt;=3,F365&lt;=3,G365=""),1,0))</f>
        <v/>
      </c>
      <c r="I365" s="22">
        <f>IF(H365=0,IF(G365="중복","제외: 같은 이메일 중복 응답","제외: 3개 넘게 선택"),"")</f>
        <v/>
      </c>
    </row>
    <row r="366">
      <c r="A366" s="15" t="n"/>
      <c r="B366" s="15" t="n"/>
      <c r="C366" s="16" t="n"/>
      <c r="D366" s="16" t="n"/>
      <c r="E366" s="21">
        <f>IF(AND(A366="",B366="",C366="",D366=""),"",IF(TRIM(C366)="",0,LEN(C366)-LEN(SUBSTITUTE(C366,",",""))+1))</f>
        <v/>
      </c>
      <c r="F366" s="21">
        <f>IF(AND(A366="",B366="",C366="",D366=""),"",IF(TRIM(D366)="",0,LEN(D366)-LEN(SUBSTITUTE(D366,",",""))+1))</f>
        <v/>
      </c>
      <c r="G366" s="21">
        <f>IF(B366="","",IF(COUNTIF($B$6:B366,B366)&gt;1,"중복",""))</f>
        <v/>
      </c>
      <c r="H366" s="21">
        <f>IF(AND(A366="",B366="",C366="",D366=""),"",IF(AND(E366&lt;=3,F366&lt;=3,G366=""),1,0))</f>
        <v/>
      </c>
      <c r="I366" s="22">
        <f>IF(H366=0,IF(G366="중복","제외: 같은 이메일 중복 응답","제외: 3개 넘게 선택"),"")</f>
        <v/>
      </c>
    </row>
    <row r="367">
      <c r="A367" s="15" t="n"/>
      <c r="B367" s="15" t="n"/>
      <c r="C367" s="16" t="n"/>
      <c r="D367" s="16" t="n"/>
      <c r="E367" s="21">
        <f>IF(AND(A367="",B367="",C367="",D367=""),"",IF(TRIM(C367)="",0,LEN(C367)-LEN(SUBSTITUTE(C367,",",""))+1))</f>
        <v/>
      </c>
      <c r="F367" s="21">
        <f>IF(AND(A367="",B367="",C367="",D367=""),"",IF(TRIM(D367)="",0,LEN(D367)-LEN(SUBSTITUTE(D367,",",""))+1))</f>
        <v/>
      </c>
      <c r="G367" s="21">
        <f>IF(B367="","",IF(COUNTIF($B$6:B367,B367)&gt;1,"중복",""))</f>
        <v/>
      </c>
      <c r="H367" s="21">
        <f>IF(AND(A367="",B367="",C367="",D367=""),"",IF(AND(E367&lt;=3,F367&lt;=3,G367=""),1,0))</f>
        <v/>
      </c>
      <c r="I367" s="22">
        <f>IF(H367=0,IF(G367="중복","제외: 같은 이메일 중복 응답","제외: 3개 넘게 선택"),"")</f>
        <v/>
      </c>
    </row>
    <row r="368">
      <c r="A368" s="15" t="n"/>
      <c r="B368" s="15" t="n"/>
      <c r="C368" s="16" t="n"/>
      <c r="D368" s="16" t="n"/>
      <c r="E368" s="21">
        <f>IF(AND(A368="",B368="",C368="",D368=""),"",IF(TRIM(C368)="",0,LEN(C368)-LEN(SUBSTITUTE(C368,",",""))+1))</f>
        <v/>
      </c>
      <c r="F368" s="21">
        <f>IF(AND(A368="",B368="",C368="",D368=""),"",IF(TRIM(D368)="",0,LEN(D368)-LEN(SUBSTITUTE(D368,",",""))+1))</f>
        <v/>
      </c>
      <c r="G368" s="21">
        <f>IF(B368="","",IF(COUNTIF($B$6:B368,B368)&gt;1,"중복",""))</f>
        <v/>
      </c>
      <c r="H368" s="21">
        <f>IF(AND(A368="",B368="",C368="",D368=""),"",IF(AND(E368&lt;=3,F368&lt;=3,G368=""),1,0))</f>
        <v/>
      </c>
      <c r="I368" s="22">
        <f>IF(H368=0,IF(G368="중복","제외: 같은 이메일 중복 응답","제외: 3개 넘게 선택"),"")</f>
        <v/>
      </c>
    </row>
    <row r="369">
      <c r="A369" s="15" t="n"/>
      <c r="B369" s="15" t="n"/>
      <c r="C369" s="16" t="n"/>
      <c r="D369" s="16" t="n"/>
      <c r="E369" s="21">
        <f>IF(AND(A369="",B369="",C369="",D369=""),"",IF(TRIM(C369)="",0,LEN(C369)-LEN(SUBSTITUTE(C369,",",""))+1))</f>
        <v/>
      </c>
      <c r="F369" s="21">
        <f>IF(AND(A369="",B369="",C369="",D369=""),"",IF(TRIM(D369)="",0,LEN(D369)-LEN(SUBSTITUTE(D369,",",""))+1))</f>
        <v/>
      </c>
      <c r="G369" s="21">
        <f>IF(B369="","",IF(COUNTIF($B$6:B369,B369)&gt;1,"중복",""))</f>
        <v/>
      </c>
      <c r="H369" s="21">
        <f>IF(AND(A369="",B369="",C369="",D369=""),"",IF(AND(E369&lt;=3,F369&lt;=3,G369=""),1,0))</f>
        <v/>
      </c>
      <c r="I369" s="22">
        <f>IF(H369=0,IF(G369="중복","제외: 같은 이메일 중복 응답","제외: 3개 넘게 선택"),"")</f>
        <v/>
      </c>
    </row>
    <row r="370">
      <c r="A370" s="15" t="n"/>
      <c r="B370" s="15" t="n"/>
      <c r="C370" s="16" t="n"/>
      <c r="D370" s="16" t="n"/>
      <c r="E370" s="21">
        <f>IF(AND(A370="",B370="",C370="",D370=""),"",IF(TRIM(C370)="",0,LEN(C370)-LEN(SUBSTITUTE(C370,",",""))+1))</f>
        <v/>
      </c>
      <c r="F370" s="21">
        <f>IF(AND(A370="",B370="",C370="",D370=""),"",IF(TRIM(D370)="",0,LEN(D370)-LEN(SUBSTITUTE(D370,",",""))+1))</f>
        <v/>
      </c>
      <c r="G370" s="21">
        <f>IF(B370="","",IF(COUNTIF($B$6:B370,B370)&gt;1,"중복",""))</f>
        <v/>
      </c>
      <c r="H370" s="21">
        <f>IF(AND(A370="",B370="",C370="",D370=""),"",IF(AND(E370&lt;=3,F370&lt;=3,G370=""),1,0))</f>
        <v/>
      </c>
      <c r="I370" s="22">
        <f>IF(H370=0,IF(G370="중복","제외: 같은 이메일 중복 응답","제외: 3개 넘게 선택"),"")</f>
        <v/>
      </c>
    </row>
    <row r="371">
      <c r="A371" s="15" t="n"/>
      <c r="B371" s="15" t="n"/>
      <c r="C371" s="16" t="n"/>
      <c r="D371" s="16" t="n"/>
      <c r="E371" s="21">
        <f>IF(AND(A371="",B371="",C371="",D371=""),"",IF(TRIM(C371)="",0,LEN(C371)-LEN(SUBSTITUTE(C371,",",""))+1))</f>
        <v/>
      </c>
      <c r="F371" s="21">
        <f>IF(AND(A371="",B371="",C371="",D371=""),"",IF(TRIM(D371)="",0,LEN(D371)-LEN(SUBSTITUTE(D371,",",""))+1))</f>
        <v/>
      </c>
      <c r="G371" s="21">
        <f>IF(B371="","",IF(COUNTIF($B$6:B371,B371)&gt;1,"중복",""))</f>
        <v/>
      </c>
      <c r="H371" s="21">
        <f>IF(AND(A371="",B371="",C371="",D371=""),"",IF(AND(E371&lt;=3,F371&lt;=3,G371=""),1,0))</f>
        <v/>
      </c>
      <c r="I371" s="22">
        <f>IF(H371=0,IF(G371="중복","제외: 같은 이메일 중복 응답","제외: 3개 넘게 선택"),"")</f>
        <v/>
      </c>
    </row>
    <row r="372">
      <c r="A372" s="15" t="n"/>
      <c r="B372" s="15" t="n"/>
      <c r="C372" s="16" t="n"/>
      <c r="D372" s="16" t="n"/>
      <c r="E372" s="21">
        <f>IF(AND(A372="",B372="",C372="",D372=""),"",IF(TRIM(C372)="",0,LEN(C372)-LEN(SUBSTITUTE(C372,",",""))+1))</f>
        <v/>
      </c>
      <c r="F372" s="21">
        <f>IF(AND(A372="",B372="",C372="",D372=""),"",IF(TRIM(D372)="",0,LEN(D372)-LEN(SUBSTITUTE(D372,",",""))+1))</f>
        <v/>
      </c>
      <c r="G372" s="21">
        <f>IF(B372="","",IF(COUNTIF($B$6:B372,B372)&gt;1,"중복",""))</f>
        <v/>
      </c>
      <c r="H372" s="21">
        <f>IF(AND(A372="",B372="",C372="",D372=""),"",IF(AND(E372&lt;=3,F372&lt;=3,G372=""),1,0))</f>
        <v/>
      </c>
      <c r="I372" s="22">
        <f>IF(H372=0,IF(G372="중복","제외: 같은 이메일 중복 응답","제외: 3개 넘게 선택"),"")</f>
        <v/>
      </c>
    </row>
    <row r="373">
      <c r="A373" s="15" t="n"/>
      <c r="B373" s="15" t="n"/>
      <c r="C373" s="16" t="n"/>
      <c r="D373" s="16" t="n"/>
      <c r="E373" s="21">
        <f>IF(AND(A373="",B373="",C373="",D373=""),"",IF(TRIM(C373)="",0,LEN(C373)-LEN(SUBSTITUTE(C373,",",""))+1))</f>
        <v/>
      </c>
      <c r="F373" s="21">
        <f>IF(AND(A373="",B373="",C373="",D373=""),"",IF(TRIM(D373)="",0,LEN(D373)-LEN(SUBSTITUTE(D373,",",""))+1))</f>
        <v/>
      </c>
      <c r="G373" s="21">
        <f>IF(B373="","",IF(COUNTIF($B$6:B373,B373)&gt;1,"중복",""))</f>
        <v/>
      </c>
      <c r="H373" s="21">
        <f>IF(AND(A373="",B373="",C373="",D373=""),"",IF(AND(E373&lt;=3,F373&lt;=3,G373=""),1,0))</f>
        <v/>
      </c>
      <c r="I373" s="22">
        <f>IF(H373=0,IF(G373="중복","제외: 같은 이메일 중복 응답","제외: 3개 넘게 선택"),"")</f>
        <v/>
      </c>
    </row>
    <row r="374">
      <c r="A374" s="15" t="n"/>
      <c r="B374" s="15" t="n"/>
      <c r="C374" s="16" t="n"/>
      <c r="D374" s="16" t="n"/>
      <c r="E374" s="21">
        <f>IF(AND(A374="",B374="",C374="",D374=""),"",IF(TRIM(C374)="",0,LEN(C374)-LEN(SUBSTITUTE(C374,",",""))+1))</f>
        <v/>
      </c>
      <c r="F374" s="21">
        <f>IF(AND(A374="",B374="",C374="",D374=""),"",IF(TRIM(D374)="",0,LEN(D374)-LEN(SUBSTITUTE(D374,",",""))+1))</f>
        <v/>
      </c>
      <c r="G374" s="21">
        <f>IF(B374="","",IF(COUNTIF($B$6:B374,B374)&gt;1,"중복",""))</f>
        <v/>
      </c>
      <c r="H374" s="21">
        <f>IF(AND(A374="",B374="",C374="",D374=""),"",IF(AND(E374&lt;=3,F374&lt;=3,G374=""),1,0))</f>
        <v/>
      </c>
      <c r="I374" s="22">
        <f>IF(H374=0,IF(G374="중복","제외: 같은 이메일 중복 응답","제외: 3개 넘게 선택"),"")</f>
        <v/>
      </c>
    </row>
    <row r="375">
      <c r="A375" s="15" t="n"/>
      <c r="B375" s="15" t="n"/>
      <c r="C375" s="16" t="n"/>
      <c r="D375" s="16" t="n"/>
      <c r="E375" s="21">
        <f>IF(AND(A375="",B375="",C375="",D375=""),"",IF(TRIM(C375)="",0,LEN(C375)-LEN(SUBSTITUTE(C375,",",""))+1))</f>
        <v/>
      </c>
      <c r="F375" s="21">
        <f>IF(AND(A375="",B375="",C375="",D375=""),"",IF(TRIM(D375)="",0,LEN(D375)-LEN(SUBSTITUTE(D375,",",""))+1))</f>
        <v/>
      </c>
      <c r="G375" s="21">
        <f>IF(B375="","",IF(COUNTIF($B$6:B375,B375)&gt;1,"중복",""))</f>
        <v/>
      </c>
      <c r="H375" s="21">
        <f>IF(AND(A375="",B375="",C375="",D375=""),"",IF(AND(E375&lt;=3,F375&lt;=3,G375=""),1,0))</f>
        <v/>
      </c>
      <c r="I375" s="22">
        <f>IF(H375=0,IF(G375="중복","제외: 같은 이메일 중복 응답","제외: 3개 넘게 선택"),"")</f>
        <v/>
      </c>
    </row>
    <row r="376">
      <c r="A376" s="15" t="n"/>
      <c r="B376" s="15" t="n"/>
      <c r="C376" s="16" t="n"/>
      <c r="D376" s="16" t="n"/>
      <c r="E376" s="21">
        <f>IF(AND(A376="",B376="",C376="",D376=""),"",IF(TRIM(C376)="",0,LEN(C376)-LEN(SUBSTITUTE(C376,",",""))+1))</f>
        <v/>
      </c>
      <c r="F376" s="21">
        <f>IF(AND(A376="",B376="",C376="",D376=""),"",IF(TRIM(D376)="",0,LEN(D376)-LEN(SUBSTITUTE(D376,",",""))+1))</f>
        <v/>
      </c>
      <c r="G376" s="21">
        <f>IF(B376="","",IF(COUNTIF($B$6:B376,B376)&gt;1,"중복",""))</f>
        <v/>
      </c>
      <c r="H376" s="21">
        <f>IF(AND(A376="",B376="",C376="",D376=""),"",IF(AND(E376&lt;=3,F376&lt;=3,G376=""),1,0))</f>
        <v/>
      </c>
      <c r="I376" s="22">
        <f>IF(H376=0,IF(G376="중복","제외: 같은 이메일 중복 응답","제외: 3개 넘게 선택"),"")</f>
        <v/>
      </c>
    </row>
    <row r="377">
      <c r="A377" s="15" t="n"/>
      <c r="B377" s="15" t="n"/>
      <c r="C377" s="16" t="n"/>
      <c r="D377" s="16" t="n"/>
      <c r="E377" s="21">
        <f>IF(AND(A377="",B377="",C377="",D377=""),"",IF(TRIM(C377)="",0,LEN(C377)-LEN(SUBSTITUTE(C377,",",""))+1))</f>
        <v/>
      </c>
      <c r="F377" s="21">
        <f>IF(AND(A377="",B377="",C377="",D377=""),"",IF(TRIM(D377)="",0,LEN(D377)-LEN(SUBSTITUTE(D377,",",""))+1))</f>
        <v/>
      </c>
      <c r="G377" s="21">
        <f>IF(B377="","",IF(COUNTIF($B$6:B377,B377)&gt;1,"중복",""))</f>
        <v/>
      </c>
      <c r="H377" s="21">
        <f>IF(AND(A377="",B377="",C377="",D377=""),"",IF(AND(E377&lt;=3,F377&lt;=3,G377=""),1,0))</f>
        <v/>
      </c>
      <c r="I377" s="22">
        <f>IF(H377=0,IF(G377="중복","제외: 같은 이메일 중복 응답","제외: 3개 넘게 선택"),"")</f>
        <v/>
      </c>
    </row>
    <row r="378">
      <c r="A378" s="15" t="n"/>
      <c r="B378" s="15" t="n"/>
      <c r="C378" s="16" t="n"/>
      <c r="D378" s="16" t="n"/>
      <c r="E378" s="21">
        <f>IF(AND(A378="",B378="",C378="",D378=""),"",IF(TRIM(C378)="",0,LEN(C378)-LEN(SUBSTITUTE(C378,",",""))+1))</f>
        <v/>
      </c>
      <c r="F378" s="21">
        <f>IF(AND(A378="",B378="",C378="",D378=""),"",IF(TRIM(D378)="",0,LEN(D378)-LEN(SUBSTITUTE(D378,",",""))+1))</f>
        <v/>
      </c>
      <c r="G378" s="21">
        <f>IF(B378="","",IF(COUNTIF($B$6:B378,B378)&gt;1,"중복",""))</f>
        <v/>
      </c>
      <c r="H378" s="21">
        <f>IF(AND(A378="",B378="",C378="",D378=""),"",IF(AND(E378&lt;=3,F378&lt;=3,G378=""),1,0))</f>
        <v/>
      </c>
      <c r="I378" s="22">
        <f>IF(H378=0,IF(G378="중복","제외: 같은 이메일 중복 응답","제외: 3개 넘게 선택"),"")</f>
        <v/>
      </c>
    </row>
    <row r="379">
      <c r="A379" s="15" t="n"/>
      <c r="B379" s="15" t="n"/>
      <c r="C379" s="16" t="n"/>
      <c r="D379" s="16" t="n"/>
      <c r="E379" s="21">
        <f>IF(AND(A379="",B379="",C379="",D379=""),"",IF(TRIM(C379)="",0,LEN(C379)-LEN(SUBSTITUTE(C379,",",""))+1))</f>
        <v/>
      </c>
      <c r="F379" s="21">
        <f>IF(AND(A379="",B379="",C379="",D379=""),"",IF(TRIM(D379)="",0,LEN(D379)-LEN(SUBSTITUTE(D379,",",""))+1))</f>
        <v/>
      </c>
      <c r="G379" s="21">
        <f>IF(B379="","",IF(COUNTIF($B$6:B379,B379)&gt;1,"중복",""))</f>
        <v/>
      </c>
      <c r="H379" s="21">
        <f>IF(AND(A379="",B379="",C379="",D379=""),"",IF(AND(E379&lt;=3,F379&lt;=3,G379=""),1,0))</f>
        <v/>
      </c>
      <c r="I379" s="22">
        <f>IF(H379=0,IF(G379="중복","제외: 같은 이메일 중복 응답","제외: 3개 넘게 선택"),"")</f>
        <v/>
      </c>
    </row>
    <row r="380">
      <c r="A380" s="15" t="n"/>
      <c r="B380" s="15" t="n"/>
      <c r="C380" s="16" t="n"/>
      <c r="D380" s="16" t="n"/>
      <c r="E380" s="21">
        <f>IF(AND(A380="",B380="",C380="",D380=""),"",IF(TRIM(C380)="",0,LEN(C380)-LEN(SUBSTITUTE(C380,",",""))+1))</f>
        <v/>
      </c>
      <c r="F380" s="21">
        <f>IF(AND(A380="",B380="",C380="",D380=""),"",IF(TRIM(D380)="",0,LEN(D380)-LEN(SUBSTITUTE(D380,",",""))+1))</f>
        <v/>
      </c>
      <c r="G380" s="21">
        <f>IF(B380="","",IF(COUNTIF($B$6:B380,B380)&gt;1,"중복",""))</f>
        <v/>
      </c>
      <c r="H380" s="21">
        <f>IF(AND(A380="",B380="",C380="",D380=""),"",IF(AND(E380&lt;=3,F380&lt;=3,G380=""),1,0))</f>
        <v/>
      </c>
      <c r="I380" s="22">
        <f>IF(H380=0,IF(G380="중복","제외: 같은 이메일 중복 응답","제외: 3개 넘게 선택"),"")</f>
        <v/>
      </c>
    </row>
    <row r="381">
      <c r="A381" s="15" t="n"/>
      <c r="B381" s="15" t="n"/>
      <c r="C381" s="16" t="n"/>
      <c r="D381" s="16" t="n"/>
      <c r="E381" s="21">
        <f>IF(AND(A381="",B381="",C381="",D381=""),"",IF(TRIM(C381)="",0,LEN(C381)-LEN(SUBSTITUTE(C381,",",""))+1))</f>
        <v/>
      </c>
      <c r="F381" s="21">
        <f>IF(AND(A381="",B381="",C381="",D381=""),"",IF(TRIM(D381)="",0,LEN(D381)-LEN(SUBSTITUTE(D381,",",""))+1))</f>
        <v/>
      </c>
      <c r="G381" s="21">
        <f>IF(B381="","",IF(COUNTIF($B$6:B381,B381)&gt;1,"중복",""))</f>
        <v/>
      </c>
      <c r="H381" s="21">
        <f>IF(AND(A381="",B381="",C381="",D381=""),"",IF(AND(E381&lt;=3,F381&lt;=3,G381=""),1,0))</f>
        <v/>
      </c>
      <c r="I381" s="22">
        <f>IF(H381=0,IF(G381="중복","제외: 같은 이메일 중복 응답","제외: 3개 넘게 선택"),"")</f>
        <v/>
      </c>
    </row>
    <row r="382">
      <c r="A382" s="15" t="n"/>
      <c r="B382" s="15" t="n"/>
      <c r="C382" s="16" t="n"/>
      <c r="D382" s="16" t="n"/>
      <c r="E382" s="21">
        <f>IF(AND(A382="",B382="",C382="",D382=""),"",IF(TRIM(C382)="",0,LEN(C382)-LEN(SUBSTITUTE(C382,",",""))+1))</f>
        <v/>
      </c>
      <c r="F382" s="21">
        <f>IF(AND(A382="",B382="",C382="",D382=""),"",IF(TRIM(D382)="",0,LEN(D382)-LEN(SUBSTITUTE(D382,",",""))+1))</f>
        <v/>
      </c>
      <c r="G382" s="21">
        <f>IF(B382="","",IF(COUNTIF($B$6:B382,B382)&gt;1,"중복",""))</f>
        <v/>
      </c>
      <c r="H382" s="21">
        <f>IF(AND(A382="",B382="",C382="",D382=""),"",IF(AND(E382&lt;=3,F382&lt;=3,G382=""),1,0))</f>
        <v/>
      </c>
      <c r="I382" s="22">
        <f>IF(H382=0,IF(G382="중복","제외: 같은 이메일 중복 응답","제외: 3개 넘게 선택"),"")</f>
        <v/>
      </c>
    </row>
    <row r="383">
      <c r="A383" s="15" t="n"/>
      <c r="B383" s="15" t="n"/>
      <c r="C383" s="16" t="n"/>
      <c r="D383" s="16" t="n"/>
      <c r="E383" s="21">
        <f>IF(AND(A383="",B383="",C383="",D383=""),"",IF(TRIM(C383)="",0,LEN(C383)-LEN(SUBSTITUTE(C383,",",""))+1))</f>
        <v/>
      </c>
      <c r="F383" s="21">
        <f>IF(AND(A383="",B383="",C383="",D383=""),"",IF(TRIM(D383)="",0,LEN(D383)-LEN(SUBSTITUTE(D383,",",""))+1))</f>
        <v/>
      </c>
      <c r="G383" s="21">
        <f>IF(B383="","",IF(COUNTIF($B$6:B383,B383)&gt;1,"중복",""))</f>
        <v/>
      </c>
      <c r="H383" s="21">
        <f>IF(AND(A383="",B383="",C383="",D383=""),"",IF(AND(E383&lt;=3,F383&lt;=3,G383=""),1,0))</f>
        <v/>
      </c>
      <c r="I383" s="22">
        <f>IF(H383=0,IF(G383="중복","제외: 같은 이메일 중복 응답","제외: 3개 넘게 선택"),"")</f>
        <v/>
      </c>
    </row>
    <row r="384">
      <c r="A384" s="15" t="n"/>
      <c r="B384" s="15" t="n"/>
      <c r="C384" s="16" t="n"/>
      <c r="D384" s="16" t="n"/>
      <c r="E384" s="21">
        <f>IF(AND(A384="",B384="",C384="",D384=""),"",IF(TRIM(C384)="",0,LEN(C384)-LEN(SUBSTITUTE(C384,",",""))+1))</f>
        <v/>
      </c>
      <c r="F384" s="21">
        <f>IF(AND(A384="",B384="",C384="",D384=""),"",IF(TRIM(D384)="",0,LEN(D384)-LEN(SUBSTITUTE(D384,",",""))+1))</f>
        <v/>
      </c>
      <c r="G384" s="21">
        <f>IF(B384="","",IF(COUNTIF($B$6:B384,B384)&gt;1,"중복",""))</f>
        <v/>
      </c>
      <c r="H384" s="21">
        <f>IF(AND(A384="",B384="",C384="",D384=""),"",IF(AND(E384&lt;=3,F384&lt;=3,G384=""),1,0))</f>
        <v/>
      </c>
      <c r="I384" s="22">
        <f>IF(H384=0,IF(G384="중복","제외: 같은 이메일 중복 응답","제외: 3개 넘게 선택"),"")</f>
        <v/>
      </c>
    </row>
    <row r="385">
      <c r="A385" s="15" t="n"/>
      <c r="B385" s="15" t="n"/>
      <c r="C385" s="16" t="n"/>
      <c r="D385" s="16" t="n"/>
      <c r="E385" s="21">
        <f>IF(AND(A385="",B385="",C385="",D385=""),"",IF(TRIM(C385)="",0,LEN(C385)-LEN(SUBSTITUTE(C385,",",""))+1))</f>
        <v/>
      </c>
      <c r="F385" s="21">
        <f>IF(AND(A385="",B385="",C385="",D385=""),"",IF(TRIM(D385)="",0,LEN(D385)-LEN(SUBSTITUTE(D385,",",""))+1))</f>
        <v/>
      </c>
      <c r="G385" s="21">
        <f>IF(B385="","",IF(COUNTIF($B$6:B385,B385)&gt;1,"중복",""))</f>
        <v/>
      </c>
      <c r="H385" s="21">
        <f>IF(AND(A385="",B385="",C385="",D385=""),"",IF(AND(E385&lt;=3,F385&lt;=3,G385=""),1,0))</f>
        <v/>
      </c>
      <c r="I385" s="22">
        <f>IF(H385=0,IF(G385="중복","제외: 같은 이메일 중복 응답","제외: 3개 넘게 선택"),"")</f>
        <v/>
      </c>
    </row>
    <row r="386">
      <c r="A386" s="15" t="n"/>
      <c r="B386" s="15" t="n"/>
      <c r="C386" s="16" t="n"/>
      <c r="D386" s="16" t="n"/>
      <c r="E386" s="21">
        <f>IF(AND(A386="",B386="",C386="",D386=""),"",IF(TRIM(C386)="",0,LEN(C386)-LEN(SUBSTITUTE(C386,",",""))+1))</f>
        <v/>
      </c>
      <c r="F386" s="21">
        <f>IF(AND(A386="",B386="",C386="",D386=""),"",IF(TRIM(D386)="",0,LEN(D386)-LEN(SUBSTITUTE(D386,",",""))+1))</f>
        <v/>
      </c>
      <c r="G386" s="21">
        <f>IF(B386="","",IF(COUNTIF($B$6:B386,B386)&gt;1,"중복",""))</f>
        <v/>
      </c>
      <c r="H386" s="21">
        <f>IF(AND(A386="",B386="",C386="",D386=""),"",IF(AND(E386&lt;=3,F386&lt;=3,G386=""),1,0))</f>
        <v/>
      </c>
      <c r="I386" s="22">
        <f>IF(H386=0,IF(G386="중복","제외: 같은 이메일 중복 응답","제외: 3개 넘게 선택"),"")</f>
        <v/>
      </c>
    </row>
    <row r="387">
      <c r="A387" s="15" t="n"/>
      <c r="B387" s="15" t="n"/>
      <c r="C387" s="16" t="n"/>
      <c r="D387" s="16" t="n"/>
      <c r="E387" s="21">
        <f>IF(AND(A387="",B387="",C387="",D387=""),"",IF(TRIM(C387)="",0,LEN(C387)-LEN(SUBSTITUTE(C387,",",""))+1))</f>
        <v/>
      </c>
      <c r="F387" s="21">
        <f>IF(AND(A387="",B387="",C387="",D387=""),"",IF(TRIM(D387)="",0,LEN(D387)-LEN(SUBSTITUTE(D387,",",""))+1))</f>
        <v/>
      </c>
      <c r="G387" s="21">
        <f>IF(B387="","",IF(COUNTIF($B$6:B387,B387)&gt;1,"중복",""))</f>
        <v/>
      </c>
      <c r="H387" s="21">
        <f>IF(AND(A387="",B387="",C387="",D387=""),"",IF(AND(E387&lt;=3,F387&lt;=3,G387=""),1,0))</f>
        <v/>
      </c>
      <c r="I387" s="22">
        <f>IF(H387=0,IF(G387="중복","제외: 같은 이메일 중복 응답","제외: 3개 넘게 선택"),"")</f>
        <v/>
      </c>
    </row>
    <row r="388">
      <c r="A388" s="15" t="n"/>
      <c r="B388" s="15" t="n"/>
      <c r="C388" s="16" t="n"/>
      <c r="D388" s="16" t="n"/>
      <c r="E388" s="21">
        <f>IF(AND(A388="",B388="",C388="",D388=""),"",IF(TRIM(C388)="",0,LEN(C388)-LEN(SUBSTITUTE(C388,",",""))+1))</f>
        <v/>
      </c>
      <c r="F388" s="21">
        <f>IF(AND(A388="",B388="",C388="",D388=""),"",IF(TRIM(D388)="",0,LEN(D388)-LEN(SUBSTITUTE(D388,",",""))+1))</f>
        <v/>
      </c>
      <c r="G388" s="21">
        <f>IF(B388="","",IF(COUNTIF($B$6:B388,B388)&gt;1,"중복",""))</f>
        <v/>
      </c>
      <c r="H388" s="21">
        <f>IF(AND(A388="",B388="",C388="",D388=""),"",IF(AND(E388&lt;=3,F388&lt;=3,G388=""),1,0))</f>
        <v/>
      </c>
      <c r="I388" s="22">
        <f>IF(H388=0,IF(G388="중복","제외: 같은 이메일 중복 응답","제외: 3개 넘게 선택"),"")</f>
        <v/>
      </c>
    </row>
    <row r="389">
      <c r="A389" s="15" t="n"/>
      <c r="B389" s="15" t="n"/>
      <c r="C389" s="16" t="n"/>
      <c r="D389" s="16" t="n"/>
      <c r="E389" s="21">
        <f>IF(AND(A389="",B389="",C389="",D389=""),"",IF(TRIM(C389)="",0,LEN(C389)-LEN(SUBSTITUTE(C389,",",""))+1))</f>
        <v/>
      </c>
      <c r="F389" s="21">
        <f>IF(AND(A389="",B389="",C389="",D389=""),"",IF(TRIM(D389)="",0,LEN(D389)-LEN(SUBSTITUTE(D389,",",""))+1))</f>
        <v/>
      </c>
      <c r="G389" s="21">
        <f>IF(B389="","",IF(COUNTIF($B$6:B389,B389)&gt;1,"중복",""))</f>
        <v/>
      </c>
      <c r="H389" s="21">
        <f>IF(AND(A389="",B389="",C389="",D389=""),"",IF(AND(E389&lt;=3,F389&lt;=3,G389=""),1,0))</f>
        <v/>
      </c>
      <c r="I389" s="22">
        <f>IF(H389=0,IF(G389="중복","제외: 같은 이메일 중복 응답","제외: 3개 넘게 선택"),"")</f>
        <v/>
      </c>
    </row>
    <row r="390">
      <c r="A390" s="15" t="n"/>
      <c r="B390" s="15" t="n"/>
      <c r="C390" s="16" t="n"/>
      <c r="D390" s="16" t="n"/>
      <c r="E390" s="21">
        <f>IF(AND(A390="",B390="",C390="",D390=""),"",IF(TRIM(C390)="",0,LEN(C390)-LEN(SUBSTITUTE(C390,",",""))+1))</f>
        <v/>
      </c>
      <c r="F390" s="21">
        <f>IF(AND(A390="",B390="",C390="",D390=""),"",IF(TRIM(D390)="",0,LEN(D390)-LEN(SUBSTITUTE(D390,",",""))+1))</f>
        <v/>
      </c>
      <c r="G390" s="21">
        <f>IF(B390="","",IF(COUNTIF($B$6:B390,B390)&gt;1,"중복",""))</f>
        <v/>
      </c>
      <c r="H390" s="21">
        <f>IF(AND(A390="",B390="",C390="",D390=""),"",IF(AND(E390&lt;=3,F390&lt;=3,G390=""),1,0))</f>
        <v/>
      </c>
      <c r="I390" s="22">
        <f>IF(H390=0,IF(G390="중복","제외: 같은 이메일 중복 응답","제외: 3개 넘게 선택"),"")</f>
        <v/>
      </c>
    </row>
    <row r="391">
      <c r="A391" s="15" t="n"/>
      <c r="B391" s="15" t="n"/>
      <c r="C391" s="16" t="n"/>
      <c r="D391" s="16" t="n"/>
      <c r="E391" s="21">
        <f>IF(AND(A391="",B391="",C391="",D391=""),"",IF(TRIM(C391)="",0,LEN(C391)-LEN(SUBSTITUTE(C391,",",""))+1))</f>
        <v/>
      </c>
      <c r="F391" s="21">
        <f>IF(AND(A391="",B391="",C391="",D391=""),"",IF(TRIM(D391)="",0,LEN(D391)-LEN(SUBSTITUTE(D391,",",""))+1))</f>
        <v/>
      </c>
      <c r="G391" s="21">
        <f>IF(B391="","",IF(COUNTIF($B$6:B391,B391)&gt;1,"중복",""))</f>
        <v/>
      </c>
      <c r="H391" s="21">
        <f>IF(AND(A391="",B391="",C391="",D391=""),"",IF(AND(E391&lt;=3,F391&lt;=3,G391=""),1,0))</f>
        <v/>
      </c>
      <c r="I391" s="22">
        <f>IF(H391=0,IF(G391="중복","제외: 같은 이메일 중복 응답","제외: 3개 넘게 선택"),"")</f>
        <v/>
      </c>
    </row>
    <row r="392">
      <c r="A392" s="15" t="n"/>
      <c r="B392" s="15" t="n"/>
      <c r="C392" s="16" t="n"/>
      <c r="D392" s="16" t="n"/>
      <c r="E392" s="21">
        <f>IF(AND(A392="",B392="",C392="",D392=""),"",IF(TRIM(C392)="",0,LEN(C392)-LEN(SUBSTITUTE(C392,",",""))+1))</f>
        <v/>
      </c>
      <c r="F392" s="21">
        <f>IF(AND(A392="",B392="",C392="",D392=""),"",IF(TRIM(D392)="",0,LEN(D392)-LEN(SUBSTITUTE(D392,",",""))+1))</f>
        <v/>
      </c>
      <c r="G392" s="21">
        <f>IF(B392="","",IF(COUNTIF($B$6:B392,B392)&gt;1,"중복",""))</f>
        <v/>
      </c>
      <c r="H392" s="21">
        <f>IF(AND(A392="",B392="",C392="",D392=""),"",IF(AND(E392&lt;=3,F392&lt;=3,G392=""),1,0))</f>
        <v/>
      </c>
      <c r="I392" s="22">
        <f>IF(H392=0,IF(G392="중복","제외: 같은 이메일 중복 응답","제외: 3개 넘게 선택"),"")</f>
        <v/>
      </c>
    </row>
    <row r="393">
      <c r="A393" s="15" t="n"/>
      <c r="B393" s="15" t="n"/>
      <c r="C393" s="16" t="n"/>
      <c r="D393" s="16" t="n"/>
      <c r="E393" s="21">
        <f>IF(AND(A393="",B393="",C393="",D393=""),"",IF(TRIM(C393)="",0,LEN(C393)-LEN(SUBSTITUTE(C393,",",""))+1))</f>
        <v/>
      </c>
      <c r="F393" s="21">
        <f>IF(AND(A393="",B393="",C393="",D393=""),"",IF(TRIM(D393)="",0,LEN(D393)-LEN(SUBSTITUTE(D393,",",""))+1))</f>
        <v/>
      </c>
      <c r="G393" s="21">
        <f>IF(B393="","",IF(COUNTIF($B$6:B393,B393)&gt;1,"중복",""))</f>
        <v/>
      </c>
      <c r="H393" s="21">
        <f>IF(AND(A393="",B393="",C393="",D393=""),"",IF(AND(E393&lt;=3,F393&lt;=3,G393=""),1,0))</f>
        <v/>
      </c>
      <c r="I393" s="22">
        <f>IF(H393=0,IF(G393="중복","제외: 같은 이메일 중복 응답","제외: 3개 넘게 선택"),"")</f>
        <v/>
      </c>
    </row>
    <row r="394">
      <c r="A394" s="15" t="n"/>
      <c r="B394" s="15" t="n"/>
      <c r="C394" s="16" t="n"/>
      <c r="D394" s="16" t="n"/>
      <c r="E394" s="21">
        <f>IF(AND(A394="",B394="",C394="",D394=""),"",IF(TRIM(C394)="",0,LEN(C394)-LEN(SUBSTITUTE(C394,",",""))+1))</f>
        <v/>
      </c>
      <c r="F394" s="21">
        <f>IF(AND(A394="",B394="",C394="",D394=""),"",IF(TRIM(D394)="",0,LEN(D394)-LEN(SUBSTITUTE(D394,",",""))+1))</f>
        <v/>
      </c>
      <c r="G394" s="21">
        <f>IF(B394="","",IF(COUNTIF($B$6:B394,B394)&gt;1,"중복",""))</f>
        <v/>
      </c>
      <c r="H394" s="21">
        <f>IF(AND(A394="",B394="",C394="",D394=""),"",IF(AND(E394&lt;=3,F394&lt;=3,G394=""),1,0))</f>
        <v/>
      </c>
      <c r="I394" s="22">
        <f>IF(H394=0,IF(G394="중복","제외: 같은 이메일 중복 응답","제외: 3개 넘게 선택"),"")</f>
        <v/>
      </c>
    </row>
    <row r="395">
      <c r="A395" s="15" t="n"/>
      <c r="B395" s="15" t="n"/>
      <c r="C395" s="16" t="n"/>
      <c r="D395" s="16" t="n"/>
      <c r="E395" s="21">
        <f>IF(AND(A395="",B395="",C395="",D395=""),"",IF(TRIM(C395)="",0,LEN(C395)-LEN(SUBSTITUTE(C395,",",""))+1))</f>
        <v/>
      </c>
      <c r="F395" s="21">
        <f>IF(AND(A395="",B395="",C395="",D395=""),"",IF(TRIM(D395)="",0,LEN(D395)-LEN(SUBSTITUTE(D395,",",""))+1))</f>
        <v/>
      </c>
      <c r="G395" s="21">
        <f>IF(B395="","",IF(COUNTIF($B$6:B395,B395)&gt;1,"중복",""))</f>
        <v/>
      </c>
      <c r="H395" s="21">
        <f>IF(AND(A395="",B395="",C395="",D395=""),"",IF(AND(E395&lt;=3,F395&lt;=3,G395=""),1,0))</f>
        <v/>
      </c>
      <c r="I395" s="22">
        <f>IF(H395=0,IF(G395="중복","제외: 같은 이메일 중복 응답","제외: 3개 넘게 선택"),"")</f>
        <v/>
      </c>
    </row>
    <row r="396">
      <c r="A396" s="15" t="n"/>
      <c r="B396" s="15" t="n"/>
      <c r="C396" s="16" t="n"/>
      <c r="D396" s="16" t="n"/>
      <c r="E396" s="21">
        <f>IF(AND(A396="",B396="",C396="",D396=""),"",IF(TRIM(C396)="",0,LEN(C396)-LEN(SUBSTITUTE(C396,",",""))+1))</f>
        <v/>
      </c>
      <c r="F396" s="21">
        <f>IF(AND(A396="",B396="",C396="",D396=""),"",IF(TRIM(D396)="",0,LEN(D396)-LEN(SUBSTITUTE(D396,",",""))+1))</f>
        <v/>
      </c>
      <c r="G396" s="21">
        <f>IF(B396="","",IF(COUNTIF($B$6:B396,B396)&gt;1,"중복",""))</f>
        <v/>
      </c>
      <c r="H396" s="21">
        <f>IF(AND(A396="",B396="",C396="",D396=""),"",IF(AND(E396&lt;=3,F396&lt;=3,G396=""),1,0))</f>
        <v/>
      </c>
      <c r="I396" s="22">
        <f>IF(H396=0,IF(G396="중복","제외: 같은 이메일 중복 응답","제외: 3개 넘게 선택"),"")</f>
        <v/>
      </c>
    </row>
    <row r="397">
      <c r="A397" s="15" t="n"/>
      <c r="B397" s="15" t="n"/>
      <c r="C397" s="16" t="n"/>
      <c r="D397" s="16" t="n"/>
      <c r="E397" s="21">
        <f>IF(AND(A397="",B397="",C397="",D397=""),"",IF(TRIM(C397)="",0,LEN(C397)-LEN(SUBSTITUTE(C397,",",""))+1))</f>
        <v/>
      </c>
      <c r="F397" s="21">
        <f>IF(AND(A397="",B397="",C397="",D397=""),"",IF(TRIM(D397)="",0,LEN(D397)-LEN(SUBSTITUTE(D397,",",""))+1))</f>
        <v/>
      </c>
      <c r="G397" s="21">
        <f>IF(B397="","",IF(COUNTIF($B$6:B397,B397)&gt;1,"중복",""))</f>
        <v/>
      </c>
      <c r="H397" s="21">
        <f>IF(AND(A397="",B397="",C397="",D397=""),"",IF(AND(E397&lt;=3,F397&lt;=3,G397=""),1,0))</f>
        <v/>
      </c>
      <c r="I397" s="22">
        <f>IF(H397=0,IF(G397="중복","제외: 같은 이메일 중복 응답","제외: 3개 넘게 선택"),"")</f>
        <v/>
      </c>
    </row>
    <row r="398">
      <c r="A398" s="15" t="n"/>
      <c r="B398" s="15" t="n"/>
      <c r="C398" s="16" t="n"/>
      <c r="D398" s="16" t="n"/>
      <c r="E398" s="21">
        <f>IF(AND(A398="",B398="",C398="",D398=""),"",IF(TRIM(C398)="",0,LEN(C398)-LEN(SUBSTITUTE(C398,",",""))+1))</f>
        <v/>
      </c>
      <c r="F398" s="21">
        <f>IF(AND(A398="",B398="",C398="",D398=""),"",IF(TRIM(D398)="",0,LEN(D398)-LEN(SUBSTITUTE(D398,",",""))+1))</f>
        <v/>
      </c>
      <c r="G398" s="21">
        <f>IF(B398="","",IF(COUNTIF($B$6:B398,B398)&gt;1,"중복",""))</f>
        <v/>
      </c>
      <c r="H398" s="21">
        <f>IF(AND(A398="",B398="",C398="",D398=""),"",IF(AND(E398&lt;=3,F398&lt;=3,G398=""),1,0))</f>
        <v/>
      </c>
      <c r="I398" s="22">
        <f>IF(H398=0,IF(G398="중복","제외: 같은 이메일 중복 응답","제외: 3개 넘게 선택"),"")</f>
        <v/>
      </c>
    </row>
    <row r="399">
      <c r="A399" s="15" t="n"/>
      <c r="B399" s="15" t="n"/>
      <c r="C399" s="16" t="n"/>
      <c r="D399" s="16" t="n"/>
      <c r="E399" s="21">
        <f>IF(AND(A399="",B399="",C399="",D399=""),"",IF(TRIM(C399)="",0,LEN(C399)-LEN(SUBSTITUTE(C399,",",""))+1))</f>
        <v/>
      </c>
      <c r="F399" s="21">
        <f>IF(AND(A399="",B399="",C399="",D399=""),"",IF(TRIM(D399)="",0,LEN(D399)-LEN(SUBSTITUTE(D399,",",""))+1))</f>
        <v/>
      </c>
      <c r="G399" s="21">
        <f>IF(B399="","",IF(COUNTIF($B$6:B399,B399)&gt;1,"중복",""))</f>
        <v/>
      </c>
      <c r="H399" s="21">
        <f>IF(AND(A399="",B399="",C399="",D399=""),"",IF(AND(E399&lt;=3,F399&lt;=3,G399=""),1,0))</f>
        <v/>
      </c>
      <c r="I399" s="22">
        <f>IF(H399=0,IF(G399="중복","제외: 같은 이메일 중복 응답","제외: 3개 넘게 선택"),"")</f>
        <v/>
      </c>
    </row>
    <row r="400">
      <c r="A400" s="15" t="n"/>
      <c r="B400" s="15" t="n"/>
      <c r="C400" s="16" t="n"/>
      <c r="D400" s="16" t="n"/>
      <c r="E400" s="21">
        <f>IF(AND(A400="",B400="",C400="",D400=""),"",IF(TRIM(C400)="",0,LEN(C400)-LEN(SUBSTITUTE(C400,",",""))+1))</f>
        <v/>
      </c>
      <c r="F400" s="21">
        <f>IF(AND(A400="",B400="",C400="",D400=""),"",IF(TRIM(D400)="",0,LEN(D400)-LEN(SUBSTITUTE(D400,",",""))+1))</f>
        <v/>
      </c>
      <c r="G400" s="21">
        <f>IF(B400="","",IF(COUNTIF($B$6:B400,B400)&gt;1,"중복",""))</f>
        <v/>
      </c>
      <c r="H400" s="21">
        <f>IF(AND(A400="",B400="",C400="",D400=""),"",IF(AND(E400&lt;=3,F400&lt;=3,G400=""),1,0))</f>
        <v/>
      </c>
      <c r="I400" s="22">
        <f>IF(H400=0,IF(G400="중복","제외: 같은 이메일 중복 응답","제외: 3개 넘게 선택"),"")</f>
        <v/>
      </c>
    </row>
    <row r="401">
      <c r="A401" s="15" t="n"/>
      <c r="B401" s="15" t="n"/>
      <c r="C401" s="16" t="n"/>
      <c r="D401" s="16" t="n"/>
      <c r="E401" s="21">
        <f>IF(AND(A401="",B401="",C401="",D401=""),"",IF(TRIM(C401)="",0,LEN(C401)-LEN(SUBSTITUTE(C401,",",""))+1))</f>
        <v/>
      </c>
      <c r="F401" s="21">
        <f>IF(AND(A401="",B401="",C401="",D401=""),"",IF(TRIM(D401)="",0,LEN(D401)-LEN(SUBSTITUTE(D401,",",""))+1))</f>
        <v/>
      </c>
      <c r="G401" s="21">
        <f>IF(B401="","",IF(COUNTIF($B$6:B401,B401)&gt;1,"중복",""))</f>
        <v/>
      </c>
      <c r="H401" s="21">
        <f>IF(AND(A401="",B401="",C401="",D401=""),"",IF(AND(E401&lt;=3,F401&lt;=3,G401=""),1,0))</f>
        <v/>
      </c>
      <c r="I401" s="22">
        <f>IF(H401=0,IF(G401="중복","제외: 같은 이메일 중복 응답","제외: 3개 넘게 선택"),"")</f>
        <v/>
      </c>
    </row>
    <row r="402">
      <c r="A402" s="15" t="n"/>
      <c r="B402" s="15" t="n"/>
      <c r="C402" s="16" t="n"/>
      <c r="D402" s="16" t="n"/>
      <c r="E402" s="21">
        <f>IF(AND(A402="",B402="",C402="",D402=""),"",IF(TRIM(C402)="",0,LEN(C402)-LEN(SUBSTITUTE(C402,",",""))+1))</f>
        <v/>
      </c>
      <c r="F402" s="21">
        <f>IF(AND(A402="",B402="",C402="",D402=""),"",IF(TRIM(D402)="",0,LEN(D402)-LEN(SUBSTITUTE(D402,",",""))+1))</f>
        <v/>
      </c>
      <c r="G402" s="21">
        <f>IF(B402="","",IF(COUNTIF($B$6:B402,B402)&gt;1,"중복",""))</f>
        <v/>
      </c>
      <c r="H402" s="21">
        <f>IF(AND(A402="",B402="",C402="",D402=""),"",IF(AND(E402&lt;=3,F402&lt;=3,G402=""),1,0))</f>
        <v/>
      </c>
      <c r="I402" s="22">
        <f>IF(H402=0,IF(G402="중복","제외: 같은 이메일 중복 응답","제외: 3개 넘게 선택"),"")</f>
        <v/>
      </c>
    </row>
    <row r="403">
      <c r="A403" s="15" t="n"/>
      <c r="B403" s="15" t="n"/>
      <c r="C403" s="16" t="n"/>
      <c r="D403" s="16" t="n"/>
      <c r="E403" s="21">
        <f>IF(AND(A403="",B403="",C403="",D403=""),"",IF(TRIM(C403)="",0,LEN(C403)-LEN(SUBSTITUTE(C403,",",""))+1))</f>
        <v/>
      </c>
      <c r="F403" s="21">
        <f>IF(AND(A403="",B403="",C403="",D403=""),"",IF(TRIM(D403)="",0,LEN(D403)-LEN(SUBSTITUTE(D403,",",""))+1))</f>
        <v/>
      </c>
      <c r="G403" s="21">
        <f>IF(B403="","",IF(COUNTIF($B$6:B403,B403)&gt;1,"중복",""))</f>
        <v/>
      </c>
      <c r="H403" s="21">
        <f>IF(AND(A403="",B403="",C403="",D403=""),"",IF(AND(E403&lt;=3,F403&lt;=3,G403=""),1,0))</f>
        <v/>
      </c>
      <c r="I403" s="22">
        <f>IF(H403=0,IF(G403="중복","제외: 같은 이메일 중복 응답","제외: 3개 넘게 선택"),"")</f>
        <v/>
      </c>
    </row>
    <row r="404">
      <c r="A404" s="15" t="n"/>
      <c r="B404" s="15" t="n"/>
      <c r="C404" s="16" t="n"/>
      <c r="D404" s="16" t="n"/>
      <c r="E404" s="21">
        <f>IF(AND(A404="",B404="",C404="",D404=""),"",IF(TRIM(C404)="",0,LEN(C404)-LEN(SUBSTITUTE(C404,",",""))+1))</f>
        <v/>
      </c>
      <c r="F404" s="21">
        <f>IF(AND(A404="",B404="",C404="",D404=""),"",IF(TRIM(D404)="",0,LEN(D404)-LEN(SUBSTITUTE(D404,",",""))+1))</f>
        <v/>
      </c>
      <c r="G404" s="21">
        <f>IF(B404="","",IF(COUNTIF($B$6:B404,B404)&gt;1,"중복",""))</f>
        <v/>
      </c>
      <c r="H404" s="21">
        <f>IF(AND(A404="",B404="",C404="",D404=""),"",IF(AND(E404&lt;=3,F404&lt;=3,G404=""),1,0))</f>
        <v/>
      </c>
      <c r="I404" s="22">
        <f>IF(H404=0,IF(G404="중복","제외: 같은 이메일 중복 응답","제외: 3개 넘게 선택"),"")</f>
        <v/>
      </c>
    </row>
    <row r="405">
      <c r="A405" s="15" t="n"/>
      <c r="B405" s="15" t="n"/>
      <c r="C405" s="16" t="n"/>
      <c r="D405" s="16" t="n"/>
      <c r="E405" s="21">
        <f>IF(AND(A405="",B405="",C405="",D405=""),"",IF(TRIM(C405)="",0,LEN(C405)-LEN(SUBSTITUTE(C405,",",""))+1))</f>
        <v/>
      </c>
      <c r="F405" s="21">
        <f>IF(AND(A405="",B405="",C405="",D405=""),"",IF(TRIM(D405)="",0,LEN(D405)-LEN(SUBSTITUTE(D405,",",""))+1))</f>
        <v/>
      </c>
      <c r="G405" s="21">
        <f>IF(B405="","",IF(COUNTIF($B$6:B405,B405)&gt;1,"중복",""))</f>
        <v/>
      </c>
      <c r="H405" s="21">
        <f>IF(AND(A405="",B405="",C405="",D405=""),"",IF(AND(E405&lt;=3,F405&lt;=3,G405=""),1,0))</f>
        <v/>
      </c>
      <c r="I405" s="22">
        <f>IF(H405=0,IF(G405="중복","제외: 같은 이메일 중복 응답","제외: 3개 넘게 선택"),"")</f>
        <v/>
      </c>
    </row>
    <row r="406">
      <c r="A406" s="15" t="n"/>
      <c r="B406" s="15" t="n"/>
      <c r="C406" s="16" t="n"/>
      <c r="D406" s="16" t="n"/>
      <c r="E406" s="21">
        <f>IF(AND(A406="",B406="",C406="",D406=""),"",IF(TRIM(C406)="",0,LEN(C406)-LEN(SUBSTITUTE(C406,",",""))+1))</f>
        <v/>
      </c>
      <c r="F406" s="21">
        <f>IF(AND(A406="",B406="",C406="",D406=""),"",IF(TRIM(D406)="",0,LEN(D406)-LEN(SUBSTITUTE(D406,",",""))+1))</f>
        <v/>
      </c>
      <c r="G406" s="21">
        <f>IF(B406="","",IF(COUNTIF($B$6:B406,B406)&gt;1,"중복",""))</f>
        <v/>
      </c>
      <c r="H406" s="21">
        <f>IF(AND(A406="",B406="",C406="",D406=""),"",IF(AND(E406&lt;=3,F406&lt;=3,G406=""),1,0))</f>
        <v/>
      </c>
      <c r="I406" s="22">
        <f>IF(H406=0,IF(G406="중복","제외: 같은 이메일 중복 응답","제외: 3개 넘게 선택"),"")</f>
        <v/>
      </c>
    </row>
    <row r="407">
      <c r="A407" s="15" t="n"/>
      <c r="B407" s="15" t="n"/>
      <c r="C407" s="16" t="n"/>
      <c r="D407" s="16" t="n"/>
      <c r="E407" s="21">
        <f>IF(AND(A407="",B407="",C407="",D407=""),"",IF(TRIM(C407)="",0,LEN(C407)-LEN(SUBSTITUTE(C407,",",""))+1))</f>
        <v/>
      </c>
      <c r="F407" s="21">
        <f>IF(AND(A407="",B407="",C407="",D407=""),"",IF(TRIM(D407)="",0,LEN(D407)-LEN(SUBSTITUTE(D407,",",""))+1))</f>
        <v/>
      </c>
      <c r="G407" s="21">
        <f>IF(B407="","",IF(COUNTIF($B$6:B407,B407)&gt;1,"중복",""))</f>
        <v/>
      </c>
      <c r="H407" s="21">
        <f>IF(AND(A407="",B407="",C407="",D407=""),"",IF(AND(E407&lt;=3,F407&lt;=3,G407=""),1,0))</f>
        <v/>
      </c>
      <c r="I407" s="22">
        <f>IF(H407=0,IF(G407="중복","제외: 같은 이메일 중복 응답","제외: 3개 넘게 선택"),"")</f>
        <v/>
      </c>
    </row>
    <row r="408">
      <c r="A408" s="15" t="n"/>
      <c r="B408" s="15" t="n"/>
      <c r="C408" s="16" t="n"/>
      <c r="D408" s="16" t="n"/>
      <c r="E408" s="21">
        <f>IF(AND(A408="",B408="",C408="",D408=""),"",IF(TRIM(C408)="",0,LEN(C408)-LEN(SUBSTITUTE(C408,",",""))+1))</f>
        <v/>
      </c>
      <c r="F408" s="21">
        <f>IF(AND(A408="",B408="",C408="",D408=""),"",IF(TRIM(D408)="",0,LEN(D408)-LEN(SUBSTITUTE(D408,",",""))+1))</f>
        <v/>
      </c>
      <c r="G408" s="21">
        <f>IF(B408="","",IF(COUNTIF($B$6:B408,B408)&gt;1,"중복",""))</f>
        <v/>
      </c>
      <c r="H408" s="21">
        <f>IF(AND(A408="",B408="",C408="",D408=""),"",IF(AND(E408&lt;=3,F408&lt;=3,G408=""),1,0))</f>
        <v/>
      </c>
      <c r="I408" s="22">
        <f>IF(H408=0,IF(G408="중복","제외: 같은 이메일 중복 응답","제외: 3개 넘게 선택"),"")</f>
        <v/>
      </c>
    </row>
    <row r="409">
      <c r="A409" s="15" t="n"/>
      <c r="B409" s="15" t="n"/>
      <c r="C409" s="16" t="n"/>
      <c r="D409" s="16" t="n"/>
      <c r="E409" s="21">
        <f>IF(AND(A409="",B409="",C409="",D409=""),"",IF(TRIM(C409)="",0,LEN(C409)-LEN(SUBSTITUTE(C409,",",""))+1))</f>
        <v/>
      </c>
      <c r="F409" s="21">
        <f>IF(AND(A409="",B409="",C409="",D409=""),"",IF(TRIM(D409)="",0,LEN(D409)-LEN(SUBSTITUTE(D409,",",""))+1))</f>
        <v/>
      </c>
      <c r="G409" s="21">
        <f>IF(B409="","",IF(COUNTIF($B$6:B409,B409)&gt;1,"중복",""))</f>
        <v/>
      </c>
      <c r="H409" s="21">
        <f>IF(AND(A409="",B409="",C409="",D409=""),"",IF(AND(E409&lt;=3,F409&lt;=3,G409=""),1,0))</f>
        <v/>
      </c>
      <c r="I409" s="22">
        <f>IF(H409=0,IF(G409="중복","제외: 같은 이메일 중복 응답","제외: 3개 넘게 선택"),"")</f>
        <v/>
      </c>
    </row>
    <row r="410">
      <c r="A410" s="15" t="n"/>
      <c r="B410" s="15" t="n"/>
      <c r="C410" s="16" t="n"/>
      <c r="D410" s="16" t="n"/>
      <c r="E410" s="21">
        <f>IF(AND(A410="",B410="",C410="",D410=""),"",IF(TRIM(C410)="",0,LEN(C410)-LEN(SUBSTITUTE(C410,",",""))+1))</f>
        <v/>
      </c>
      <c r="F410" s="21">
        <f>IF(AND(A410="",B410="",C410="",D410=""),"",IF(TRIM(D410)="",0,LEN(D410)-LEN(SUBSTITUTE(D410,",",""))+1))</f>
        <v/>
      </c>
      <c r="G410" s="21">
        <f>IF(B410="","",IF(COUNTIF($B$6:B410,B410)&gt;1,"중복",""))</f>
        <v/>
      </c>
      <c r="H410" s="21">
        <f>IF(AND(A410="",B410="",C410="",D410=""),"",IF(AND(E410&lt;=3,F410&lt;=3,G410=""),1,0))</f>
        <v/>
      </c>
      <c r="I410" s="22">
        <f>IF(H410=0,IF(G410="중복","제외: 같은 이메일 중복 응답","제외: 3개 넘게 선택"),"")</f>
        <v/>
      </c>
    </row>
    <row r="411">
      <c r="A411" s="15" t="n"/>
      <c r="B411" s="15" t="n"/>
      <c r="C411" s="16" t="n"/>
      <c r="D411" s="16" t="n"/>
      <c r="E411" s="21">
        <f>IF(AND(A411="",B411="",C411="",D411=""),"",IF(TRIM(C411)="",0,LEN(C411)-LEN(SUBSTITUTE(C411,",",""))+1))</f>
        <v/>
      </c>
      <c r="F411" s="21">
        <f>IF(AND(A411="",B411="",C411="",D411=""),"",IF(TRIM(D411)="",0,LEN(D411)-LEN(SUBSTITUTE(D411,",",""))+1))</f>
        <v/>
      </c>
      <c r="G411" s="21">
        <f>IF(B411="","",IF(COUNTIF($B$6:B411,B411)&gt;1,"중복",""))</f>
        <v/>
      </c>
      <c r="H411" s="21">
        <f>IF(AND(A411="",B411="",C411="",D411=""),"",IF(AND(E411&lt;=3,F411&lt;=3,G411=""),1,0))</f>
        <v/>
      </c>
      <c r="I411" s="22">
        <f>IF(H411=0,IF(G411="중복","제외: 같은 이메일 중복 응답","제외: 3개 넘게 선택"),"")</f>
        <v/>
      </c>
    </row>
    <row r="412">
      <c r="A412" s="15" t="n"/>
      <c r="B412" s="15" t="n"/>
      <c r="C412" s="16" t="n"/>
      <c r="D412" s="16" t="n"/>
      <c r="E412" s="21">
        <f>IF(AND(A412="",B412="",C412="",D412=""),"",IF(TRIM(C412)="",0,LEN(C412)-LEN(SUBSTITUTE(C412,",",""))+1))</f>
        <v/>
      </c>
      <c r="F412" s="21">
        <f>IF(AND(A412="",B412="",C412="",D412=""),"",IF(TRIM(D412)="",0,LEN(D412)-LEN(SUBSTITUTE(D412,",",""))+1))</f>
        <v/>
      </c>
      <c r="G412" s="21">
        <f>IF(B412="","",IF(COUNTIF($B$6:B412,B412)&gt;1,"중복",""))</f>
        <v/>
      </c>
      <c r="H412" s="21">
        <f>IF(AND(A412="",B412="",C412="",D412=""),"",IF(AND(E412&lt;=3,F412&lt;=3,G412=""),1,0))</f>
        <v/>
      </c>
      <c r="I412" s="22">
        <f>IF(H412=0,IF(G412="중복","제외: 같은 이메일 중복 응답","제외: 3개 넘게 선택"),"")</f>
        <v/>
      </c>
    </row>
    <row r="413">
      <c r="A413" s="15" t="n"/>
      <c r="B413" s="15" t="n"/>
      <c r="C413" s="16" t="n"/>
      <c r="D413" s="16" t="n"/>
      <c r="E413" s="21">
        <f>IF(AND(A413="",B413="",C413="",D413=""),"",IF(TRIM(C413)="",0,LEN(C413)-LEN(SUBSTITUTE(C413,",",""))+1))</f>
        <v/>
      </c>
      <c r="F413" s="21">
        <f>IF(AND(A413="",B413="",C413="",D413=""),"",IF(TRIM(D413)="",0,LEN(D413)-LEN(SUBSTITUTE(D413,",",""))+1))</f>
        <v/>
      </c>
      <c r="G413" s="21">
        <f>IF(B413="","",IF(COUNTIF($B$6:B413,B413)&gt;1,"중복",""))</f>
        <v/>
      </c>
      <c r="H413" s="21">
        <f>IF(AND(A413="",B413="",C413="",D413=""),"",IF(AND(E413&lt;=3,F413&lt;=3,G413=""),1,0))</f>
        <v/>
      </c>
      <c r="I413" s="22">
        <f>IF(H413=0,IF(G413="중복","제외: 같은 이메일 중복 응답","제외: 3개 넘게 선택"),"")</f>
        <v/>
      </c>
    </row>
    <row r="414">
      <c r="A414" s="15" t="n"/>
      <c r="B414" s="15" t="n"/>
      <c r="C414" s="16" t="n"/>
      <c r="D414" s="16" t="n"/>
      <c r="E414" s="21">
        <f>IF(AND(A414="",B414="",C414="",D414=""),"",IF(TRIM(C414)="",0,LEN(C414)-LEN(SUBSTITUTE(C414,",",""))+1))</f>
        <v/>
      </c>
      <c r="F414" s="21">
        <f>IF(AND(A414="",B414="",C414="",D414=""),"",IF(TRIM(D414)="",0,LEN(D414)-LEN(SUBSTITUTE(D414,",",""))+1))</f>
        <v/>
      </c>
      <c r="G414" s="21">
        <f>IF(B414="","",IF(COUNTIF($B$6:B414,B414)&gt;1,"중복",""))</f>
        <v/>
      </c>
      <c r="H414" s="21">
        <f>IF(AND(A414="",B414="",C414="",D414=""),"",IF(AND(E414&lt;=3,F414&lt;=3,G414=""),1,0))</f>
        <v/>
      </c>
      <c r="I414" s="22">
        <f>IF(H414=0,IF(G414="중복","제외: 같은 이메일 중복 응답","제외: 3개 넘게 선택"),"")</f>
        <v/>
      </c>
    </row>
    <row r="415">
      <c r="A415" s="15" t="n"/>
      <c r="B415" s="15" t="n"/>
      <c r="C415" s="16" t="n"/>
      <c r="D415" s="16" t="n"/>
      <c r="E415" s="21">
        <f>IF(AND(A415="",B415="",C415="",D415=""),"",IF(TRIM(C415)="",0,LEN(C415)-LEN(SUBSTITUTE(C415,",",""))+1))</f>
        <v/>
      </c>
      <c r="F415" s="21">
        <f>IF(AND(A415="",B415="",C415="",D415=""),"",IF(TRIM(D415)="",0,LEN(D415)-LEN(SUBSTITUTE(D415,",",""))+1))</f>
        <v/>
      </c>
      <c r="G415" s="21">
        <f>IF(B415="","",IF(COUNTIF($B$6:B415,B415)&gt;1,"중복",""))</f>
        <v/>
      </c>
      <c r="H415" s="21">
        <f>IF(AND(A415="",B415="",C415="",D415=""),"",IF(AND(E415&lt;=3,F415&lt;=3,G415=""),1,0))</f>
        <v/>
      </c>
      <c r="I415" s="22">
        <f>IF(H415=0,IF(G415="중복","제외: 같은 이메일 중복 응답","제외: 3개 넘게 선택"),"")</f>
        <v/>
      </c>
    </row>
    <row r="416">
      <c r="A416" s="15" t="n"/>
      <c r="B416" s="15" t="n"/>
      <c r="C416" s="16" t="n"/>
      <c r="D416" s="16" t="n"/>
      <c r="E416" s="21">
        <f>IF(AND(A416="",B416="",C416="",D416=""),"",IF(TRIM(C416)="",0,LEN(C416)-LEN(SUBSTITUTE(C416,",",""))+1))</f>
        <v/>
      </c>
      <c r="F416" s="21">
        <f>IF(AND(A416="",B416="",C416="",D416=""),"",IF(TRIM(D416)="",0,LEN(D416)-LEN(SUBSTITUTE(D416,",",""))+1))</f>
        <v/>
      </c>
      <c r="G416" s="21">
        <f>IF(B416="","",IF(COUNTIF($B$6:B416,B416)&gt;1,"중복",""))</f>
        <v/>
      </c>
      <c r="H416" s="21">
        <f>IF(AND(A416="",B416="",C416="",D416=""),"",IF(AND(E416&lt;=3,F416&lt;=3,G416=""),1,0))</f>
        <v/>
      </c>
      <c r="I416" s="22">
        <f>IF(H416=0,IF(G416="중복","제외: 같은 이메일 중복 응답","제외: 3개 넘게 선택"),"")</f>
        <v/>
      </c>
    </row>
    <row r="417">
      <c r="A417" s="15" t="n"/>
      <c r="B417" s="15" t="n"/>
      <c r="C417" s="16" t="n"/>
      <c r="D417" s="16" t="n"/>
      <c r="E417" s="21">
        <f>IF(AND(A417="",B417="",C417="",D417=""),"",IF(TRIM(C417)="",0,LEN(C417)-LEN(SUBSTITUTE(C417,",",""))+1))</f>
        <v/>
      </c>
      <c r="F417" s="21">
        <f>IF(AND(A417="",B417="",C417="",D417=""),"",IF(TRIM(D417)="",0,LEN(D417)-LEN(SUBSTITUTE(D417,",",""))+1))</f>
        <v/>
      </c>
      <c r="G417" s="21">
        <f>IF(B417="","",IF(COUNTIF($B$6:B417,B417)&gt;1,"중복",""))</f>
        <v/>
      </c>
      <c r="H417" s="21">
        <f>IF(AND(A417="",B417="",C417="",D417=""),"",IF(AND(E417&lt;=3,F417&lt;=3,G417=""),1,0))</f>
        <v/>
      </c>
      <c r="I417" s="22">
        <f>IF(H417=0,IF(G417="중복","제외: 같은 이메일 중복 응답","제외: 3개 넘게 선택"),"")</f>
        <v/>
      </c>
    </row>
    <row r="418">
      <c r="A418" s="15" t="n"/>
      <c r="B418" s="15" t="n"/>
      <c r="C418" s="16" t="n"/>
      <c r="D418" s="16" t="n"/>
      <c r="E418" s="21">
        <f>IF(AND(A418="",B418="",C418="",D418=""),"",IF(TRIM(C418)="",0,LEN(C418)-LEN(SUBSTITUTE(C418,",",""))+1))</f>
        <v/>
      </c>
      <c r="F418" s="21">
        <f>IF(AND(A418="",B418="",C418="",D418=""),"",IF(TRIM(D418)="",0,LEN(D418)-LEN(SUBSTITUTE(D418,",",""))+1))</f>
        <v/>
      </c>
      <c r="G418" s="21">
        <f>IF(B418="","",IF(COUNTIF($B$6:B418,B418)&gt;1,"중복",""))</f>
        <v/>
      </c>
      <c r="H418" s="21">
        <f>IF(AND(A418="",B418="",C418="",D418=""),"",IF(AND(E418&lt;=3,F418&lt;=3,G418=""),1,0))</f>
        <v/>
      </c>
      <c r="I418" s="22">
        <f>IF(H418=0,IF(G418="중복","제외: 같은 이메일 중복 응답","제외: 3개 넘게 선택"),"")</f>
        <v/>
      </c>
    </row>
    <row r="419">
      <c r="A419" s="15" t="n"/>
      <c r="B419" s="15" t="n"/>
      <c r="C419" s="16" t="n"/>
      <c r="D419" s="16" t="n"/>
      <c r="E419" s="21">
        <f>IF(AND(A419="",B419="",C419="",D419=""),"",IF(TRIM(C419)="",0,LEN(C419)-LEN(SUBSTITUTE(C419,",",""))+1))</f>
        <v/>
      </c>
      <c r="F419" s="21">
        <f>IF(AND(A419="",B419="",C419="",D419=""),"",IF(TRIM(D419)="",0,LEN(D419)-LEN(SUBSTITUTE(D419,",",""))+1))</f>
        <v/>
      </c>
      <c r="G419" s="21">
        <f>IF(B419="","",IF(COUNTIF($B$6:B419,B419)&gt;1,"중복",""))</f>
        <v/>
      </c>
      <c r="H419" s="21">
        <f>IF(AND(A419="",B419="",C419="",D419=""),"",IF(AND(E419&lt;=3,F419&lt;=3,G419=""),1,0))</f>
        <v/>
      </c>
      <c r="I419" s="22">
        <f>IF(H419=0,IF(G419="중복","제외: 같은 이메일 중복 응답","제외: 3개 넘게 선택"),"")</f>
        <v/>
      </c>
    </row>
    <row r="420">
      <c r="A420" s="15" t="n"/>
      <c r="B420" s="15" t="n"/>
      <c r="C420" s="16" t="n"/>
      <c r="D420" s="16" t="n"/>
      <c r="E420" s="21">
        <f>IF(AND(A420="",B420="",C420="",D420=""),"",IF(TRIM(C420)="",0,LEN(C420)-LEN(SUBSTITUTE(C420,",",""))+1))</f>
        <v/>
      </c>
      <c r="F420" s="21">
        <f>IF(AND(A420="",B420="",C420="",D420=""),"",IF(TRIM(D420)="",0,LEN(D420)-LEN(SUBSTITUTE(D420,",",""))+1))</f>
        <v/>
      </c>
      <c r="G420" s="21">
        <f>IF(B420="","",IF(COUNTIF($B$6:B420,B420)&gt;1,"중복",""))</f>
        <v/>
      </c>
      <c r="H420" s="21">
        <f>IF(AND(A420="",B420="",C420="",D420=""),"",IF(AND(E420&lt;=3,F420&lt;=3,G420=""),1,0))</f>
        <v/>
      </c>
      <c r="I420" s="22">
        <f>IF(H420=0,IF(G420="중복","제외: 같은 이메일 중복 응답","제외: 3개 넘게 선택"),"")</f>
        <v/>
      </c>
    </row>
    <row r="421">
      <c r="A421" s="15" t="n"/>
      <c r="B421" s="15" t="n"/>
      <c r="C421" s="16" t="n"/>
      <c r="D421" s="16" t="n"/>
      <c r="E421" s="21">
        <f>IF(AND(A421="",B421="",C421="",D421=""),"",IF(TRIM(C421)="",0,LEN(C421)-LEN(SUBSTITUTE(C421,",",""))+1))</f>
        <v/>
      </c>
      <c r="F421" s="21">
        <f>IF(AND(A421="",B421="",C421="",D421=""),"",IF(TRIM(D421)="",0,LEN(D421)-LEN(SUBSTITUTE(D421,",",""))+1))</f>
        <v/>
      </c>
      <c r="G421" s="21">
        <f>IF(B421="","",IF(COUNTIF($B$6:B421,B421)&gt;1,"중복",""))</f>
        <v/>
      </c>
      <c r="H421" s="21">
        <f>IF(AND(A421="",B421="",C421="",D421=""),"",IF(AND(E421&lt;=3,F421&lt;=3,G421=""),1,0))</f>
        <v/>
      </c>
      <c r="I421" s="22">
        <f>IF(H421=0,IF(G421="중복","제외: 같은 이메일 중복 응답","제외: 3개 넘게 선택"),"")</f>
        <v/>
      </c>
    </row>
    <row r="422">
      <c r="A422" s="15" t="n"/>
      <c r="B422" s="15" t="n"/>
      <c r="C422" s="16" t="n"/>
      <c r="D422" s="16" t="n"/>
      <c r="E422" s="21">
        <f>IF(AND(A422="",B422="",C422="",D422=""),"",IF(TRIM(C422)="",0,LEN(C422)-LEN(SUBSTITUTE(C422,",",""))+1))</f>
        <v/>
      </c>
      <c r="F422" s="21">
        <f>IF(AND(A422="",B422="",C422="",D422=""),"",IF(TRIM(D422)="",0,LEN(D422)-LEN(SUBSTITUTE(D422,",",""))+1))</f>
        <v/>
      </c>
      <c r="G422" s="21">
        <f>IF(B422="","",IF(COUNTIF($B$6:B422,B422)&gt;1,"중복",""))</f>
        <v/>
      </c>
      <c r="H422" s="21">
        <f>IF(AND(A422="",B422="",C422="",D422=""),"",IF(AND(E422&lt;=3,F422&lt;=3,G422=""),1,0))</f>
        <v/>
      </c>
      <c r="I422" s="22">
        <f>IF(H422=0,IF(G422="중복","제외: 같은 이메일 중복 응답","제외: 3개 넘게 선택"),"")</f>
        <v/>
      </c>
    </row>
    <row r="423">
      <c r="A423" s="15" t="n"/>
      <c r="B423" s="15" t="n"/>
      <c r="C423" s="16" t="n"/>
      <c r="D423" s="16" t="n"/>
      <c r="E423" s="21">
        <f>IF(AND(A423="",B423="",C423="",D423=""),"",IF(TRIM(C423)="",0,LEN(C423)-LEN(SUBSTITUTE(C423,",",""))+1))</f>
        <v/>
      </c>
      <c r="F423" s="21">
        <f>IF(AND(A423="",B423="",C423="",D423=""),"",IF(TRIM(D423)="",0,LEN(D423)-LEN(SUBSTITUTE(D423,",",""))+1))</f>
        <v/>
      </c>
      <c r="G423" s="21">
        <f>IF(B423="","",IF(COUNTIF($B$6:B423,B423)&gt;1,"중복",""))</f>
        <v/>
      </c>
      <c r="H423" s="21">
        <f>IF(AND(A423="",B423="",C423="",D423=""),"",IF(AND(E423&lt;=3,F423&lt;=3,G423=""),1,0))</f>
        <v/>
      </c>
      <c r="I423" s="22">
        <f>IF(H423=0,IF(G423="중복","제외: 같은 이메일 중복 응답","제외: 3개 넘게 선택"),"")</f>
        <v/>
      </c>
    </row>
    <row r="424">
      <c r="A424" s="15" t="n"/>
      <c r="B424" s="15" t="n"/>
      <c r="C424" s="16" t="n"/>
      <c r="D424" s="16" t="n"/>
      <c r="E424" s="21">
        <f>IF(AND(A424="",B424="",C424="",D424=""),"",IF(TRIM(C424)="",0,LEN(C424)-LEN(SUBSTITUTE(C424,",",""))+1))</f>
        <v/>
      </c>
      <c r="F424" s="21">
        <f>IF(AND(A424="",B424="",C424="",D424=""),"",IF(TRIM(D424)="",0,LEN(D424)-LEN(SUBSTITUTE(D424,",",""))+1))</f>
        <v/>
      </c>
      <c r="G424" s="21">
        <f>IF(B424="","",IF(COUNTIF($B$6:B424,B424)&gt;1,"중복",""))</f>
        <v/>
      </c>
      <c r="H424" s="21">
        <f>IF(AND(A424="",B424="",C424="",D424=""),"",IF(AND(E424&lt;=3,F424&lt;=3,G424=""),1,0))</f>
        <v/>
      </c>
      <c r="I424" s="22">
        <f>IF(H424=0,IF(G424="중복","제외: 같은 이메일 중복 응답","제외: 3개 넘게 선택"),"")</f>
        <v/>
      </c>
    </row>
    <row r="425">
      <c r="A425" s="15" t="n"/>
      <c r="B425" s="15" t="n"/>
      <c r="C425" s="16" t="n"/>
      <c r="D425" s="16" t="n"/>
      <c r="E425" s="21">
        <f>IF(AND(A425="",B425="",C425="",D425=""),"",IF(TRIM(C425)="",0,LEN(C425)-LEN(SUBSTITUTE(C425,",",""))+1))</f>
        <v/>
      </c>
      <c r="F425" s="21">
        <f>IF(AND(A425="",B425="",C425="",D425=""),"",IF(TRIM(D425)="",0,LEN(D425)-LEN(SUBSTITUTE(D425,",",""))+1))</f>
        <v/>
      </c>
      <c r="G425" s="21">
        <f>IF(B425="","",IF(COUNTIF($B$6:B425,B425)&gt;1,"중복",""))</f>
        <v/>
      </c>
      <c r="H425" s="21">
        <f>IF(AND(A425="",B425="",C425="",D425=""),"",IF(AND(E425&lt;=3,F425&lt;=3,G425=""),1,0))</f>
        <v/>
      </c>
      <c r="I425" s="22">
        <f>IF(H425=0,IF(G425="중복","제외: 같은 이메일 중복 응답","제외: 3개 넘게 선택"),"")</f>
        <v/>
      </c>
    </row>
    <row r="426">
      <c r="A426" s="15" t="n"/>
      <c r="B426" s="15" t="n"/>
      <c r="C426" s="16" t="n"/>
      <c r="D426" s="16" t="n"/>
      <c r="E426" s="21">
        <f>IF(AND(A426="",B426="",C426="",D426=""),"",IF(TRIM(C426)="",0,LEN(C426)-LEN(SUBSTITUTE(C426,",",""))+1))</f>
        <v/>
      </c>
      <c r="F426" s="21">
        <f>IF(AND(A426="",B426="",C426="",D426=""),"",IF(TRIM(D426)="",0,LEN(D426)-LEN(SUBSTITUTE(D426,",",""))+1))</f>
        <v/>
      </c>
      <c r="G426" s="21">
        <f>IF(B426="","",IF(COUNTIF($B$6:B426,B426)&gt;1,"중복",""))</f>
        <v/>
      </c>
      <c r="H426" s="21">
        <f>IF(AND(A426="",B426="",C426="",D426=""),"",IF(AND(E426&lt;=3,F426&lt;=3,G426=""),1,0))</f>
        <v/>
      </c>
      <c r="I426" s="22">
        <f>IF(H426=0,IF(G426="중복","제외: 같은 이메일 중복 응답","제외: 3개 넘게 선택"),"")</f>
        <v/>
      </c>
    </row>
    <row r="427">
      <c r="A427" s="15" t="n"/>
      <c r="B427" s="15" t="n"/>
      <c r="C427" s="16" t="n"/>
      <c r="D427" s="16" t="n"/>
      <c r="E427" s="21">
        <f>IF(AND(A427="",B427="",C427="",D427=""),"",IF(TRIM(C427)="",0,LEN(C427)-LEN(SUBSTITUTE(C427,",",""))+1))</f>
        <v/>
      </c>
      <c r="F427" s="21">
        <f>IF(AND(A427="",B427="",C427="",D427=""),"",IF(TRIM(D427)="",0,LEN(D427)-LEN(SUBSTITUTE(D427,",",""))+1))</f>
        <v/>
      </c>
      <c r="G427" s="21">
        <f>IF(B427="","",IF(COUNTIF($B$6:B427,B427)&gt;1,"중복",""))</f>
        <v/>
      </c>
      <c r="H427" s="21">
        <f>IF(AND(A427="",B427="",C427="",D427=""),"",IF(AND(E427&lt;=3,F427&lt;=3,G427=""),1,0))</f>
        <v/>
      </c>
      <c r="I427" s="22">
        <f>IF(H427=0,IF(G427="중복","제외: 같은 이메일 중복 응답","제외: 3개 넘게 선택"),"")</f>
        <v/>
      </c>
    </row>
    <row r="428">
      <c r="A428" s="15" t="n"/>
      <c r="B428" s="15" t="n"/>
      <c r="C428" s="16" t="n"/>
      <c r="D428" s="16" t="n"/>
      <c r="E428" s="21">
        <f>IF(AND(A428="",B428="",C428="",D428=""),"",IF(TRIM(C428)="",0,LEN(C428)-LEN(SUBSTITUTE(C428,",",""))+1))</f>
        <v/>
      </c>
      <c r="F428" s="21">
        <f>IF(AND(A428="",B428="",C428="",D428=""),"",IF(TRIM(D428)="",0,LEN(D428)-LEN(SUBSTITUTE(D428,",",""))+1))</f>
        <v/>
      </c>
      <c r="G428" s="21">
        <f>IF(B428="","",IF(COUNTIF($B$6:B428,B428)&gt;1,"중복",""))</f>
        <v/>
      </c>
      <c r="H428" s="21">
        <f>IF(AND(A428="",B428="",C428="",D428=""),"",IF(AND(E428&lt;=3,F428&lt;=3,G428=""),1,0))</f>
        <v/>
      </c>
      <c r="I428" s="22">
        <f>IF(H428=0,IF(G428="중복","제외: 같은 이메일 중복 응답","제외: 3개 넘게 선택"),"")</f>
        <v/>
      </c>
    </row>
    <row r="429">
      <c r="A429" s="15" t="n"/>
      <c r="B429" s="15" t="n"/>
      <c r="C429" s="16" t="n"/>
      <c r="D429" s="16" t="n"/>
      <c r="E429" s="21">
        <f>IF(AND(A429="",B429="",C429="",D429=""),"",IF(TRIM(C429)="",0,LEN(C429)-LEN(SUBSTITUTE(C429,",",""))+1))</f>
        <v/>
      </c>
      <c r="F429" s="21">
        <f>IF(AND(A429="",B429="",C429="",D429=""),"",IF(TRIM(D429)="",0,LEN(D429)-LEN(SUBSTITUTE(D429,",",""))+1))</f>
        <v/>
      </c>
      <c r="G429" s="21">
        <f>IF(B429="","",IF(COUNTIF($B$6:B429,B429)&gt;1,"중복",""))</f>
        <v/>
      </c>
      <c r="H429" s="21">
        <f>IF(AND(A429="",B429="",C429="",D429=""),"",IF(AND(E429&lt;=3,F429&lt;=3,G429=""),1,0))</f>
        <v/>
      </c>
      <c r="I429" s="22">
        <f>IF(H429=0,IF(G429="중복","제외: 같은 이메일 중복 응답","제외: 3개 넘게 선택"),"")</f>
        <v/>
      </c>
    </row>
    <row r="430">
      <c r="A430" s="15" t="n"/>
      <c r="B430" s="15" t="n"/>
      <c r="C430" s="16" t="n"/>
      <c r="D430" s="16" t="n"/>
      <c r="E430" s="21">
        <f>IF(AND(A430="",B430="",C430="",D430=""),"",IF(TRIM(C430)="",0,LEN(C430)-LEN(SUBSTITUTE(C430,",",""))+1))</f>
        <v/>
      </c>
      <c r="F430" s="21">
        <f>IF(AND(A430="",B430="",C430="",D430=""),"",IF(TRIM(D430)="",0,LEN(D430)-LEN(SUBSTITUTE(D430,",",""))+1))</f>
        <v/>
      </c>
      <c r="G430" s="21">
        <f>IF(B430="","",IF(COUNTIF($B$6:B430,B430)&gt;1,"중복",""))</f>
        <v/>
      </c>
      <c r="H430" s="21">
        <f>IF(AND(A430="",B430="",C430="",D430=""),"",IF(AND(E430&lt;=3,F430&lt;=3,G430=""),1,0))</f>
        <v/>
      </c>
      <c r="I430" s="22">
        <f>IF(H430=0,IF(G430="중복","제외: 같은 이메일 중복 응답","제외: 3개 넘게 선택"),"")</f>
        <v/>
      </c>
    </row>
    <row r="431">
      <c r="A431" s="15" t="n"/>
      <c r="B431" s="15" t="n"/>
      <c r="C431" s="16" t="n"/>
      <c r="D431" s="16" t="n"/>
      <c r="E431" s="21">
        <f>IF(AND(A431="",B431="",C431="",D431=""),"",IF(TRIM(C431)="",0,LEN(C431)-LEN(SUBSTITUTE(C431,",",""))+1))</f>
        <v/>
      </c>
      <c r="F431" s="21">
        <f>IF(AND(A431="",B431="",C431="",D431=""),"",IF(TRIM(D431)="",0,LEN(D431)-LEN(SUBSTITUTE(D431,",",""))+1))</f>
        <v/>
      </c>
      <c r="G431" s="21">
        <f>IF(B431="","",IF(COUNTIF($B$6:B431,B431)&gt;1,"중복",""))</f>
        <v/>
      </c>
      <c r="H431" s="21">
        <f>IF(AND(A431="",B431="",C431="",D431=""),"",IF(AND(E431&lt;=3,F431&lt;=3,G431=""),1,0))</f>
        <v/>
      </c>
      <c r="I431" s="22">
        <f>IF(H431=0,IF(G431="중복","제외: 같은 이메일 중복 응답","제외: 3개 넘게 선택"),"")</f>
        <v/>
      </c>
    </row>
    <row r="432">
      <c r="A432" s="15" t="n"/>
      <c r="B432" s="15" t="n"/>
      <c r="C432" s="16" t="n"/>
      <c r="D432" s="16" t="n"/>
      <c r="E432" s="21">
        <f>IF(AND(A432="",B432="",C432="",D432=""),"",IF(TRIM(C432)="",0,LEN(C432)-LEN(SUBSTITUTE(C432,",",""))+1))</f>
        <v/>
      </c>
      <c r="F432" s="21">
        <f>IF(AND(A432="",B432="",C432="",D432=""),"",IF(TRIM(D432)="",0,LEN(D432)-LEN(SUBSTITUTE(D432,",",""))+1))</f>
        <v/>
      </c>
      <c r="G432" s="21">
        <f>IF(B432="","",IF(COUNTIF($B$6:B432,B432)&gt;1,"중복",""))</f>
        <v/>
      </c>
      <c r="H432" s="21">
        <f>IF(AND(A432="",B432="",C432="",D432=""),"",IF(AND(E432&lt;=3,F432&lt;=3,G432=""),1,0))</f>
        <v/>
      </c>
      <c r="I432" s="22">
        <f>IF(H432=0,IF(G432="중복","제외: 같은 이메일 중복 응답","제외: 3개 넘게 선택"),"")</f>
        <v/>
      </c>
    </row>
    <row r="433">
      <c r="A433" s="15" t="n"/>
      <c r="B433" s="15" t="n"/>
      <c r="C433" s="16" t="n"/>
      <c r="D433" s="16" t="n"/>
      <c r="E433" s="21">
        <f>IF(AND(A433="",B433="",C433="",D433=""),"",IF(TRIM(C433)="",0,LEN(C433)-LEN(SUBSTITUTE(C433,",",""))+1))</f>
        <v/>
      </c>
      <c r="F433" s="21">
        <f>IF(AND(A433="",B433="",C433="",D433=""),"",IF(TRIM(D433)="",0,LEN(D433)-LEN(SUBSTITUTE(D433,",",""))+1))</f>
        <v/>
      </c>
      <c r="G433" s="21">
        <f>IF(B433="","",IF(COUNTIF($B$6:B433,B433)&gt;1,"중복",""))</f>
        <v/>
      </c>
      <c r="H433" s="21">
        <f>IF(AND(A433="",B433="",C433="",D433=""),"",IF(AND(E433&lt;=3,F433&lt;=3,G433=""),1,0))</f>
        <v/>
      </c>
      <c r="I433" s="22">
        <f>IF(H433=0,IF(G433="중복","제외: 같은 이메일 중복 응답","제외: 3개 넘게 선택"),"")</f>
        <v/>
      </c>
    </row>
    <row r="434">
      <c r="A434" s="15" t="n"/>
      <c r="B434" s="15" t="n"/>
      <c r="C434" s="16" t="n"/>
      <c r="D434" s="16" t="n"/>
      <c r="E434" s="21">
        <f>IF(AND(A434="",B434="",C434="",D434=""),"",IF(TRIM(C434)="",0,LEN(C434)-LEN(SUBSTITUTE(C434,",",""))+1))</f>
        <v/>
      </c>
      <c r="F434" s="21">
        <f>IF(AND(A434="",B434="",C434="",D434=""),"",IF(TRIM(D434)="",0,LEN(D434)-LEN(SUBSTITUTE(D434,",",""))+1))</f>
        <v/>
      </c>
      <c r="G434" s="21">
        <f>IF(B434="","",IF(COUNTIF($B$6:B434,B434)&gt;1,"중복",""))</f>
        <v/>
      </c>
      <c r="H434" s="21">
        <f>IF(AND(A434="",B434="",C434="",D434=""),"",IF(AND(E434&lt;=3,F434&lt;=3,G434=""),1,0))</f>
        <v/>
      </c>
      <c r="I434" s="22">
        <f>IF(H434=0,IF(G434="중복","제외: 같은 이메일 중복 응답","제외: 3개 넘게 선택"),"")</f>
        <v/>
      </c>
    </row>
    <row r="435">
      <c r="A435" s="15" t="n"/>
      <c r="B435" s="15" t="n"/>
      <c r="C435" s="16" t="n"/>
      <c r="D435" s="16" t="n"/>
      <c r="E435" s="21">
        <f>IF(AND(A435="",B435="",C435="",D435=""),"",IF(TRIM(C435)="",0,LEN(C435)-LEN(SUBSTITUTE(C435,",",""))+1))</f>
        <v/>
      </c>
      <c r="F435" s="21">
        <f>IF(AND(A435="",B435="",C435="",D435=""),"",IF(TRIM(D435)="",0,LEN(D435)-LEN(SUBSTITUTE(D435,",",""))+1))</f>
        <v/>
      </c>
      <c r="G435" s="21">
        <f>IF(B435="","",IF(COUNTIF($B$6:B435,B435)&gt;1,"중복",""))</f>
        <v/>
      </c>
      <c r="H435" s="21">
        <f>IF(AND(A435="",B435="",C435="",D435=""),"",IF(AND(E435&lt;=3,F435&lt;=3,G435=""),1,0))</f>
        <v/>
      </c>
      <c r="I435" s="22">
        <f>IF(H435=0,IF(G435="중복","제외: 같은 이메일 중복 응답","제외: 3개 넘게 선택"),"")</f>
        <v/>
      </c>
    </row>
    <row r="436">
      <c r="A436" s="15" t="n"/>
      <c r="B436" s="15" t="n"/>
      <c r="C436" s="16" t="n"/>
      <c r="D436" s="16" t="n"/>
      <c r="E436" s="21">
        <f>IF(AND(A436="",B436="",C436="",D436=""),"",IF(TRIM(C436)="",0,LEN(C436)-LEN(SUBSTITUTE(C436,",",""))+1))</f>
        <v/>
      </c>
      <c r="F436" s="21">
        <f>IF(AND(A436="",B436="",C436="",D436=""),"",IF(TRIM(D436)="",0,LEN(D436)-LEN(SUBSTITUTE(D436,",",""))+1))</f>
        <v/>
      </c>
      <c r="G436" s="21">
        <f>IF(B436="","",IF(COUNTIF($B$6:B436,B436)&gt;1,"중복",""))</f>
        <v/>
      </c>
      <c r="H436" s="21">
        <f>IF(AND(A436="",B436="",C436="",D436=""),"",IF(AND(E436&lt;=3,F436&lt;=3,G436=""),1,0))</f>
        <v/>
      </c>
      <c r="I436" s="22">
        <f>IF(H436=0,IF(G436="중복","제외: 같은 이메일 중복 응답","제외: 3개 넘게 선택"),"")</f>
        <v/>
      </c>
    </row>
    <row r="437">
      <c r="A437" s="15" t="n"/>
      <c r="B437" s="15" t="n"/>
      <c r="C437" s="16" t="n"/>
      <c r="D437" s="16" t="n"/>
      <c r="E437" s="21">
        <f>IF(AND(A437="",B437="",C437="",D437=""),"",IF(TRIM(C437)="",0,LEN(C437)-LEN(SUBSTITUTE(C437,",",""))+1))</f>
        <v/>
      </c>
      <c r="F437" s="21">
        <f>IF(AND(A437="",B437="",C437="",D437=""),"",IF(TRIM(D437)="",0,LEN(D437)-LEN(SUBSTITUTE(D437,",",""))+1))</f>
        <v/>
      </c>
      <c r="G437" s="21">
        <f>IF(B437="","",IF(COUNTIF($B$6:B437,B437)&gt;1,"중복",""))</f>
        <v/>
      </c>
      <c r="H437" s="21">
        <f>IF(AND(A437="",B437="",C437="",D437=""),"",IF(AND(E437&lt;=3,F437&lt;=3,G437=""),1,0))</f>
        <v/>
      </c>
      <c r="I437" s="22">
        <f>IF(H437=0,IF(G437="중복","제외: 같은 이메일 중복 응답","제외: 3개 넘게 선택"),"")</f>
        <v/>
      </c>
    </row>
    <row r="438">
      <c r="A438" s="15" t="n"/>
      <c r="B438" s="15" t="n"/>
      <c r="C438" s="16" t="n"/>
      <c r="D438" s="16" t="n"/>
      <c r="E438" s="21">
        <f>IF(AND(A438="",B438="",C438="",D438=""),"",IF(TRIM(C438)="",0,LEN(C438)-LEN(SUBSTITUTE(C438,",",""))+1))</f>
        <v/>
      </c>
      <c r="F438" s="21">
        <f>IF(AND(A438="",B438="",C438="",D438=""),"",IF(TRIM(D438)="",0,LEN(D438)-LEN(SUBSTITUTE(D438,",",""))+1))</f>
        <v/>
      </c>
      <c r="G438" s="21">
        <f>IF(B438="","",IF(COUNTIF($B$6:B438,B438)&gt;1,"중복",""))</f>
        <v/>
      </c>
      <c r="H438" s="21">
        <f>IF(AND(A438="",B438="",C438="",D438=""),"",IF(AND(E438&lt;=3,F438&lt;=3,G438=""),1,0))</f>
        <v/>
      </c>
      <c r="I438" s="22">
        <f>IF(H438=0,IF(G438="중복","제외: 같은 이메일 중복 응답","제외: 3개 넘게 선택"),"")</f>
        <v/>
      </c>
    </row>
    <row r="439">
      <c r="A439" s="15" t="n"/>
      <c r="B439" s="15" t="n"/>
      <c r="C439" s="16" t="n"/>
      <c r="D439" s="16" t="n"/>
      <c r="E439" s="21">
        <f>IF(AND(A439="",B439="",C439="",D439=""),"",IF(TRIM(C439)="",0,LEN(C439)-LEN(SUBSTITUTE(C439,",",""))+1))</f>
        <v/>
      </c>
      <c r="F439" s="21">
        <f>IF(AND(A439="",B439="",C439="",D439=""),"",IF(TRIM(D439)="",0,LEN(D439)-LEN(SUBSTITUTE(D439,",",""))+1))</f>
        <v/>
      </c>
      <c r="G439" s="21">
        <f>IF(B439="","",IF(COUNTIF($B$6:B439,B439)&gt;1,"중복",""))</f>
        <v/>
      </c>
      <c r="H439" s="21">
        <f>IF(AND(A439="",B439="",C439="",D439=""),"",IF(AND(E439&lt;=3,F439&lt;=3,G439=""),1,0))</f>
        <v/>
      </c>
      <c r="I439" s="22">
        <f>IF(H439=0,IF(G439="중복","제외: 같은 이메일 중복 응답","제외: 3개 넘게 선택"),"")</f>
        <v/>
      </c>
    </row>
    <row r="440">
      <c r="A440" s="15" t="n"/>
      <c r="B440" s="15" t="n"/>
      <c r="C440" s="16" t="n"/>
      <c r="D440" s="16" t="n"/>
      <c r="E440" s="21">
        <f>IF(AND(A440="",B440="",C440="",D440=""),"",IF(TRIM(C440)="",0,LEN(C440)-LEN(SUBSTITUTE(C440,",",""))+1))</f>
        <v/>
      </c>
      <c r="F440" s="21">
        <f>IF(AND(A440="",B440="",C440="",D440=""),"",IF(TRIM(D440)="",0,LEN(D440)-LEN(SUBSTITUTE(D440,",",""))+1))</f>
        <v/>
      </c>
      <c r="G440" s="21">
        <f>IF(B440="","",IF(COUNTIF($B$6:B440,B440)&gt;1,"중복",""))</f>
        <v/>
      </c>
      <c r="H440" s="21">
        <f>IF(AND(A440="",B440="",C440="",D440=""),"",IF(AND(E440&lt;=3,F440&lt;=3,G440=""),1,0))</f>
        <v/>
      </c>
      <c r="I440" s="22">
        <f>IF(H440=0,IF(G440="중복","제외: 같은 이메일 중복 응답","제외: 3개 넘게 선택"),"")</f>
        <v/>
      </c>
    </row>
    <row r="441">
      <c r="A441" s="15" t="n"/>
      <c r="B441" s="15" t="n"/>
      <c r="C441" s="16" t="n"/>
      <c r="D441" s="16" t="n"/>
      <c r="E441" s="21">
        <f>IF(AND(A441="",B441="",C441="",D441=""),"",IF(TRIM(C441)="",0,LEN(C441)-LEN(SUBSTITUTE(C441,",",""))+1))</f>
        <v/>
      </c>
      <c r="F441" s="21">
        <f>IF(AND(A441="",B441="",C441="",D441=""),"",IF(TRIM(D441)="",0,LEN(D441)-LEN(SUBSTITUTE(D441,",",""))+1))</f>
        <v/>
      </c>
      <c r="G441" s="21">
        <f>IF(B441="","",IF(COUNTIF($B$6:B441,B441)&gt;1,"중복",""))</f>
        <v/>
      </c>
      <c r="H441" s="21">
        <f>IF(AND(A441="",B441="",C441="",D441=""),"",IF(AND(E441&lt;=3,F441&lt;=3,G441=""),1,0))</f>
        <v/>
      </c>
      <c r="I441" s="22">
        <f>IF(H441=0,IF(G441="중복","제외: 같은 이메일 중복 응답","제외: 3개 넘게 선택"),"")</f>
        <v/>
      </c>
    </row>
    <row r="442">
      <c r="A442" s="15" t="n"/>
      <c r="B442" s="15" t="n"/>
      <c r="C442" s="16" t="n"/>
      <c r="D442" s="16" t="n"/>
      <c r="E442" s="21">
        <f>IF(AND(A442="",B442="",C442="",D442=""),"",IF(TRIM(C442)="",0,LEN(C442)-LEN(SUBSTITUTE(C442,",",""))+1))</f>
        <v/>
      </c>
      <c r="F442" s="21">
        <f>IF(AND(A442="",B442="",C442="",D442=""),"",IF(TRIM(D442)="",0,LEN(D442)-LEN(SUBSTITUTE(D442,",",""))+1))</f>
        <v/>
      </c>
      <c r="G442" s="21">
        <f>IF(B442="","",IF(COUNTIF($B$6:B442,B442)&gt;1,"중복",""))</f>
        <v/>
      </c>
      <c r="H442" s="21">
        <f>IF(AND(A442="",B442="",C442="",D442=""),"",IF(AND(E442&lt;=3,F442&lt;=3,G442=""),1,0))</f>
        <v/>
      </c>
      <c r="I442" s="22">
        <f>IF(H442=0,IF(G442="중복","제외: 같은 이메일 중복 응답","제외: 3개 넘게 선택"),"")</f>
        <v/>
      </c>
    </row>
    <row r="443">
      <c r="A443" s="15" t="n"/>
      <c r="B443" s="15" t="n"/>
      <c r="C443" s="16" t="n"/>
      <c r="D443" s="16" t="n"/>
      <c r="E443" s="21">
        <f>IF(AND(A443="",B443="",C443="",D443=""),"",IF(TRIM(C443)="",0,LEN(C443)-LEN(SUBSTITUTE(C443,",",""))+1))</f>
        <v/>
      </c>
      <c r="F443" s="21">
        <f>IF(AND(A443="",B443="",C443="",D443=""),"",IF(TRIM(D443)="",0,LEN(D443)-LEN(SUBSTITUTE(D443,",",""))+1))</f>
        <v/>
      </c>
      <c r="G443" s="21">
        <f>IF(B443="","",IF(COUNTIF($B$6:B443,B443)&gt;1,"중복",""))</f>
        <v/>
      </c>
      <c r="H443" s="21">
        <f>IF(AND(A443="",B443="",C443="",D443=""),"",IF(AND(E443&lt;=3,F443&lt;=3,G443=""),1,0))</f>
        <v/>
      </c>
      <c r="I443" s="22">
        <f>IF(H443=0,IF(G443="중복","제외: 같은 이메일 중복 응답","제외: 3개 넘게 선택"),"")</f>
        <v/>
      </c>
    </row>
    <row r="444">
      <c r="A444" s="15" t="n"/>
      <c r="B444" s="15" t="n"/>
      <c r="C444" s="16" t="n"/>
      <c r="D444" s="16" t="n"/>
      <c r="E444" s="21">
        <f>IF(AND(A444="",B444="",C444="",D444=""),"",IF(TRIM(C444)="",0,LEN(C444)-LEN(SUBSTITUTE(C444,",",""))+1))</f>
        <v/>
      </c>
      <c r="F444" s="21">
        <f>IF(AND(A444="",B444="",C444="",D444=""),"",IF(TRIM(D444)="",0,LEN(D444)-LEN(SUBSTITUTE(D444,",",""))+1))</f>
        <v/>
      </c>
      <c r="G444" s="21">
        <f>IF(B444="","",IF(COUNTIF($B$6:B444,B444)&gt;1,"중복",""))</f>
        <v/>
      </c>
      <c r="H444" s="21">
        <f>IF(AND(A444="",B444="",C444="",D444=""),"",IF(AND(E444&lt;=3,F444&lt;=3,G444=""),1,0))</f>
        <v/>
      </c>
      <c r="I444" s="22">
        <f>IF(H444=0,IF(G444="중복","제외: 같은 이메일 중복 응답","제외: 3개 넘게 선택"),"")</f>
        <v/>
      </c>
    </row>
    <row r="445">
      <c r="A445" s="15" t="n"/>
      <c r="B445" s="15" t="n"/>
      <c r="C445" s="16" t="n"/>
      <c r="D445" s="16" t="n"/>
      <c r="E445" s="21">
        <f>IF(AND(A445="",B445="",C445="",D445=""),"",IF(TRIM(C445)="",0,LEN(C445)-LEN(SUBSTITUTE(C445,",",""))+1))</f>
        <v/>
      </c>
      <c r="F445" s="21">
        <f>IF(AND(A445="",B445="",C445="",D445=""),"",IF(TRIM(D445)="",0,LEN(D445)-LEN(SUBSTITUTE(D445,",",""))+1))</f>
        <v/>
      </c>
      <c r="G445" s="21">
        <f>IF(B445="","",IF(COUNTIF($B$6:B445,B445)&gt;1,"중복",""))</f>
        <v/>
      </c>
      <c r="H445" s="21">
        <f>IF(AND(A445="",B445="",C445="",D445=""),"",IF(AND(E445&lt;=3,F445&lt;=3,G445=""),1,0))</f>
        <v/>
      </c>
      <c r="I445" s="22">
        <f>IF(H445=0,IF(G445="중복","제외: 같은 이메일 중복 응답","제외: 3개 넘게 선택"),"")</f>
        <v/>
      </c>
    </row>
    <row r="446">
      <c r="A446" s="15" t="n"/>
      <c r="B446" s="15" t="n"/>
      <c r="C446" s="16" t="n"/>
      <c r="D446" s="16" t="n"/>
      <c r="E446" s="21">
        <f>IF(AND(A446="",B446="",C446="",D446=""),"",IF(TRIM(C446)="",0,LEN(C446)-LEN(SUBSTITUTE(C446,",",""))+1))</f>
        <v/>
      </c>
      <c r="F446" s="21">
        <f>IF(AND(A446="",B446="",C446="",D446=""),"",IF(TRIM(D446)="",0,LEN(D446)-LEN(SUBSTITUTE(D446,",",""))+1))</f>
        <v/>
      </c>
      <c r="G446" s="21">
        <f>IF(B446="","",IF(COUNTIF($B$6:B446,B446)&gt;1,"중복",""))</f>
        <v/>
      </c>
      <c r="H446" s="21">
        <f>IF(AND(A446="",B446="",C446="",D446=""),"",IF(AND(E446&lt;=3,F446&lt;=3,G446=""),1,0))</f>
        <v/>
      </c>
      <c r="I446" s="22">
        <f>IF(H446=0,IF(G446="중복","제외: 같은 이메일 중복 응답","제외: 3개 넘게 선택"),"")</f>
        <v/>
      </c>
    </row>
    <row r="447">
      <c r="A447" s="15" t="n"/>
      <c r="B447" s="15" t="n"/>
      <c r="C447" s="16" t="n"/>
      <c r="D447" s="16" t="n"/>
      <c r="E447" s="21">
        <f>IF(AND(A447="",B447="",C447="",D447=""),"",IF(TRIM(C447)="",0,LEN(C447)-LEN(SUBSTITUTE(C447,",",""))+1))</f>
        <v/>
      </c>
      <c r="F447" s="21">
        <f>IF(AND(A447="",B447="",C447="",D447=""),"",IF(TRIM(D447)="",0,LEN(D447)-LEN(SUBSTITUTE(D447,",",""))+1))</f>
        <v/>
      </c>
      <c r="G447" s="21">
        <f>IF(B447="","",IF(COUNTIF($B$6:B447,B447)&gt;1,"중복",""))</f>
        <v/>
      </c>
      <c r="H447" s="21">
        <f>IF(AND(A447="",B447="",C447="",D447=""),"",IF(AND(E447&lt;=3,F447&lt;=3,G447=""),1,0))</f>
        <v/>
      </c>
      <c r="I447" s="22">
        <f>IF(H447=0,IF(G447="중복","제외: 같은 이메일 중복 응답","제외: 3개 넘게 선택"),"")</f>
        <v/>
      </c>
    </row>
    <row r="448">
      <c r="A448" s="15" t="n"/>
      <c r="B448" s="15" t="n"/>
      <c r="C448" s="16" t="n"/>
      <c r="D448" s="16" t="n"/>
      <c r="E448" s="21">
        <f>IF(AND(A448="",B448="",C448="",D448=""),"",IF(TRIM(C448)="",0,LEN(C448)-LEN(SUBSTITUTE(C448,",",""))+1))</f>
        <v/>
      </c>
      <c r="F448" s="21">
        <f>IF(AND(A448="",B448="",C448="",D448=""),"",IF(TRIM(D448)="",0,LEN(D448)-LEN(SUBSTITUTE(D448,",",""))+1))</f>
        <v/>
      </c>
      <c r="G448" s="21">
        <f>IF(B448="","",IF(COUNTIF($B$6:B448,B448)&gt;1,"중복",""))</f>
        <v/>
      </c>
      <c r="H448" s="21">
        <f>IF(AND(A448="",B448="",C448="",D448=""),"",IF(AND(E448&lt;=3,F448&lt;=3,G448=""),1,0))</f>
        <v/>
      </c>
      <c r="I448" s="22">
        <f>IF(H448=0,IF(G448="중복","제외: 같은 이메일 중복 응답","제외: 3개 넘게 선택"),"")</f>
        <v/>
      </c>
    </row>
    <row r="449">
      <c r="A449" s="15" t="n"/>
      <c r="B449" s="15" t="n"/>
      <c r="C449" s="16" t="n"/>
      <c r="D449" s="16" t="n"/>
      <c r="E449" s="21">
        <f>IF(AND(A449="",B449="",C449="",D449=""),"",IF(TRIM(C449)="",0,LEN(C449)-LEN(SUBSTITUTE(C449,",",""))+1))</f>
        <v/>
      </c>
      <c r="F449" s="21">
        <f>IF(AND(A449="",B449="",C449="",D449=""),"",IF(TRIM(D449)="",0,LEN(D449)-LEN(SUBSTITUTE(D449,",",""))+1))</f>
        <v/>
      </c>
      <c r="G449" s="21">
        <f>IF(B449="","",IF(COUNTIF($B$6:B449,B449)&gt;1,"중복",""))</f>
        <v/>
      </c>
      <c r="H449" s="21">
        <f>IF(AND(A449="",B449="",C449="",D449=""),"",IF(AND(E449&lt;=3,F449&lt;=3,G449=""),1,0))</f>
        <v/>
      </c>
      <c r="I449" s="22">
        <f>IF(H449=0,IF(G449="중복","제외: 같은 이메일 중복 응답","제외: 3개 넘게 선택"),"")</f>
        <v/>
      </c>
    </row>
    <row r="450">
      <c r="A450" s="15" t="n"/>
      <c r="B450" s="15" t="n"/>
      <c r="C450" s="16" t="n"/>
      <c r="D450" s="16" t="n"/>
      <c r="E450" s="21">
        <f>IF(AND(A450="",B450="",C450="",D450=""),"",IF(TRIM(C450)="",0,LEN(C450)-LEN(SUBSTITUTE(C450,",",""))+1))</f>
        <v/>
      </c>
      <c r="F450" s="21">
        <f>IF(AND(A450="",B450="",C450="",D450=""),"",IF(TRIM(D450)="",0,LEN(D450)-LEN(SUBSTITUTE(D450,",",""))+1))</f>
        <v/>
      </c>
      <c r="G450" s="21">
        <f>IF(B450="","",IF(COUNTIF($B$6:B450,B450)&gt;1,"중복",""))</f>
        <v/>
      </c>
      <c r="H450" s="21">
        <f>IF(AND(A450="",B450="",C450="",D450=""),"",IF(AND(E450&lt;=3,F450&lt;=3,G450=""),1,0))</f>
        <v/>
      </c>
      <c r="I450" s="22">
        <f>IF(H450=0,IF(G450="중복","제외: 같은 이메일 중복 응답","제외: 3개 넘게 선택"),"")</f>
        <v/>
      </c>
    </row>
    <row r="451">
      <c r="A451" s="15" t="n"/>
      <c r="B451" s="15" t="n"/>
      <c r="C451" s="16" t="n"/>
      <c r="D451" s="16" t="n"/>
      <c r="E451" s="21">
        <f>IF(AND(A451="",B451="",C451="",D451=""),"",IF(TRIM(C451)="",0,LEN(C451)-LEN(SUBSTITUTE(C451,",",""))+1))</f>
        <v/>
      </c>
      <c r="F451" s="21">
        <f>IF(AND(A451="",B451="",C451="",D451=""),"",IF(TRIM(D451)="",0,LEN(D451)-LEN(SUBSTITUTE(D451,",",""))+1))</f>
        <v/>
      </c>
      <c r="G451" s="21">
        <f>IF(B451="","",IF(COUNTIF($B$6:B451,B451)&gt;1,"중복",""))</f>
        <v/>
      </c>
      <c r="H451" s="21">
        <f>IF(AND(A451="",B451="",C451="",D451=""),"",IF(AND(E451&lt;=3,F451&lt;=3,G451=""),1,0))</f>
        <v/>
      </c>
      <c r="I451" s="22">
        <f>IF(H451=0,IF(G451="중복","제외: 같은 이메일 중복 응답","제외: 3개 넘게 선택"),"")</f>
        <v/>
      </c>
    </row>
    <row r="452">
      <c r="A452" s="15" t="n"/>
      <c r="B452" s="15" t="n"/>
      <c r="C452" s="16" t="n"/>
      <c r="D452" s="16" t="n"/>
      <c r="E452" s="21">
        <f>IF(AND(A452="",B452="",C452="",D452=""),"",IF(TRIM(C452)="",0,LEN(C452)-LEN(SUBSTITUTE(C452,",",""))+1))</f>
        <v/>
      </c>
      <c r="F452" s="21">
        <f>IF(AND(A452="",B452="",C452="",D452=""),"",IF(TRIM(D452)="",0,LEN(D452)-LEN(SUBSTITUTE(D452,",",""))+1))</f>
        <v/>
      </c>
      <c r="G452" s="21">
        <f>IF(B452="","",IF(COUNTIF($B$6:B452,B452)&gt;1,"중복",""))</f>
        <v/>
      </c>
      <c r="H452" s="21">
        <f>IF(AND(A452="",B452="",C452="",D452=""),"",IF(AND(E452&lt;=3,F452&lt;=3,G452=""),1,0))</f>
        <v/>
      </c>
      <c r="I452" s="22">
        <f>IF(H452=0,IF(G452="중복","제외: 같은 이메일 중복 응답","제외: 3개 넘게 선택"),"")</f>
        <v/>
      </c>
    </row>
    <row r="453">
      <c r="A453" s="15" t="n"/>
      <c r="B453" s="15" t="n"/>
      <c r="C453" s="16" t="n"/>
      <c r="D453" s="16" t="n"/>
      <c r="E453" s="21">
        <f>IF(AND(A453="",B453="",C453="",D453=""),"",IF(TRIM(C453)="",0,LEN(C453)-LEN(SUBSTITUTE(C453,",",""))+1))</f>
        <v/>
      </c>
      <c r="F453" s="21">
        <f>IF(AND(A453="",B453="",C453="",D453=""),"",IF(TRIM(D453)="",0,LEN(D453)-LEN(SUBSTITUTE(D453,",",""))+1))</f>
        <v/>
      </c>
      <c r="G453" s="21">
        <f>IF(B453="","",IF(COUNTIF($B$6:B453,B453)&gt;1,"중복",""))</f>
        <v/>
      </c>
      <c r="H453" s="21">
        <f>IF(AND(A453="",B453="",C453="",D453=""),"",IF(AND(E453&lt;=3,F453&lt;=3,G453=""),1,0))</f>
        <v/>
      </c>
      <c r="I453" s="22">
        <f>IF(H453=0,IF(G453="중복","제외: 같은 이메일 중복 응답","제외: 3개 넘게 선택"),"")</f>
        <v/>
      </c>
    </row>
    <row r="454">
      <c r="A454" s="15" t="n"/>
      <c r="B454" s="15" t="n"/>
      <c r="C454" s="16" t="n"/>
      <c r="D454" s="16" t="n"/>
      <c r="E454" s="21">
        <f>IF(AND(A454="",B454="",C454="",D454=""),"",IF(TRIM(C454)="",0,LEN(C454)-LEN(SUBSTITUTE(C454,",",""))+1))</f>
        <v/>
      </c>
      <c r="F454" s="21">
        <f>IF(AND(A454="",B454="",C454="",D454=""),"",IF(TRIM(D454)="",0,LEN(D454)-LEN(SUBSTITUTE(D454,",",""))+1))</f>
        <v/>
      </c>
      <c r="G454" s="21">
        <f>IF(B454="","",IF(COUNTIF($B$6:B454,B454)&gt;1,"중복",""))</f>
        <v/>
      </c>
      <c r="H454" s="21">
        <f>IF(AND(A454="",B454="",C454="",D454=""),"",IF(AND(E454&lt;=3,F454&lt;=3,G454=""),1,0))</f>
        <v/>
      </c>
      <c r="I454" s="22">
        <f>IF(H454=0,IF(G454="중복","제외: 같은 이메일 중복 응답","제외: 3개 넘게 선택"),"")</f>
        <v/>
      </c>
    </row>
    <row r="455">
      <c r="A455" s="15" t="n"/>
      <c r="B455" s="15" t="n"/>
      <c r="C455" s="16" t="n"/>
      <c r="D455" s="16" t="n"/>
      <c r="E455" s="21">
        <f>IF(AND(A455="",B455="",C455="",D455=""),"",IF(TRIM(C455)="",0,LEN(C455)-LEN(SUBSTITUTE(C455,",",""))+1))</f>
        <v/>
      </c>
      <c r="F455" s="21">
        <f>IF(AND(A455="",B455="",C455="",D455=""),"",IF(TRIM(D455)="",0,LEN(D455)-LEN(SUBSTITUTE(D455,",",""))+1))</f>
        <v/>
      </c>
      <c r="G455" s="21">
        <f>IF(B455="","",IF(COUNTIF($B$6:B455,B455)&gt;1,"중복",""))</f>
        <v/>
      </c>
      <c r="H455" s="21">
        <f>IF(AND(A455="",B455="",C455="",D455=""),"",IF(AND(E455&lt;=3,F455&lt;=3,G455=""),1,0))</f>
        <v/>
      </c>
      <c r="I455" s="22">
        <f>IF(H455=0,IF(G455="중복","제외: 같은 이메일 중복 응답","제외: 3개 넘게 선택"),"")</f>
        <v/>
      </c>
    </row>
    <row r="456">
      <c r="A456" s="15" t="n"/>
      <c r="B456" s="15" t="n"/>
      <c r="C456" s="16" t="n"/>
      <c r="D456" s="16" t="n"/>
      <c r="E456" s="21">
        <f>IF(AND(A456="",B456="",C456="",D456=""),"",IF(TRIM(C456)="",0,LEN(C456)-LEN(SUBSTITUTE(C456,",",""))+1))</f>
        <v/>
      </c>
      <c r="F456" s="21">
        <f>IF(AND(A456="",B456="",C456="",D456=""),"",IF(TRIM(D456)="",0,LEN(D456)-LEN(SUBSTITUTE(D456,",",""))+1))</f>
        <v/>
      </c>
      <c r="G456" s="21">
        <f>IF(B456="","",IF(COUNTIF($B$6:B456,B456)&gt;1,"중복",""))</f>
        <v/>
      </c>
      <c r="H456" s="21">
        <f>IF(AND(A456="",B456="",C456="",D456=""),"",IF(AND(E456&lt;=3,F456&lt;=3,G456=""),1,0))</f>
        <v/>
      </c>
      <c r="I456" s="22">
        <f>IF(H456=0,IF(G456="중복","제외: 같은 이메일 중복 응답","제외: 3개 넘게 선택"),"")</f>
        <v/>
      </c>
    </row>
    <row r="457">
      <c r="A457" s="15" t="n"/>
      <c r="B457" s="15" t="n"/>
      <c r="C457" s="16" t="n"/>
      <c r="D457" s="16" t="n"/>
      <c r="E457" s="21">
        <f>IF(AND(A457="",B457="",C457="",D457=""),"",IF(TRIM(C457)="",0,LEN(C457)-LEN(SUBSTITUTE(C457,",",""))+1))</f>
        <v/>
      </c>
      <c r="F457" s="21">
        <f>IF(AND(A457="",B457="",C457="",D457=""),"",IF(TRIM(D457)="",0,LEN(D457)-LEN(SUBSTITUTE(D457,",",""))+1))</f>
        <v/>
      </c>
      <c r="G457" s="21">
        <f>IF(B457="","",IF(COUNTIF($B$6:B457,B457)&gt;1,"중복",""))</f>
        <v/>
      </c>
      <c r="H457" s="21">
        <f>IF(AND(A457="",B457="",C457="",D457=""),"",IF(AND(E457&lt;=3,F457&lt;=3,G457=""),1,0))</f>
        <v/>
      </c>
      <c r="I457" s="22">
        <f>IF(H457=0,IF(G457="중복","제외: 같은 이메일 중복 응답","제외: 3개 넘게 선택"),"")</f>
        <v/>
      </c>
    </row>
    <row r="458">
      <c r="A458" s="15" t="n"/>
      <c r="B458" s="15" t="n"/>
      <c r="C458" s="16" t="n"/>
      <c r="D458" s="16" t="n"/>
      <c r="E458" s="21">
        <f>IF(AND(A458="",B458="",C458="",D458=""),"",IF(TRIM(C458)="",0,LEN(C458)-LEN(SUBSTITUTE(C458,",",""))+1))</f>
        <v/>
      </c>
      <c r="F458" s="21">
        <f>IF(AND(A458="",B458="",C458="",D458=""),"",IF(TRIM(D458)="",0,LEN(D458)-LEN(SUBSTITUTE(D458,",",""))+1))</f>
        <v/>
      </c>
      <c r="G458" s="21">
        <f>IF(B458="","",IF(COUNTIF($B$6:B458,B458)&gt;1,"중복",""))</f>
        <v/>
      </c>
      <c r="H458" s="21">
        <f>IF(AND(A458="",B458="",C458="",D458=""),"",IF(AND(E458&lt;=3,F458&lt;=3,G458=""),1,0))</f>
        <v/>
      </c>
      <c r="I458" s="22">
        <f>IF(H458=0,IF(G458="중복","제외: 같은 이메일 중복 응답","제외: 3개 넘게 선택"),"")</f>
        <v/>
      </c>
    </row>
    <row r="459">
      <c r="A459" s="15" t="n"/>
      <c r="B459" s="15" t="n"/>
      <c r="C459" s="16" t="n"/>
      <c r="D459" s="16" t="n"/>
      <c r="E459" s="21">
        <f>IF(AND(A459="",B459="",C459="",D459=""),"",IF(TRIM(C459)="",0,LEN(C459)-LEN(SUBSTITUTE(C459,",",""))+1))</f>
        <v/>
      </c>
      <c r="F459" s="21">
        <f>IF(AND(A459="",B459="",C459="",D459=""),"",IF(TRIM(D459)="",0,LEN(D459)-LEN(SUBSTITUTE(D459,",",""))+1))</f>
        <v/>
      </c>
      <c r="G459" s="21">
        <f>IF(B459="","",IF(COUNTIF($B$6:B459,B459)&gt;1,"중복",""))</f>
        <v/>
      </c>
      <c r="H459" s="21">
        <f>IF(AND(A459="",B459="",C459="",D459=""),"",IF(AND(E459&lt;=3,F459&lt;=3,G459=""),1,0))</f>
        <v/>
      </c>
      <c r="I459" s="22">
        <f>IF(H459=0,IF(G459="중복","제외: 같은 이메일 중복 응답","제외: 3개 넘게 선택"),"")</f>
        <v/>
      </c>
    </row>
    <row r="460">
      <c r="A460" s="15" t="n"/>
      <c r="B460" s="15" t="n"/>
      <c r="C460" s="16" t="n"/>
      <c r="D460" s="16" t="n"/>
      <c r="E460" s="21">
        <f>IF(AND(A460="",B460="",C460="",D460=""),"",IF(TRIM(C460)="",0,LEN(C460)-LEN(SUBSTITUTE(C460,",",""))+1))</f>
        <v/>
      </c>
      <c r="F460" s="21">
        <f>IF(AND(A460="",B460="",C460="",D460=""),"",IF(TRIM(D460)="",0,LEN(D460)-LEN(SUBSTITUTE(D460,",",""))+1))</f>
        <v/>
      </c>
      <c r="G460" s="21">
        <f>IF(B460="","",IF(COUNTIF($B$6:B460,B460)&gt;1,"중복",""))</f>
        <v/>
      </c>
      <c r="H460" s="21">
        <f>IF(AND(A460="",B460="",C460="",D460=""),"",IF(AND(E460&lt;=3,F460&lt;=3,G460=""),1,0))</f>
        <v/>
      </c>
      <c r="I460" s="22">
        <f>IF(H460=0,IF(G460="중복","제외: 같은 이메일 중복 응답","제외: 3개 넘게 선택"),"")</f>
        <v/>
      </c>
    </row>
    <row r="461">
      <c r="A461" s="15" t="n"/>
      <c r="B461" s="15" t="n"/>
      <c r="C461" s="16" t="n"/>
      <c r="D461" s="16" t="n"/>
      <c r="E461" s="21">
        <f>IF(AND(A461="",B461="",C461="",D461=""),"",IF(TRIM(C461)="",0,LEN(C461)-LEN(SUBSTITUTE(C461,",",""))+1))</f>
        <v/>
      </c>
      <c r="F461" s="21">
        <f>IF(AND(A461="",B461="",C461="",D461=""),"",IF(TRIM(D461)="",0,LEN(D461)-LEN(SUBSTITUTE(D461,",",""))+1))</f>
        <v/>
      </c>
      <c r="G461" s="21">
        <f>IF(B461="","",IF(COUNTIF($B$6:B461,B461)&gt;1,"중복",""))</f>
        <v/>
      </c>
      <c r="H461" s="21">
        <f>IF(AND(A461="",B461="",C461="",D461=""),"",IF(AND(E461&lt;=3,F461&lt;=3,G461=""),1,0))</f>
        <v/>
      </c>
      <c r="I461" s="22">
        <f>IF(H461=0,IF(G461="중복","제외: 같은 이메일 중복 응답","제외: 3개 넘게 선택"),"")</f>
        <v/>
      </c>
    </row>
    <row r="462">
      <c r="A462" s="15" t="n"/>
      <c r="B462" s="15" t="n"/>
      <c r="C462" s="16" t="n"/>
      <c r="D462" s="16" t="n"/>
      <c r="E462" s="21">
        <f>IF(AND(A462="",B462="",C462="",D462=""),"",IF(TRIM(C462)="",0,LEN(C462)-LEN(SUBSTITUTE(C462,",",""))+1))</f>
        <v/>
      </c>
      <c r="F462" s="21">
        <f>IF(AND(A462="",B462="",C462="",D462=""),"",IF(TRIM(D462)="",0,LEN(D462)-LEN(SUBSTITUTE(D462,",",""))+1))</f>
        <v/>
      </c>
      <c r="G462" s="21">
        <f>IF(B462="","",IF(COUNTIF($B$6:B462,B462)&gt;1,"중복",""))</f>
        <v/>
      </c>
      <c r="H462" s="21">
        <f>IF(AND(A462="",B462="",C462="",D462=""),"",IF(AND(E462&lt;=3,F462&lt;=3,G462=""),1,0))</f>
        <v/>
      </c>
      <c r="I462" s="22">
        <f>IF(H462=0,IF(G462="중복","제외: 같은 이메일 중복 응답","제외: 3개 넘게 선택"),"")</f>
        <v/>
      </c>
    </row>
    <row r="463">
      <c r="A463" s="15" t="n"/>
      <c r="B463" s="15" t="n"/>
      <c r="C463" s="16" t="n"/>
      <c r="D463" s="16" t="n"/>
      <c r="E463" s="21">
        <f>IF(AND(A463="",B463="",C463="",D463=""),"",IF(TRIM(C463)="",0,LEN(C463)-LEN(SUBSTITUTE(C463,",",""))+1))</f>
        <v/>
      </c>
      <c r="F463" s="21">
        <f>IF(AND(A463="",B463="",C463="",D463=""),"",IF(TRIM(D463)="",0,LEN(D463)-LEN(SUBSTITUTE(D463,",",""))+1))</f>
        <v/>
      </c>
      <c r="G463" s="21">
        <f>IF(B463="","",IF(COUNTIF($B$6:B463,B463)&gt;1,"중복",""))</f>
        <v/>
      </c>
      <c r="H463" s="21">
        <f>IF(AND(A463="",B463="",C463="",D463=""),"",IF(AND(E463&lt;=3,F463&lt;=3,G463=""),1,0))</f>
        <v/>
      </c>
      <c r="I463" s="22">
        <f>IF(H463=0,IF(G463="중복","제외: 같은 이메일 중복 응답","제외: 3개 넘게 선택"),"")</f>
        <v/>
      </c>
    </row>
    <row r="464">
      <c r="A464" s="15" t="n"/>
      <c r="B464" s="15" t="n"/>
      <c r="C464" s="16" t="n"/>
      <c r="D464" s="16" t="n"/>
      <c r="E464" s="21">
        <f>IF(AND(A464="",B464="",C464="",D464=""),"",IF(TRIM(C464)="",0,LEN(C464)-LEN(SUBSTITUTE(C464,",",""))+1))</f>
        <v/>
      </c>
      <c r="F464" s="21">
        <f>IF(AND(A464="",B464="",C464="",D464=""),"",IF(TRIM(D464)="",0,LEN(D464)-LEN(SUBSTITUTE(D464,",",""))+1))</f>
        <v/>
      </c>
      <c r="G464" s="21">
        <f>IF(B464="","",IF(COUNTIF($B$6:B464,B464)&gt;1,"중복",""))</f>
        <v/>
      </c>
      <c r="H464" s="21">
        <f>IF(AND(A464="",B464="",C464="",D464=""),"",IF(AND(E464&lt;=3,F464&lt;=3,G464=""),1,0))</f>
        <v/>
      </c>
      <c r="I464" s="22">
        <f>IF(H464=0,IF(G464="중복","제외: 같은 이메일 중복 응답","제외: 3개 넘게 선택"),"")</f>
        <v/>
      </c>
    </row>
    <row r="465">
      <c r="A465" s="15" t="n"/>
      <c r="B465" s="15" t="n"/>
      <c r="C465" s="16" t="n"/>
      <c r="D465" s="16" t="n"/>
      <c r="E465" s="21">
        <f>IF(AND(A465="",B465="",C465="",D465=""),"",IF(TRIM(C465)="",0,LEN(C465)-LEN(SUBSTITUTE(C465,",",""))+1))</f>
        <v/>
      </c>
      <c r="F465" s="21">
        <f>IF(AND(A465="",B465="",C465="",D465=""),"",IF(TRIM(D465)="",0,LEN(D465)-LEN(SUBSTITUTE(D465,",",""))+1))</f>
        <v/>
      </c>
      <c r="G465" s="21">
        <f>IF(B465="","",IF(COUNTIF($B$6:B465,B465)&gt;1,"중복",""))</f>
        <v/>
      </c>
      <c r="H465" s="21">
        <f>IF(AND(A465="",B465="",C465="",D465=""),"",IF(AND(E465&lt;=3,F465&lt;=3,G465=""),1,0))</f>
        <v/>
      </c>
      <c r="I465" s="22">
        <f>IF(H465=0,IF(G465="중복","제외: 같은 이메일 중복 응답","제외: 3개 넘게 선택"),"")</f>
        <v/>
      </c>
    </row>
    <row r="466">
      <c r="A466" s="15" t="n"/>
      <c r="B466" s="15" t="n"/>
      <c r="C466" s="16" t="n"/>
      <c r="D466" s="16" t="n"/>
      <c r="E466" s="21">
        <f>IF(AND(A466="",B466="",C466="",D466=""),"",IF(TRIM(C466)="",0,LEN(C466)-LEN(SUBSTITUTE(C466,",",""))+1))</f>
        <v/>
      </c>
      <c r="F466" s="21">
        <f>IF(AND(A466="",B466="",C466="",D466=""),"",IF(TRIM(D466)="",0,LEN(D466)-LEN(SUBSTITUTE(D466,",",""))+1))</f>
        <v/>
      </c>
      <c r="G466" s="21">
        <f>IF(B466="","",IF(COUNTIF($B$6:B466,B466)&gt;1,"중복",""))</f>
        <v/>
      </c>
      <c r="H466" s="21">
        <f>IF(AND(A466="",B466="",C466="",D466=""),"",IF(AND(E466&lt;=3,F466&lt;=3,G466=""),1,0))</f>
        <v/>
      </c>
      <c r="I466" s="22">
        <f>IF(H466=0,IF(G466="중복","제외: 같은 이메일 중복 응답","제외: 3개 넘게 선택"),"")</f>
        <v/>
      </c>
    </row>
    <row r="467">
      <c r="A467" s="15" t="n"/>
      <c r="B467" s="15" t="n"/>
      <c r="C467" s="16" t="n"/>
      <c r="D467" s="16" t="n"/>
      <c r="E467" s="21">
        <f>IF(AND(A467="",B467="",C467="",D467=""),"",IF(TRIM(C467)="",0,LEN(C467)-LEN(SUBSTITUTE(C467,",",""))+1))</f>
        <v/>
      </c>
      <c r="F467" s="21">
        <f>IF(AND(A467="",B467="",C467="",D467=""),"",IF(TRIM(D467)="",0,LEN(D467)-LEN(SUBSTITUTE(D467,",",""))+1))</f>
        <v/>
      </c>
      <c r="G467" s="21">
        <f>IF(B467="","",IF(COUNTIF($B$6:B467,B467)&gt;1,"중복",""))</f>
        <v/>
      </c>
      <c r="H467" s="21">
        <f>IF(AND(A467="",B467="",C467="",D467=""),"",IF(AND(E467&lt;=3,F467&lt;=3,G467=""),1,0))</f>
        <v/>
      </c>
      <c r="I467" s="22">
        <f>IF(H467=0,IF(G467="중복","제외: 같은 이메일 중복 응답","제외: 3개 넘게 선택"),"")</f>
        <v/>
      </c>
    </row>
    <row r="468">
      <c r="A468" s="15" t="n"/>
      <c r="B468" s="15" t="n"/>
      <c r="C468" s="16" t="n"/>
      <c r="D468" s="16" t="n"/>
      <c r="E468" s="21">
        <f>IF(AND(A468="",B468="",C468="",D468=""),"",IF(TRIM(C468)="",0,LEN(C468)-LEN(SUBSTITUTE(C468,",",""))+1))</f>
        <v/>
      </c>
      <c r="F468" s="21">
        <f>IF(AND(A468="",B468="",C468="",D468=""),"",IF(TRIM(D468)="",0,LEN(D468)-LEN(SUBSTITUTE(D468,",",""))+1))</f>
        <v/>
      </c>
      <c r="G468" s="21">
        <f>IF(B468="","",IF(COUNTIF($B$6:B468,B468)&gt;1,"중복",""))</f>
        <v/>
      </c>
      <c r="H468" s="21">
        <f>IF(AND(A468="",B468="",C468="",D468=""),"",IF(AND(E468&lt;=3,F468&lt;=3,G468=""),1,0))</f>
        <v/>
      </c>
      <c r="I468" s="22">
        <f>IF(H468=0,IF(G468="중복","제외: 같은 이메일 중복 응답","제외: 3개 넘게 선택"),"")</f>
        <v/>
      </c>
    </row>
    <row r="469">
      <c r="A469" s="15" t="n"/>
      <c r="B469" s="15" t="n"/>
      <c r="C469" s="16" t="n"/>
      <c r="D469" s="16" t="n"/>
      <c r="E469" s="21">
        <f>IF(AND(A469="",B469="",C469="",D469=""),"",IF(TRIM(C469)="",0,LEN(C469)-LEN(SUBSTITUTE(C469,",",""))+1))</f>
        <v/>
      </c>
      <c r="F469" s="21">
        <f>IF(AND(A469="",B469="",C469="",D469=""),"",IF(TRIM(D469)="",0,LEN(D469)-LEN(SUBSTITUTE(D469,",",""))+1))</f>
        <v/>
      </c>
      <c r="G469" s="21">
        <f>IF(B469="","",IF(COUNTIF($B$6:B469,B469)&gt;1,"중복",""))</f>
        <v/>
      </c>
      <c r="H469" s="21">
        <f>IF(AND(A469="",B469="",C469="",D469=""),"",IF(AND(E469&lt;=3,F469&lt;=3,G469=""),1,0))</f>
        <v/>
      </c>
      <c r="I469" s="22">
        <f>IF(H469=0,IF(G469="중복","제외: 같은 이메일 중복 응답","제외: 3개 넘게 선택"),"")</f>
        <v/>
      </c>
    </row>
    <row r="470">
      <c r="A470" s="15" t="n"/>
      <c r="B470" s="15" t="n"/>
      <c r="C470" s="16" t="n"/>
      <c r="D470" s="16" t="n"/>
      <c r="E470" s="21">
        <f>IF(AND(A470="",B470="",C470="",D470=""),"",IF(TRIM(C470)="",0,LEN(C470)-LEN(SUBSTITUTE(C470,",",""))+1))</f>
        <v/>
      </c>
      <c r="F470" s="21">
        <f>IF(AND(A470="",B470="",C470="",D470=""),"",IF(TRIM(D470)="",0,LEN(D470)-LEN(SUBSTITUTE(D470,",",""))+1))</f>
        <v/>
      </c>
      <c r="G470" s="21">
        <f>IF(B470="","",IF(COUNTIF($B$6:B470,B470)&gt;1,"중복",""))</f>
        <v/>
      </c>
      <c r="H470" s="21">
        <f>IF(AND(A470="",B470="",C470="",D470=""),"",IF(AND(E470&lt;=3,F470&lt;=3,G470=""),1,0))</f>
        <v/>
      </c>
      <c r="I470" s="22">
        <f>IF(H470=0,IF(G470="중복","제외: 같은 이메일 중복 응답","제외: 3개 넘게 선택"),"")</f>
        <v/>
      </c>
    </row>
    <row r="471">
      <c r="A471" s="15" t="n"/>
      <c r="B471" s="15" t="n"/>
      <c r="C471" s="16" t="n"/>
      <c r="D471" s="16" t="n"/>
      <c r="E471" s="21">
        <f>IF(AND(A471="",B471="",C471="",D471=""),"",IF(TRIM(C471)="",0,LEN(C471)-LEN(SUBSTITUTE(C471,",",""))+1))</f>
        <v/>
      </c>
      <c r="F471" s="21">
        <f>IF(AND(A471="",B471="",C471="",D471=""),"",IF(TRIM(D471)="",0,LEN(D471)-LEN(SUBSTITUTE(D471,",",""))+1))</f>
        <v/>
      </c>
      <c r="G471" s="21">
        <f>IF(B471="","",IF(COUNTIF($B$6:B471,B471)&gt;1,"중복",""))</f>
        <v/>
      </c>
      <c r="H471" s="21">
        <f>IF(AND(A471="",B471="",C471="",D471=""),"",IF(AND(E471&lt;=3,F471&lt;=3,G471=""),1,0))</f>
        <v/>
      </c>
      <c r="I471" s="22">
        <f>IF(H471=0,IF(G471="중복","제외: 같은 이메일 중복 응답","제외: 3개 넘게 선택"),"")</f>
        <v/>
      </c>
    </row>
    <row r="472">
      <c r="A472" s="15" t="n"/>
      <c r="B472" s="15" t="n"/>
      <c r="C472" s="16" t="n"/>
      <c r="D472" s="16" t="n"/>
      <c r="E472" s="21">
        <f>IF(AND(A472="",B472="",C472="",D472=""),"",IF(TRIM(C472)="",0,LEN(C472)-LEN(SUBSTITUTE(C472,",",""))+1))</f>
        <v/>
      </c>
      <c r="F472" s="21">
        <f>IF(AND(A472="",B472="",C472="",D472=""),"",IF(TRIM(D472)="",0,LEN(D472)-LEN(SUBSTITUTE(D472,",",""))+1))</f>
        <v/>
      </c>
      <c r="G472" s="21">
        <f>IF(B472="","",IF(COUNTIF($B$6:B472,B472)&gt;1,"중복",""))</f>
        <v/>
      </c>
      <c r="H472" s="21">
        <f>IF(AND(A472="",B472="",C472="",D472=""),"",IF(AND(E472&lt;=3,F472&lt;=3,G472=""),1,0))</f>
        <v/>
      </c>
      <c r="I472" s="22">
        <f>IF(H472=0,IF(G472="중복","제외: 같은 이메일 중복 응답","제외: 3개 넘게 선택"),"")</f>
        <v/>
      </c>
    </row>
    <row r="473">
      <c r="A473" s="15" t="n"/>
      <c r="B473" s="15" t="n"/>
      <c r="C473" s="16" t="n"/>
      <c r="D473" s="16" t="n"/>
      <c r="E473" s="21">
        <f>IF(AND(A473="",B473="",C473="",D473=""),"",IF(TRIM(C473)="",0,LEN(C473)-LEN(SUBSTITUTE(C473,",",""))+1))</f>
        <v/>
      </c>
      <c r="F473" s="21">
        <f>IF(AND(A473="",B473="",C473="",D473=""),"",IF(TRIM(D473)="",0,LEN(D473)-LEN(SUBSTITUTE(D473,",",""))+1))</f>
        <v/>
      </c>
      <c r="G473" s="21">
        <f>IF(B473="","",IF(COUNTIF($B$6:B473,B473)&gt;1,"중복",""))</f>
        <v/>
      </c>
      <c r="H473" s="21">
        <f>IF(AND(A473="",B473="",C473="",D473=""),"",IF(AND(E473&lt;=3,F473&lt;=3,G473=""),1,0))</f>
        <v/>
      </c>
      <c r="I473" s="22">
        <f>IF(H473=0,IF(G473="중복","제외: 같은 이메일 중복 응답","제외: 3개 넘게 선택"),"")</f>
        <v/>
      </c>
    </row>
    <row r="474">
      <c r="A474" s="15" t="n"/>
      <c r="B474" s="15" t="n"/>
      <c r="C474" s="16" t="n"/>
      <c r="D474" s="16" t="n"/>
      <c r="E474" s="21">
        <f>IF(AND(A474="",B474="",C474="",D474=""),"",IF(TRIM(C474)="",0,LEN(C474)-LEN(SUBSTITUTE(C474,",",""))+1))</f>
        <v/>
      </c>
      <c r="F474" s="21">
        <f>IF(AND(A474="",B474="",C474="",D474=""),"",IF(TRIM(D474)="",0,LEN(D474)-LEN(SUBSTITUTE(D474,",",""))+1))</f>
        <v/>
      </c>
      <c r="G474" s="21">
        <f>IF(B474="","",IF(COUNTIF($B$6:B474,B474)&gt;1,"중복",""))</f>
        <v/>
      </c>
      <c r="H474" s="21">
        <f>IF(AND(A474="",B474="",C474="",D474=""),"",IF(AND(E474&lt;=3,F474&lt;=3,G474=""),1,0))</f>
        <v/>
      </c>
      <c r="I474" s="22">
        <f>IF(H474=0,IF(G474="중복","제외: 같은 이메일 중복 응답","제외: 3개 넘게 선택"),"")</f>
        <v/>
      </c>
    </row>
    <row r="475">
      <c r="A475" s="15" t="n"/>
      <c r="B475" s="15" t="n"/>
      <c r="C475" s="16" t="n"/>
      <c r="D475" s="16" t="n"/>
      <c r="E475" s="21">
        <f>IF(AND(A475="",B475="",C475="",D475=""),"",IF(TRIM(C475)="",0,LEN(C475)-LEN(SUBSTITUTE(C475,",",""))+1))</f>
        <v/>
      </c>
      <c r="F475" s="21">
        <f>IF(AND(A475="",B475="",C475="",D475=""),"",IF(TRIM(D475)="",0,LEN(D475)-LEN(SUBSTITUTE(D475,",",""))+1))</f>
        <v/>
      </c>
      <c r="G475" s="21">
        <f>IF(B475="","",IF(COUNTIF($B$6:B475,B475)&gt;1,"중복",""))</f>
        <v/>
      </c>
      <c r="H475" s="21">
        <f>IF(AND(A475="",B475="",C475="",D475=""),"",IF(AND(E475&lt;=3,F475&lt;=3,G475=""),1,0))</f>
        <v/>
      </c>
      <c r="I475" s="22">
        <f>IF(H475=0,IF(G475="중복","제외: 같은 이메일 중복 응답","제외: 3개 넘게 선택"),"")</f>
        <v/>
      </c>
    </row>
    <row r="476">
      <c r="A476" s="15" t="n"/>
      <c r="B476" s="15" t="n"/>
      <c r="C476" s="16" t="n"/>
      <c r="D476" s="16" t="n"/>
      <c r="E476" s="21">
        <f>IF(AND(A476="",B476="",C476="",D476=""),"",IF(TRIM(C476)="",0,LEN(C476)-LEN(SUBSTITUTE(C476,",",""))+1))</f>
        <v/>
      </c>
      <c r="F476" s="21">
        <f>IF(AND(A476="",B476="",C476="",D476=""),"",IF(TRIM(D476)="",0,LEN(D476)-LEN(SUBSTITUTE(D476,",",""))+1))</f>
        <v/>
      </c>
      <c r="G476" s="21">
        <f>IF(B476="","",IF(COUNTIF($B$6:B476,B476)&gt;1,"중복",""))</f>
        <v/>
      </c>
      <c r="H476" s="21">
        <f>IF(AND(A476="",B476="",C476="",D476=""),"",IF(AND(E476&lt;=3,F476&lt;=3,G476=""),1,0))</f>
        <v/>
      </c>
      <c r="I476" s="22">
        <f>IF(H476=0,IF(G476="중복","제외: 같은 이메일 중복 응답","제외: 3개 넘게 선택"),"")</f>
        <v/>
      </c>
    </row>
    <row r="477">
      <c r="A477" s="15" t="n"/>
      <c r="B477" s="15" t="n"/>
      <c r="C477" s="16" t="n"/>
      <c r="D477" s="16" t="n"/>
      <c r="E477" s="21">
        <f>IF(AND(A477="",B477="",C477="",D477=""),"",IF(TRIM(C477)="",0,LEN(C477)-LEN(SUBSTITUTE(C477,",",""))+1))</f>
        <v/>
      </c>
      <c r="F477" s="21">
        <f>IF(AND(A477="",B477="",C477="",D477=""),"",IF(TRIM(D477)="",0,LEN(D477)-LEN(SUBSTITUTE(D477,",",""))+1))</f>
        <v/>
      </c>
      <c r="G477" s="21">
        <f>IF(B477="","",IF(COUNTIF($B$6:B477,B477)&gt;1,"중복",""))</f>
        <v/>
      </c>
      <c r="H477" s="21">
        <f>IF(AND(A477="",B477="",C477="",D477=""),"",IF(AND(E477&lt;=3,F477&lt;=3,G477=""),1,0))</f>
        <v/>
      </c>
      <c r="I477" s="22">
        <f>IF(H477=0,IF(G477="중복","제외: 같은 이메일 중복 응답","제외: 3개 넘게 선택"),"")</f>
        <v/>
      </c>
    </row>
    <row r="478">
      <c r="A478" s="15" t="n"/>
      <c r="B478" s="15" t="n"/>
      <c r="C478" s="16" t="n"/>
      <c r="D478" s="16" t="n"/>
      <c r="E478" s="21">
        <f>IF(AND(A478="",B478="",C478="",D478=""),"",IF(TRIM(C478)="",0,LEN(C478)-LEN(SUBSTITUTE(C478,",",""))+1))</f>
        <v/>
      </c>
      <c r="F478" s="21">
        <f>IF(AND(A478="",B478="",C478="",D478=""),"",IF(TRIM(D478)="",0,LEN(D478)-LEN(SUBSTITUTE(D478,",",""))+1))</f>
        <v/>
      </c>
      <c r="G478" s="21">
        <f>IF(B478="","",IF(COUNTIF($B$6:B478,B478)&gt;1,"중복",""))</f>
        <v/>
      </c>
      <c r="H478" s="21">
        <f>IF(AND(A478="",B478="",C478="",D478=""),"",IF(AND(E478&lt;=3,F478&lt;=3,G478=""),1,0))</f>
        <v/>
      </c>
      <c r="I478" s="22">
        <f>IF(H478=0,IF(G478="중복","제외: 같은 이메일 중복 응답","제외: 3개 넘게 선택"),"")</f>
        <v/>
      </c>
    </row>
    <row r="479">
      <c r="A479" s="15" t="n"/>
      <c r="B479" s="15" t="n"/>
      <c r="C479" s="16" t="n"/>
      <c r="D479" s="16" t="n"/>
      <c r="E479" s="21">
        <f>IF(AND(A479="",B479="",C479="",D479=""),"",IF(TRIM(C479)="",0,LEN(C479)-LEN(SUBSTITUTE(C479,",",""))+1))</f>
        <v/>
      </c>
      <c r="F479" s="21">
        <f>IF(AND(A479="",B479="",C479="",D479=""),"",IF(TRIM(D479)="",0,LEN(D479)-LEN(SUBSTITUTE(D479,",",""))+1))</f>
        <v/>
      </c>
      <c r="G479" s="21">
        <f>IF(B479="","",IF(COUNTIF($B$6:B479,B479)&gt;1,"중복",""))</f>
        <v/>
      </c>
      <c r="H479" s="21">
        <f>IF(AND(A479="",B479="",C479="",D479=""),"",IF(AND(E479&lt;=3,F479&lt;=3,G479=""),1,0))</f>
        <v/>
      </c>
      <c r="I479" s="22">
        <f>IF(H479=0,IF(G479="중복","제외: 같은 이메일 중복 응답","제외: 3개 넘게 선택"),"")</f>
        <v/>
      </c>
    </row>
    <row r="480">
      <c r="A480" s="15" t="n"/>
      <c r="B480" s="15" t="n"/>
      <c r="C480" s="16" t="n"/>
      <c r="D480" s="16" t="n"/>
      <c r="E480" s="21">
        <f>IF(AND(A480="",B480="",C480="",D480=""),"",IF(TRIM(C480)="",0,LEN(C480)-LEN(SUBSTITUTE(C480,",",""))+1))</f>
        <v/>
      </c>
      <c r="F480" s="21">
        <f>IF(AND(A480="",B480="",C480="",D480=""),"",IF(TRIM(D480)="",0,LEN(D480)-LEN(SUBSTITUTE(D480,",",""))+1))</f>
        <v/>
      </c>
      <c r="G480" s="21">
        <f>IF(B480="","",IF(COUNTIF($B$6:B480,B480)&gt;1,"중복",""))</f>
        <v/>
      </c>
      <c r="H480" s="21">
        <f>IF(AND(A480="",B480="",C480="",D480=""),"",IF(AND(E480&lt;=3,F480&lt;=3,G480=""),1,0))</f>
        <v/>
      </c>
      <c r="I480" s="22">
        <f>IF(H480=0,IF(G480="중복","제외: 같은 이메일 중복 응답","제외: 3개 넘게 선택"),"")</f>
        <v/>
      </c>
    </row>
    <row r="481">
      <c r="A481" s="15" t="n"/>
      <c r="B481" s="15" t="n"/>
      <c r="C481" s="16" t="n"/>
      <c r="D481" s="16" t="n"/>
      <c r="E481" s="21">
        <f>IF(AND(A481="",B481="",C481="",D481=""),"",IF(TRIM(C481)="",0,LEN(C481)-LEN(SUBSTITUTE(C481,",",""))+1))</f>
        <v/>
      </c>
      <c r="F481" s="21">
        <f>IF(AND(A481="",B481="",C481="",D481=""),"",IF(TRIM(D481)="",0,LEN(D481)-LEN(SUBSTITUTE(D481,",",""))+1))</f>
        <v/>
      </c>
      <c r="G481" s="21">
        <f>IF(B481="","",IF(COUNTIF($B$6:B481,B481)&gt;1,"중복",""))</f>
        <v/>
      </c>
      <c r="H481" s="21">
        <f>IF(AND(A481="",B481="",C481="",D481=""),"",IF(AND(E481&lt;=3,F481&lt;=3,G481=""),1,0))</f>
        <v/>
      </c>
      <c r="I481" s="22">
        <f>IF(H481=0,IF(G481="중복","제외: 같은 이메일 중복 응답","제외: 3개 넘게 선택"),"")</f>
        <v/>
      </c>
    </row>
    <row r="482">
      <c r="A482" s="15" t="n"/>
      <c r="B482" s="15" t="n"/>
      <c r="C482" s="16" t="n"/>
      <c r="D482" s="16" t="n"/>
      <c r="E482" s="21">
        <f>IF(AND(A482="",B482="",C482="",D482=""),"",IF(TRIM(C482)="",0,LEN(C482)-LEN(SUBSTITUTE(C482,",",""))+1))</f>
        <v/>
      </c>
      <c r="F482" s="21">
        <f>IF(AND(A482="",B482="",C482="",D482=""),"",IF(TRIM(D482)="",0,LEN(D482)-LEN(SUBSTITUTE(D482,",",""))+1))</f>
        <v/>
      </c>
      <c r="G482" s="21">
        <f>IF(B482="","",IF(COUNTIF($B$6:B482,B482)&gt;1,"중복",""))</f>
        <v/>
      </c>
      <c r="H482" s="21">
        <f>IF(AND(A482="",B482="",C482="",D482=""),"",IF(AND(E482&lt;=3,F482&lt;=3,G482=""),1,0))</f>
        <v/>
      </c>
      <c r="I482" s="22">
        <f>IF(H482=0,IF(G482="중복","제외: 같은 이메일 중복 응답","제외: 3개 넘게 선택"),"")</f>
        <v/>
      </c>
    </row>
    <row r="483">
      <c r="A483" s="15" t="n"/>
      <c r="B483" s="15" t="n"/>
      <c r="C483" s="16" t="n"/>
      <c r="D483" s="16" t="n"/>
      <c r="E483" s="21">
        <f>IF(AND(A483="",B483="",C483="",D483=""),"",IF(TRIM(C483)="",0,LEN(C483)-LEN(SUBSTITUTE(C483,",",""))+1))</f>
        <v/>
      </c>
      <c r="F483" s="21">
        <f>IF(AND(A483="",B483="",C483="",D483=""),"",IF(TRIM(D483)="",0,LEN(D483)-LEN(SUBSTITUTE(D483,",",""))+1))</f>
        <v/>
      </c>
      <c r="G483" s="21">
        <f>IF(B483="","",IF(COUNTIF($B$6:B483,B483)&gt;1,"중복",""))</f>
        <v/>
      </c>
      <c r="H483" s="21">
        <f>IF(AND(A483="",B483="",C483="",D483=""),"",IF(AND(E483&lt;=3,F483&lt;=3,G483=""),1,0))</f>
        <v/>
      </c>
      <c r="I483" s="22">
        <f>IF(H483=0,IF(G483="중복","제외: 같은 이메일 중복 응답","제외: 3개 넘게 선택"),"")</f>
        <v/>
      </c>
    </row>
    <row r="484">
      <c r="A484" s="15" t="n"/>
      <c r="B484" s="15" t="n"/>
      <c r="C484" s="16" t="n"/>
      <c r="D484" s="16" t="n"/>
      <c r="E484" s="21">
        <f>IF(AND(A484="",B484="",C484="",D484=""),"",IF(TRIM(C484)="",0,LEN(C484)-LEN(SUBSTITUTE(C484,",",""))+1))</f>
        <v/>
      </c>
      <c r="F484" s="21">
        <f>IF(AND(A484="",B484="",C484="",D484=""),"",IF(TRIM(D484)="",0,LEN(D484)-LEN(SUBSTITUTE(D484,",",""))+1))</f>
        <v/>
      </c>
      <c r="G484" s="21">
        <f>IF(B484="","",IF(COUNTIF($B$6:B484,B484)&gt;1,"중복",""))</f>
        <v/>
      </c>
      <c r="H484" s="21">
        <f>IF(AND(A484="",B484="",C484="",D484=""),"",IF(AND(E484&lt;=3,F484&lt;=3,G484=""),1,0))</f>
        <v/>
      </c>
      <c r="I484" s="22">
        <f>IF(H484=0,IF(G484="중복","제외: 같은 이메일 중복 응답","제외: 3개 넘게 선택"),"")</f>
        <v/>
      </c>
    </row>
    <row r="485">
      <c r="A485" s="15" t="n"/>
      <c r="B485" s="15" t="n"/>
      <c r="C485" s="16" t="n"/>
      <c r="D485" s="16" t="n"/>
      <c r="E485" s="21">
        <f>IF(AND(A485="",B485="",C485="",D485=""),"",IF(TRIM(C485)="",0,LEN(C485)-LEN(SUBSTITUTE(C485,",",""))+1))</f>
        <v/>
      </c>
      <c r="F485" s="21">
        <f>IF(AND(A485="",B485="",C485="",D485=""),"",IF(TRIM(D485)="",0,LEN(D485)-LEN(SUBSTITUTE(D485,",",""))+1))</f>
        <v/>
      </c>
      <c r="G485" s="21">
        <f>IF(B485="","",IF(COUNTIF($B$6:B485,B485)&gt;1,"중복",""))</f>
        <v/>
      </c>
      <c r="H485" s="21">
        <f>IF(AND(A485="",B485="",C485="",D485=""),"",IF(AND(E485&lt;=3,F485&lt;=3,G485=""),1,0))</f>
        <v/>
      </c>
      <c r="I485" s="22">
        <f>IF(H485=0,IF(G485="중복","제외: 같은 이메일 중복 응답","제외: 3개 넘게 선택"),"")</f>
        <v/>
      </c>
    </row>
    <row r="486">
      <c r="A486" s="15" t="n"/>
      <c r="B486" s="15" t="n"/>
      <c r="C486" s="16" t="n"/>
      <c r="D486" s="16" t="n"/>
      <c r="E486" s="21">
        <f>IF(AND(A486="",B486="",C486="",D486=""),"",IF(TRIM(C486)="",0,LEN(C486)-LEN(SUBSTITUTE(C486,",",""))+1))</f>
        <v/>
      </c>
      <c r="F486" s="21">
        <f>IF(AND(A486="",B486="",C486="",D486=""),"",IF(TRIM(D486)="",0,LEN(D486)-LEN(SUBSTITUTE(D486,",",""))+1))</f>
        <v/>
      </c>
      <c r="G486" s="21">
        <f>IF(B486="","",IF(COUNTIF($B$6:B486,B486)&gt;1,"중복",""))</f>
        <v/>
      </c>
      <c r="H486" s="21">
        <f>IF(AND(A486="",B486="",C486="",D486=""),"",IF(AND(E486&lt;=3,F486&lt;=3,G486=""),1,0))</f>
        <v/>
      </c>
      <c r="I486" s="22">
        <f>IF(H486=0,IF(G486="중복","제외: 같은 이메일 중복 응답","제외: 3개 넘게 선택"),"")</f>
        <v/>
      </c>
    </row>
    <row r="487">
      <c r="A487" s="15" t="n"/>
      <c r="B487" s="15" t="n"/>
      <c r="C487" s="16" t="n"/>
      <c r="D487" s="16" t="n"/>
      <c r="E487" s="21">
        <f>IF(AND(A487="",B487="",C487="",D487=""),"",IF(TRIM(C487)="",0,LEN(C487)-LEN(SUBSTITUTE(C487,",",""))+1))</f>
        <v/>
      </c>
      <c r="F487" s="21">
        <f>IF(AND(A487="",B487="",C487="",D487=""),"",IF(TRIM(D487)="",0,LEN(D487)-LEN(SUBSTITUTE(D487,",",""))+1))</f>
        <v/>
      </c>
      <c r="G487" s="21">
        <f>IF(B487="","",IF(COUNTIF($B$6:B487,B487)&gt;1,"중복",""))</f>
        <v/>
      </c>
      <c r="H487" s="21">
        <f>IF(AND(A487="",B487="",C487="",D487=""),"",IF(AND(E487&lt;=3,F487&lt;=3,G487=""),1,0))</f>
        <v/>
      </c>
      <c r="I487" s="22">
        <f>IF(H487=0,IF(G487="중복","제외: 같은 이메일 중복 응답","제외: 3개 넘게 선택"),"")</f>
        <v/>
      </c>
    </row>
    <row r="488">
      <c r="A488" s="15" t="n"/>
      <c r="B488" s="15" t="n"/>
      <c r="C488" s="16" t="n"/>
      <c r="D488" s="16" t="n"/>
      <c r="E488" s="21">
        <f>IF(AND(A488="",B488="",C488="",D488=""),"",IF(TRIM(C488)="",0,LEN(C488)-LEN(SUBSTITUTE(C488,",",""))+1))</f>
        <v/>
      </c>
      <c r="F488" s="21">
        <f>IF(AND(A488="",B488="",C488="",D488=""),"",IF(TRIM(D488)="",0,LEN(D488)-LEN(SUBSTITUTE(D488,",",""))+1))</f>
        <v/>
      </c>
      <c r="G488" s="21">
        <f>IF(B488="","",IF(COUNTIF($B$6:B488,B488)&gt;1,"중복",""))</f>
        <v/>
      </c>
      <c r="H488" s="21">
        <f>IF(AND(A488="",B488="",C488="",D488=""),"",IF(AND(E488&lt;=3,F488&lt;=3,G488=""),1,0))</f>
        <v/>
      </c>
      <c r="I488" s="22">
        <f>IF(H488=0,IF(G488="중복","제외: 같은 이메일 중복 응답","제외: 3개 넘게 선택"),"")</f>
        <v/>
      </c>
    </row>
    <row r="489">
      <c r="A489" s="15" t="n"/>
      <c r="B489" s="15" t="n"/>
      <c r="C489" s="16" t="n"/>
      <c r="D489" s="16" t="n"/>
      <c r="E489" s="21">
        <f>IF(AND(A489="",B489="",C489="",D489=""),"",IF(TRIM(C489)="",0,LEN(C489)-LEN(SUBSTITUTE(C489,",",""))+1))</f>
        <v/>
      </c>
      <c r="F489" s="21">
        <f>IF(AND(A489="",B489="",C489="",D489=""),"",IF(TRIM(D489)="",0,LEN(D489)-LEN(SUBSTITUTE(D489,",",""))+1))</f>
        <v/>
      </c>
      <c r="G489" s="21">
        <f>IF(B489="","",IF(COUNTIF($B$6:B489,B489)&gt;1,"중복",""))</f>
        <v/>
      </c>
      <c r="H489" s="21">
        <f>IF(AND(A489="",B489="",C489="",D489=""),"",IF(AND(E489&lt;=3,F489&lt;=3,G489=""),1,0))</f>
        <v/>
      </c>
      <c r="I489" s="22">
        <f>IF(H489=0,IF(G489="중복","제외: 같은 이메일 중복 응답","제외: 3개 넘게 선택"),"")</f>
        <v/>
      </c>
    </row>
    <row r="490">
      <c r="A490" s="15" t="n"/>
      <c r="B490" s="15" t="n"/>
      <c r="C490" s="16" t="n"/>
      <c r="D490" s="16" t="n"/>
      <c r="E490" s="21">
        <f>IF(AND(A490="",B490="",C490="",D490=""),"",IF(TRIM(C490)="",0,LEN(C490)-LEN(SUBSTITUTE(C490,",",""))+1))</f>
        <v/>
      </c>
      <c r="F490" s="21">
        <f>IF(AND(A490="",B490="",C490="",D490=""),"",IF(TRIM(D490)="",0,LEN(D490)-LEN(SUBSTITUTE(D490,",",""))+1))</f>
        <v/>
      </c>
      <c r="G490" s="21">
        <f>IF(B490="","",IF(COUNTIF($B$6:B490,B490)&gt;1,"중복",""))</f>
        <v/>
      </c>
      <c r="H490" s="21">
        <f>IF(AND(A490="",B490="",C490="",D490=""),"",IF(AND(E490&lt;=3,F490&lt;=3,G490=""),1,0))</f>
        <v/>
      </c>
      <c r="I490" s="22">
        <f>IF(H490=0,IF(G490="중복","제외: 같은 이메일 중복 응답","제외: 3개 넘게 선택"),"")</f>
        <v/>
      </c>
    </row>
    <row r="491">
      <c r="A491" s="15" t="n"/>
      <c r="B491" s="15" t="n"/>
      <c r="C491" s="16" t="n"/>
      <c r="D491" s="16" t="n"/>
      <c r="E491" s="21">
        <f>IF(AND(A491="",B491="",C491="",D491=""),"",IF(TRIM(C491)="",0,LEN(C491)-LEN(SUBSTITUTE(C491,",",""))+1))</f>
        <v/>
      </c>
      <c r="F491" s="21">
        <f>IF(AND(A491="",B491="",C491="",D491=""),"",IF(TRIM(D491)="",0,LEN(D491)-LEN(SUBSTITUTE(D491,",",""))+1))</f>
        <v/>
      </c>
      <c r="G491" s="21">
        <f>IF(B491="","",IF(COUNTIF($B$6:B491,B491)&gt;1,"중복",""))</f>
        <v/>
      </c>
      <c r="H491" s="21">
        <f>IF(AND(A491="",B491="",C491="",D491=""),"",IF(AND(E491&lt;=3,F491&lt;=3,G491=""),1,0))</f>
        <v/>
      </c>
      <c r="I491" s="22">
        <f>IF(H491=0,IF(G491="중복","제외: 같은 이메일 중복 응답","제외: 3개 넘게 선택"),"")</f>
        <v/>
      </c>
    </row>
    <row r="492">
      <c r="A492" s="15" t="n"/>
      <c r="B492" s="15" t="n"/>
      <c r="C492" s="16" t="n"/>
      <c r="D492" s="16" t="n"/>
      <c r="E492" s="21">
        <f>IF(AND(A492="",B492="",C492="",D492=""),"",IF(TRIM(C492)="",0,LEN(C492)-LEN(SUBSTITUTE(C492,",",""))+1))</f>
        <v/>
      </c>
      <c r="F492" s="21">
        <f>IF(AND(A492="",B492="",C492="",D492=""),"",IF(TRIM(D492)="",0,LEN(D492)-LEN(SUBSTITUTE(D492,",",""))+1))</f>
        <v/>
      </c>
      <c r="G492" s="21">
        <f>IF(B492="","",IF(COUNTIF($B$6:B492,B492)&gt;1,"중복",""))</f>
        <v/>
      </c>
      <c r="H492" s="21">
        <f>IF(AND(A492="",B492="",C492="",D492=""),"",IF(AND(E492&lt;=3,F492&lt;=3,G492=""),1,0))</f>
        <v/>
      </c>
      <c r="I492" s="22">
        <f>IF(H492=0,IF(G492="중복","제외: 같은 이메일 중복 응답","제외: 3개 넘게 선택"),"")</f>
        <v/>
      </c>
    </row>
    <row r="493">
      <c r="A493" s="15" t="n"/>
      <c r="B493" s="15" t="n"/>
      <c r="C493" s="16" t="n"/>
      <c r="D493" s="16" t="n"/>
      <c r="E493" s="21">
        <f>IF(AND(A493="",B493="",C493="",D493=""),"",IF(TRIM(C493)="",0,LEN(C493)-LEN(SUBSTITUTE(C493,",",""))+1))</f>
        <v/>
      </c>
      <c r="F493" s="21">
        <f>IF(AND(A493="",B493="",C493="",D493=""),"",IF(TRIM(D493)="",0,LEN(D493)-LEN(SUBSTITUTE(D493,",",""))+1))</f>
        <v/>
      </c>
      <c r="G493" s="21">
        <f>IF(B493="","",IF(COUNTIF($B$6:B493,B493)&gt;1,"중복",""))</f>
        <v/>
      </c>
      <c r="H493" s="21">
        <f>IF(AND(A493="",B493="",C493="",D493=""),"",IF(AND(E493&lt;=3,F493&lt;=3,G493=""),1,0))</f>
        <v/>
      </c>
      <c r="I493" s="22">
        <f>IF(H493=0,IF(G493="중복","제외: 같은 이메일 중복 응답","제외: 3개 넘게 선택"),"")</f>
        <v/>
      </c>
    </row>
    <row r="494">
      <c r="A494" s="15" t="n"/>
      <c r="B494" s="15" t="n"/>
      <c r="C494" s="16" t="n"/>
      <c r="D494" s="16" t="n"/>
      <c r="E494" s="21">
        <f>IF(AND(A494="",B494="",C494="",D494=""),"",IF(TRIM(C494)="",0,LEN(C494)-LEN(SUBSTITUTE(C494,",",""))+1))</f>
        <v/>
      </c>
      <c r="F494" s="21">
        <f>IF(AND(A494="",B494="",C494="",D494=""),"",IF(TRIM(D494)="",0,LEN(D494)-LEN(SUBSTITUTE(D494,",",""))+1))</f>
        <v/>
      </c>
      <c r="G494" s="21">
        <f>IF(B494="","",IF(COUNTIF($B$6:B494,B494)&gt;1,"중복",""))</f>
        <v/>
      </c>
      <c r="H494" s="21">
        <f>IF(AND(A494="",B494="",C494="",D494=""),"",IF(AND(E494&lt;=3,F494&lt;=3,G494=""),1,0))</f>
        <v/>
      </c>
      <c r="I494" s="22">
        <f>IF(H494=0,IF(G494="중복","제외: 같은 이메일 중복 응답","제외: 3개 넘게 선택"),"")</f>
        <v/>
      </c>
    </row>
    <row r="495">
      <c r="A495" s="15" t="n"/>
      <c r="B495" s="15" t="n"/>
      <c r="C495" s="16" t="n"/>
      <c r="D495" s="16" t="n"/>
      <c r="E495" s="21">
        <f>IF(AND(A495="",B495="",C495="",D495=""),"",IF(TRIM(C495)="",0,LEN(C495)-LEN(SUBSTITUTE(C495,",",""))+1))</f>
        <v/>
      </c>
      <c r="F495" s="21">
        <f>IF(AND(A495="",B495="",C495="",D495=""),"",IF(TRIM(D495)="",0,LEN(D495)-LEN(SUBSTITUTE(D495,",",""))+1))</f>
        <v/>
      </c>
      <c r="G495" s="21">
        <f>IF(B495="","",IF(COUNTIF($B$6:B495,B495)&gt;1,"중복",""))</f>
        <v/>
      </c>
      <c r="H495" s="21">
        <f>IF(AND(A495="",B495="",C495="",D495=""),"",IF(AND(E495&lt;=3,F495&lt;=3,G495=""),1,0))</f>
        <v/>
      </c>
      <c r="I495" s="22">
        <f>IF(H495=0,IF(G495="중복","제외: 같은 이메일 중복 응답","제외: 3개 넘게 선택"),"")</f>
        <v/>
      </c>
    </row>
    <row r="496">
      <c r="A496" s="15" t="n"/>
      <c r="B496" s="15" t="n"/>
      <c r="C496" s="16" t="n"/>
      <c r="D496" s="16" t="n"/>
      <c r="E496" s="21">
        <f>IF(AND(A496="",B496="",C496="",D496=""),"",IF(TRIM(C496)="",0,LEN(C496)-LEN(SUBSTITUTE(C496,",",""))+1))</f>
        <v/>
      </c>
      <c r="F496" s="21">
        <f>IF(AND(A496="",B496="",C496="",D496=""),"",IF(TRIM(D496)="",0,LEN(D496)-LEN(SUBSTITUTE(D496,",",""))+1))</f>
        <v/>
      </c>
      <c r="G496" s="21">
        <f>IF(B496="","",IF(COUNTIF($B$6:B496,B496)&gt;1,"중복",""))</f>
        <v/>
      </c>
      <c r="H496" s="21">
        <f>IF(AND(A496="",B496="",C496="",D496=""),"",IF(AND(E496&lt;=3,F496&lt;=3,G496=""),1,0))</f>
        <v/>
      </c>
      <c r="I496" s="22">
        <f>IF(H496=0,IF(G496="중복","제외: 같은 이메일 중복 응답","제외: 3개 넘게 선택"),"")</f>
        <v/>
      </c>
    </row>
    <row r="497">
      <c r="A497" s="15" t="n"/>
      <c r="B497" s="15" t="n"/>
      <c r="C497" s="16" t="n"/>
      <c r="D497" s="16" t="n"/>
      <c r="E497" s="21">
        <f>IF(AND(A497="",B497="",C497="",D497=""),"",IF(TRIM(C497)="",0,LEN(C497)-LEN(SUBSTITUTE(C497,",",""))+1))</f>
        <v/>
      </c>
      <c r="F497" s="21">
        <f>IF(AND(A497="",B497="",C497="",D497=""),"",IF(TRIM(D497)="",0,LEN(D497)-LEN(SUBSTITUTE(D497,",",""))+1))</f>
        <v/>
      </c>
      <c r="G497" s="21">
        <f>IF(B497="","",IF(COUNTIF($B$6:B497,B497)&gt;1,"중복",""))</f>
        <v/>
      </c>
      <c r="H497" s="21">
        <f>IF(AND(A497="",B497="",C497="",D497=""),"",IF(AND(E497&lt;=3,F497&lt;=3,G497=""),1,0))</f>
        <v/>
      </c>
      <c r="I497" s="22">
        <f>IF(H497=0,IF(G497="중복","제외: 같은 이메일 중복 응답","제외: 3개 넘게 선택"),"")</f>
        <v/>
      </c>
    </row>
    <row r="498">
      <c r="A498" s="15" t="n"/>
      <c r="B498" s="15" t="n"/>
      <c r="C498" s="16" t="n"/>
      <c r="D498" s="16" t="n"/>
      <c r="E498" s="21">
        <f>IF(AND(A498="",B498="",C498="",D498=""),"",IF(TRIM(C498)="",0,LEN(C498)-LEN(SUBSTITUTE(C498,",",""))+1))</f>
        <v/>
      </c>
      <c r="F498" s="21">
        <f>IF(AND(A498="",B498="",C498="",D498=""),"",IF(TRIM(D498)="",0,LEN(D498)-LEN(SUBSTITUTE(D498,",",""))+1))</f>
        <v/>
      </c>
      <c r="G498" s="21">
        <f>IF(B498="","",IF(COUNTIF($B$6:B498,B498)&gt;1,"중복",""))</f>
        <v/>
      </c>
      <c r="H498" s="21">
        <f>IF(AND(A498="",B498="",C498="",D498=""),"",IF(AND(E498&lt;=3,F498&lt;=3,G498=""),1,0))</f>
        <v/>
      </c>
      <c r="I498" s="22">
        <f>IF(H498=0,IF(G498="중복","제외: 같은 이메일 중복 응답","제외: 3개 넘게 선택"),"")</f>
        <v/>
      </c>
    </row>
    <row r="499">
      <c r="A499" s="15" t="n"/>
      <c r="B499" s="15" t="n"/>
      <c r="C499" s="16" t="n"/>
      <c r="D499" s="16" t="n"/>
      <c r="E499" s="21">
        <f>IF(AND(A499="",B499="",C499="",D499=""),"",IF(TRIM(C499)="",0,LEN(C499)-LEN(SUBSTITUTE(C499,",",""))+1))</f>
        <v/>
      </c>
      <c r="F499" s="21">
        <f>IF(AND(A499="",B499="",C499="",D499=""),"",IF(TRIM(D499)="",0,LEN(D499)-LEN(SUBSTITUTE(D499,",",""))+1))</f>
        <v/>
      </c>
      <c r="G499" s="21">
        <f>IF(B499="","",IF(COUNTIF($B$6:B499,B499)&gt;1,"중복",""))</f>
        <v/>
      </c>
      <c r="H499" s="21">
        <f>IF(AND(A499="",B499="",C499="",D499=""),"",IF(AND(E499&lt;=3,F499&lt;=3,G499=""),1,0))</f>
        <v/>
      </c>
      <c r="I499" s="22">
        <f>IF(H499=0,IF(G499="중복","제외: 같은 이메일 중복 응답","제외: 3개 넘게 선택"),"")</f>
        <v/>
      </c>
    </row>
    <row r="500">
      <c r="A500" s="15" t="n"/>
      <c r="B500" s="15" t="n"/>
      <c r="C500" s="16" t="n"/>
      <c r="D500" s="16" t="n"/>
      <c r="E500" s="21">
        <f>IF(AND(A500="",B500="",C500="",D500=""),"",IF(TRIM(C500)="",0,LEN(C500)-LEN(SUBSTITUTE(C500,",",""))+1))</f>
        <v/>
      </c>
      <c r="F500" s="21">
        <f>IF(AND(A500="",B500="",C500="",D500=""),"",IF(TRIM(D500)="",0,LEN(D500)-LEN(SUBSTITUTE(D500,",",""))+1))</f>
        <v/>
      </c>
      <c r="G500" s="21">
        <f>IF(B500="","",IF(COUNTIF($B$6:B500,B500)&gt;1,"중복",""))</f>
        <v/>
      </c>
      <c r="H500" s="21">
        <f>IF(AND(A500="",B500="",C500="",D500=""),"",IF(AND(E500&lt;=3,F500&lt;=3,G500=""),1,0))</f>
        <v/>
      </c>
      <c r="I500" s="22">
        <f>IF(H500=0,IF(G500="중복","제외: 같은 이메일 중복 응답","제외: 3개 넘게 선택"),"")</f>
        <v/>
      </c>
    </row>
    <row r="501">
      <c r="A501" s="15" t="n"/>
      <c r="B501" s="15" t="n"/>
      <c r="C501" s="16" t="n"/>
      <c r="D501" s="16" t="n"/>
      <c r="E501" s="21">
        <f>IF(AND(A501="",B501="",C501="",D501=""),"",IF(TRIM(C501)="",0,LEN(C501)-LEN(SUBSTITUTE(C501,",",""))+1))</f>
        <v/>
      </c>
      <c r="F501" s="21">
        <f>IF(AND(A501="",B501="",C501="",D501=""),"",IF(TRIM(D501)="",0,LEN(D501)-LEN(SUBSTITUTE(D501,",",""))+1))</f>
        <v/>
      </c>
      <c r="G501" s="21">
        <f>IF(B501="","",IF(COUNTIF($B$6:B501,B501)&gt;1,"중복",""))</f>
        <v/>
      </c>
      <c r="H501" s="21">
        <f>IF(AND(A501="",B501="",C501="",D501=""),"",IF(AND(E501&lt;=3,F501&lt;=3,G501=""),1,0))</f>
        <v/>
      </c>
      <c r="I501" s="22">
        <f>IF(H501=0,IF(G501="중복","제외: 같은 이메일 중복 응답","제외: 3개 넘게 선택"),"")</f>
        <v/>
      </c>
    </row>
    <row r="502">
      <c r="A502" s="15" t="n"/>
      <c r="B502" s="15" t="n"/>
      <c r="C502" s="16" t="n"/>
      <c r="D502" s="16" t="n"/>
      <c r="E502" s="21">
        <f>IF(AND(A502="",B502="",C502="",D502=""),"",IF(TRIM(C502)="",0,LEN(C502)-LEN(SUBSTITUTE(C502,",",""))+1))</f>
        <v/>
      </c>
      <c r="F502" s="21">
        <f>IF(AND(A502="",B502="",C502="",D502=""),"",IF(TRIM(D502)="",0,LEN(D502)-LEN(SUBSTITUTE(D502,",",""))+1))</f>
        <v/>
      </c>
      <c r="G502" s="21">
        <f>IF(B502="","",IF(COUNTIF($B$6:B502,B502)&gt;1,"중복",""))</f>
        <v/>
      </c>
      <c r="H502" s="21">
        <f>IF(AND(A502="",B502="",C502="",D502=""),"",IF(AND(E502&lt;=3,F502&lt;=3,G502=""),1,0))</f>
        <v/>
      </c>
      <c r="I502" s="22">
        <f>IF(H502=0,IF(G502="중복","제외: 같은 이메일 중복 응답","제외: 3개 넘게 선택"),"")</f>
        <v/>
      </c>
    </row>
    <row r="503">
      <c r="A503" s="15" t="n"/>
      <c r="B503" s="15" t="n"/>
      <c r="C503" s="16" t="n"/>
      <c r="D503" s="16" t="n"/>
      <c r="E503" s="21">
        <f>IF(AND(A503="",B503="",C503="",D503=""),"",IF(TRIM(C503)="",0,LEN(C503)-LEN(SUBSTITUTE(C503,",",""))+1))</f>
        <v/>
      </c>
      <c r="F503" s="21">
        <f>IF(AND(A503="",B503="",C503="",D503=""),"",IF(TRIM(D503)="",0,LEN(D503)-LEN(SUBSTITUTE(D503,",",""))+1))</f>
        <v/>
      </c>
      <c r="G503" s="21">
        <f>IF(B503="","",IF(COUNTIF($B$6:B503,B503)&gt;1,"중복",""))</f>
        <v/>
      </c>
      <c r="H503" s="21">
        <f>IF(AND(A503="",B503="",C503="",D503=""),"",IF(AND(E503&lt;=3,F503&lt;=3,G503=""),1,0))</f>
        <v/>
      </c>
      <c r="I503" s="22">
        <f>IF(H503=0,IF(G503="중복","제외: 같은 이메일 중복 응답","제외: 3개 넘게 선택"),"")</f>
        <v/>
      </c>
    </row>
    <row r="504">
      <c r="A504" s="15" t="n"/>
      <c r="B504" s="15" t="n"/>
      <c r="C504" s="16" t="n"/>
      <c r="D504" s="16" t="n"/>
      <c r="E504" s="21">
        <f>IF(AND(A504="",B504="",C504="",D504=""),"",IF(TRIM(C504)="",0,LEN(C504)-LEN(SUBSTITUTE(C504,",",""))+1))</f>
        <v/>
      </c>
      <c r="F504" s="21">
        <f>IF(AND(A504="",B504="",C504="",D504=""),"",IF(TRIM(D504)="",0,LEN(D504)-LEN(SUBSTITUTE(D504,",",""))+1))</f>
        <v/>
      </c>
      <c r="G504" s="21">
        <f>IF(B504="","",IF(COUNTIF($B$6:B504,B504)&gt;1,"중복",""))</f>
        <v/>
      </c>
      <c r="H504" s="21">
        <f>IF(AND(A504="",B504="",C504="",D504=""),"",IF(AND(E504&lt;=3,F504&lt;=3,G504=""),1,0))</f>
        <v/>
      </c>
      <c r="I504" s="22">
        <f>IF(H504=0,IF(G504="중복","제외: 같은 이메일 중복 응답","제외: 3개 넘게 선택"),"")</f>
        <v/>
      </c>
    </row>
    <row r="505">
      <c r="A505" s="15" t="n"/>
      <c r="B505" s="15" t="n"/>
      <c r="C505" s="16" t="n"/>
      <c r="D505" s="16" t="n"/>
      <c r="E505" s="21">
        <f>IF(AND(A505="",B505="",C505="",D505=""),"",IF(TRIM(C505)="",0,LEN(C505)-LEN(SUBSTITUTE(C505,",",""))+1))</f>
        <v/>
      </c>
      <c r="F505" s="21">
        <f>IF(AND(A505="",B505="",C505="",D505=""),"",IF(TRIM(D505)="",0,LEN(D505)-LEN(SUBSTITUTE(D505,",",""))+1))</f>
        <v/>
      </c>
      <c r="G505" s="21">
        <f>IF(B505="","",IF(COUNTIF($B$6:B505,B505)&gt;1,"중복",""))</f>
        <v/>
      </c>
      <c r="H505" s="21">
        <f>IF(AND(A505="",B505="",C505="",D505=""),"",IF(AND(E505&lt;=3,F505&lt;=3,G505=""),1,0))</f>
        <v/>
      </c>
      <c r="I505" s="22">
        <f>IF(H505=0,IF(G505="중복","제외: 같은 이메일 중복 응답","제외: 3개 넘게 선택"),"")</f>
        <v/>
      </c>
    </row>
    <row r="506">
      <c r="A506" s="15" t="n"/>
      <c r="B506" s="15" t="n"/>
      <c r="C506" s="16" t="n"/>
      <c r="D506" s="16" t="n"/>
      <c r="E506" s="21">
        <f>IF(AND(A506="",B506="",C506="",D506=""),"",IF(TRIM(C506)="",0,LEN(C506)-LEN(SUBSTITUTE(C506,",",""))+1))</f>
        <v/>
      </c>
      <c r="F506" s="21">
        <f>IF(AND(A506="",B506="",C506="",D506=""),"",IF(TRIM(D506)="",0,LEN(D506)-LEN(SUBSTITUTE(D506,",",""))+1))</f>
        <v/>
      </c>
      <c r="G506" s="21">
        <f>IF(B506="","",IF(COUNTIF($B$6:B506,B506)&gt;1,"중복",""))</f>
        <v/>
      </c>
      <c r="H506" s="21">
        <f>IF(AND(A506="",B506="",C506="",D506=""),"",IF(AND(E506&lt;=3,F506&lt;=3,G506=""),1,0))</f>
        <v/>
      </c>
      <c r="I506" s="22">
        <f>IF(H506=0,IF(G506="중복","제외: 같은 이메일 중복 응답","제외: 3개 넘게 선택"),"")</f>
        <v/>
      </c>
    </row>
    <row r="507">
      <c r="A507" s="15" t="n"/>
      <c r="B507" s="15" t="n"/>
      <c r="C507" s="16" t="n"/>
      <c r="D507" s="16" t="n"/>
      <c r="E507" s="21">
        <f>IF(AND(A507="",B507="",C507="",D507=""),"",IF(TRIM(C507)="",0,LEN(C507)-LEN(SUBSTITUTE(C507,",",""))+1))</f>
        <v/>
      </c>
      <c r="F507" s="21">
        <f>IF(AND(A507="",B507="",C507="",D507=""),"",IF(TRIM(D507)="",0,LEN(D507)-LEN(SUBSTITUTE(D507,",",""))+1))</f>
        <v/>
      </c>
      <c r="G507" s="21">
        <f>IF(B507="","",IF(COUNTIF($B$6:B507,B507)&gt;1,"중복",""))</f>
        <v/>
      </c>
      <c r="H507" s="21">
        <f>IF(AND(A507="",B507="",C507="",D507=""),"",IF(AND(E507&lt;=3,F507&lt;=3,G507=""),1,0))</f>
        <v/>
      </c>
      <c r="I507" s="22">
        <f>IF(H507=0,IF(G507="중복","제외: 같은 이메일 중복 응답","제외: 3개 넘게 선택"),"")</f>
        <v/>
      </c>
    </row>
    <row r="508">
      <c r="A508" s="15" t="n"/>
      <c r="B508" s="15" t="n"/>
      <c r="C508" s="16" t="n"/>
      <c r="D508" s="16" t="n"/>
      <c r="E508" s="21">
        <f>IF(AND(A508="",B508="",C508="",D508=""),"",IF(TRIM(C508)="",0,LEN(C508)-LEN(SUBSTITUTE(C508,",",""))+1))</f>
        <v/>
      </c>
      <c r="F508" s="21">
        <f>IF(AND(A508="",B508="",C508="",D508=""),"",IF(TRIM(D508)="",0,LEN(D508)-LEN(SUBSTITUTE(D508,",",""))+1))</f>
        <v/>
      </c>
      <c r="G508" s="21">
        <f>IF(B508="","",IF(COUNTIF($B$6:B508,B508)&gt;1,"중복",""))</f>
        <v/>
      </c>
      <c r="H508" s="21">
        <f>IF(AND(A508="",B508="",C508="",D508=""),"",IF(AND(E508&lt;=3,F508&lt;=3,G508=""),1,0))</f>
        <v/>
      </c>
      <c r="I508" s="22">
        <f>IF(H508=0,IF(G508="중복","제외: 같은 이메일 중복 응답","제외: 3개 넘게 선택"),"")</f>
        <v/>
      </c>
    </row>
    <row r="509">
      <c r="A509" s="15" t="n"/>
      <c r="B509" s="15" t="n"/>
      <c r="C509" s="16" t="n"/>
      <c r="D509" s="16" t="n"/>
      <c r="E509" s="21">
        <f>IF(AND(A509="",B509="",C509="",D509=""),"",IF(TRIM(C509)="",0,LEN(C509)-LEN(SUBSTITUTE(C509,",",""))+1))</f>
        <v/>
      </c>
      <c r="F509" s="21">
        <f>IF(AND(A509="",B509="",C509="",D509=""),"",IF(TRIM(D509)="",0,LEN(D509)-LEN(SUBSTITUTE(D509,",",""))+1))</f>
        <v/>
      </c>
      <c r="G509" s="21">
        <f>IF(B509="","",IF(COUNTIF($B$6:B509,B509)&gt;1,"중복",""))</f>
        <v/>
      </c>
      <c r="H509" s="21">
        <f>IF(AND(A509="",B509="",C509="",D509=""),"",IF(AND(E509&lt;=3,F509&lt;=3,G509=""),1,0))</f>
        <v/>
      </c>
      <c r="I509" s="22">
        <f>IF(H509=0,IF(G509="중복","제외: 같은 이메일 중복 응답","제외: 3개 넘게 선택"),"")</f>
        <v/>
      </c>
    </row>
    <row r="510">
      <c r="A510" s="15" t="n"/>
      <c r="B510" s="15" t="n"/>
      <c r="C510" s="16" t="n"/>
      <c r="D510" s="16" t="n"/>
      <c r="E510" s="21">
        <f>IF(AND(A510="",B510="",C510="",D510=""),"",IF(TRIM(C510)="",0,LEN(C510)-LEN(SUBSTITUTE(C510,",",""))+1))</f>
        <v/>
      </c>
      <c r="F510" s="21">
        <f>IF(AND(A510="",B510="",C510="",D510=""),"",IF(TRIM(D510)="",0,LEN(D510)-LEN(SUBSTITUTE(D510,",",""))+1))</f>
        <v/>
      </c>
      <c r="G510" s="21">
        <f>IF(B510="","",IF(COUNTIF($B$6:B510,B510)&gt;1,"중복",""))</f>
        <v/>
      </c>
      <c r="H510" s="21">
        <f>IF(AND(A510="",B510="",C510="",D510=""),"",IF(AND(E510&lt;=3,F510&lt;=3,G510=""),1,0))</f>
        <v/>
      </c>
      <c r="I510" s="22">
        <f>IF(H510=0,IF(G510="중복","제외: 같은 이메일 중복 응답","제외: 3개 넘게 선택"),"")</f>
        <v/>
      </c>
    </row>
    <row r="511">
      <c r="A511" s="15" t="n"/>
      <c r="B511" s="15" t="n"/>
      <c r="C511" s="16" t="n"/>
      <c r="D511" s="16" t="n"/>
      <c r="E511" s="21">
        <f>IF(AND(A511="",B511="",C511="",D511=""),"",IF(TRIM(C511)="",0,LEN(C511)-LEN(SUBSTITUTE(C511,",",""))+1))</f>
        <v/>
      </c>
      <c r="F511" s="21">
        <f>IF(AND(A511="",B511="",C511="",D511=""),"",IF(TRIM(D511)="",0,LEN(D511)-LEN(SUBSTITUTE(D511,",",""))+1))</f>
        <v/>
      </c>
      <c r="G511" s="21">
        <f>IF(B511="","",IF(COUNTIF($B$6:B511,B511)&gt;1,"중복",""))</f>
        <v/>
      </c>
      <c r="H511" s="21">
        <f>IF(AND(A511="",B511="",C511="",D511=""),"",IF(AND(E511&lt;=3,F511&lt;=3,G511=""),1,0))</f>
        <v/>
      </c>
      <c r="I511" s="22">
        <f>IF(H511=0,IF(G511="중복","제외: 같은 이메일 중복 응답","제외: 3개 넘게 선택"),"")</f>
        <v/>
      </c>
    </row>
    <row r="512">
      <c r="A512" s="15" t="n"/>
      <c r="B512" s="15" t="n"/>
      <c r="C512" s="16" t="n"/>
      <c r="D512" s="16" t="n"/>
      <c r="E512" s="21">
        <f>IF(AND(A512="",B512="",C512="",D512=""),"",IF(TRIM(C512)="",0,LEN(C512)-LEN(SUBSTITUTE(C512,",",""))+1))</f>
        <v/>
      </c>
      <c r="F512" s="21">
        <f>IF(AND(A512="",B512="",C512="",D512=""),"",IF(TRIM(D512)="",0,LEN(D512)-LEN(SUBSTITUTE(D512,",",""))+1))</f>
        <v/>
      </c>
      <c r="G512" s="21">
        <f>IF(B512="","",IF(COUNTIF($B$6:B512,B512)&gt;1,"중복",""))</f>
        <v/>
      </c>
      <c r="H512" s="21">
        <f>IF(AND(A512="",B512="",C512="",D512=""),"",IF(AND(E512&lt;=3,F512&lt;=3,G512=""),1,0))</f>
        <v/>
      </c>
      <c r="I512" s="22">
        <f>IF(H512=0,IF(G512="중복","제외: 같은 이메일 중복 응답","제외: 3개 넘게 선택"),"")</f>
        <v/>
      </c>
    </row>
    <row r="513">
      <c r="A513" s="15" t="n"/>
      <c r="B513" s="15" t="n"/>
      <c r="C513" s="16" t="n"/>
      <c r="D513" s="16" t="n"/>
      <c r="E513" s="21">
        <f>IF(AND(A513="",B513="",C513="",D513=""),"",IF(TRIM(C513)="",0,LEN(C513)-LEN(SUBSTITUTE(C513,",",""))+1))</f>
        <v/>
      </c>
      <c r="F513" s="21">
        <f>IF(AND(A513="",B513="",C513="",D513=""),"",IF(TRIM(D513)="",0,LEN(D513)-LEN(SUBSTITUTE(D513,",",""))+1))</f>
        <v/>
      </c>
      <c r="G513" s="21">
        <f>IF(B513="","",IF(COUNTIF($B$6:B513,B513)&gt;1,"중복",""))</f>
        <v/>
      </c>
      <c r="H513" s="21">
        <f>IF(AND(A513="",B513="",C513="",D513=""),"",IF(AND(E513&lt;=3,F513&lt;=3,G513=""),1,0))</f>
        <v/>
      </c>
      <c r="I513" s="22">
        <f>IF(H513=0,IF(G513="중복","제외: 같은 이메일 중복 응답","제외: 3개 넘게 선택"),"")</f>
        <v/>
      </c>
    </row>
    <row r="514">
      <c r="A514" s="15" t="n"/>
      <c r="B514" s="15" t="n"/>
      <c r="C514" s="16" t="n"/>
      <c r="D514" s="16" t="n"/>
      <c r="E514" s="21">
        <f>IF(AND(A514="",B514="",C514="",D514=""),"",IF(TRIM(C514)="",0,LEN(C514)-LEN(SUBSTITUTE(C514,",",""))+1))</f>
        <v/>
      </c>
      <c r="F514" s="21">
        <f>IF(AND(A514="",B514="",C514="",D514=""),"",IF(TRIM(D514)="",0,LEN(D514)-LEN(SUBSTITUTE(D514,",",""))+1))</f>
        <v/>
      </c>
      <c r="G514" s="21">
        <f>IF(B514="","",IF(COUNTIF($B$6:B514,B514)&gt;1,"중복",""))</f>
        <v/>
      </c>
      <c r="H514" s="21">
        <f>IF(AND(A514="",B514="",C514="",D514=""),"",IF(AND(E514&lt;=3,F514&lt;=3,G514=""),1,0))</f>
        <v/>
      </c>
      <c r="I514" s="22">
        <f>IF(H514=0,IF(G514="중복","제외: 같은 이메일 중복 응답","제외: 3개 넘게 선택"),"")</f>
        <v/>
      </c>
    </row>
    <row r="515">
      <c r="A515" s="15" t="n"/>
      <c r="B515" s="15" t="n"/>
      <c r="C515" s="16" t="n"/>
      <c r="D515" s="16" t="n"/>
      <c r="E515" s="21">
        <f>IF(AND(A515="",B515="",C515="",D515=""),"",IF(TRIM(C515)="",0,LEN(C515)-LEN(SUBSTITUTE(C515,",",""))+1))</f>
        <v/>
      </c>
      <c r="F515" s="21">
        <f>IF(AND(A515="",B515="",C515="",D515=""),"",IF(TRIM(D515)="",0,LEN(D515)-LEN(SUBSTITUTE(D515,",",""))+1))</f>
        <v/>
      </c>
      <c r="G515" s="21">
        <f>IF(B515="","",IF(COUNTIF($B$6:B515,B515)&gt;1,"중복",""))</f>
        <v/>
      </c>
      <c r="H515" s="21">
        <f>IF(AND(A515="",B515="",C515="",D515=""),"",IF(AND(E515&lt;=3,F515&lt;=3,G515=""),1,0))</f>
        <v/>
      </c>
      <c r="I515" s="22">
        <f>IF(H515=0,IF(G515="중복","제외: 같은 이메일 중복 응답","제외: 3개 넘게 선택"),"")</f>
        <v/>
      </c>
    </row>
    <row r="516">
      <c r="A516" s="15" t="n"/>
      <c r="B516" s="15" t="n"/>
      <c r="C516" s="16" t="n"/>
      <c r="D516" s="16" t="n"/>
      <c r="E516" s="21">
        <f>IF(AND(A516="",B516="",C516="",D516=""),"",IF(TRIM(C516)="",0,LEN(C516)-LEN(SUBSTITUTE(C516,",",""))+1))</f>
        <v/>
      </c>
      <c r="F516" s="21">
        <f>IF(AND(A516="",B516="",C516="",D516=""),"",IF(TRIM(D516)="",0,LEN(D516)-LEN(SUBSTITUTE(D516,",",""))+1))</f>
        <v/>
      </c>
      <c r="G516" s="21">
        <f>IF(B516="","",IF(COUNTIF($B$6:B516,B516)&gt;1,"중복",""))</f>
        <v/>
      </c>
      <c r="H516" s="21">
        <f>IF(AND(A516="",B516="",C516="",D516=""),"",IF(AND(E516&lt;=3,F516&lt;=3,G516=""),1,0))</f>
        <v/>
      </c>
      <c r="I516" s="22">
        <f>IF(H516=0,IF(G516="중복","제외: 같은 이메일 중복 응답","제외: 3개 넘게 선택"),"")</f>
        <v/>
      </c>
    </row>
    <row r="517">
      <c r="A517" s="15" t="n"/>
      <c r="B517" s="15" t="n"/>
      <c r="C517" s="16" t="n"/>
      <c r="D517" s="16" t="n"/>
      <c r="E517" s="21">
        <f>IF(AND(A517="",B517="",C517="",D517=""),"",IF(TRIM(C517)="",0,LEN(C517)-LEN(SUBSTITUTE(C517,",",""))+1))</f>
        <v/>
      </c>
      <c r="F517" s="21">
        <f>IF(AND(A517="",B517="",C517="",D517=""),"",IF(TRIM(D517)="",0,LEN(D517)-LEN(SUBSTITUTE(D517,",",""))+1))</f>
        <v/>
      </c>
      <c r="G517" s="21">
        <f>IF(B517="","",IF(COUNTIF($B$6:B517,B517)&gt;1,"중복",""))</f>
        <v/>
      </c>
      <c r="H517" s="21">
        <f>IF(AND(A517="",B517="",C517="",D517=""),"",IF(AND(E517&lt;=3,F517&lt;=3,G517=""),1,0))</f>
        <v/>
      </c>
      <c r="I517" s="22">
        <f>IF(H517=0,IF(G517="중복","제외: 같은 이메일 중복 응답","제외: 3개 넘게 선택"),"")</f>
        <v/>
      </c>
    </row>
    <row r="518">
      <c r="A518" s="15" t="n"/>
      <c r="B518" s="15" t="n"/>
      <c r="C518" s="16" t="n"/>
      <c r="D518" s="16" t="n"/>
      <c r="E518" s="21">
        <f>IF(AND(A518="",B518="",C518="",D518=""),"",IF(TRIM(C518)="",0,LEN(C518)-LEN(SUBSTITUTE(C518,",",""))+1))</f>
        <v/>
      </c>
      <c r="F518" s="21">
        <f>IF(AND(A518="",B518="",C518="",D518=""),"",IF(TRIM(D518)="",0,LEN(D518)-LEN(SUBSTITUTE(D518,",",""))+1))</f>
        <v/>
      </c>
      <c r="G518" s="21">
        <f>IF(B518="","",IF(COUNTIF($B$6:B518,B518)&gt;1,"중복",""))</f>
        <v/>
      </c>
      <c r="H518" s="21">
        <f>IF(AND(A518="",B518="",C518="",D518=""),"",IF(AND(E518&lt;=3,F518&lt;=3,G518=""),1,0))</f>
        <v/>
      </c>
      <c r="I518" s="22">
        <f>IF(H518=0,IF(G518="중복","제외: 같은 이메일 중복 응답","제외: 3개 넘게 선택"),"")</f>
        <v/>
      </c>
    </row>
    <row r="519">
      <c r="A519" s="15" t="n"/>
      <c r="B519" s="15" t="n"/>
      <c r="C519" s="16" t="n"/>
      <c r="D519" s="16" t="n"/>
      <c r="E519" s="21">
        <f>IF(AND(A519="",B519="",C519="",D519=""),"",IF(TRIM(C519)="",0,LEN(C519)-LEN(SUBSTITUTE(C519,",",""))+1))</f>
        <v/>
      </c>
      <c r="F519" s="21">
        <f>IF(AND(A519="",B519="",C519="",D519=""),"",IF(TRIM(D519)="",0,LEN(D519)-LEN(SUBSTITUTE(D519,",",""))+1))</f>
        <v/>
      </c>
      <c r="G519" s="21">
        <f>IF(B519="","",IF(COUNTIF($B$6:B519,B519)&gt;1,"중복",""))</f>
        <v/>
      </c>
      <c r="H519" s="21">
        <f>IF(AND(A519="",B519="",C519="",D519=""),"",IF(AND(E519&lt;=3,F519&lt;=3,G519=""),1,0))</f>
        <v/>
      </c>
      <c r="I519" s="22">
        <f>IF(H519=0,IF(G519="중복","제외: 같은 이메일 중복 응답","제외: 3개 넘게 선택"),"")</f>
        <v/>
      </c>
    </row>
    <row r="520">
      <c r="A520" s="15" t="n"/>
      <c r="B520" s="15" t="n"/>
      <c r="C520" s="16" t="n"/>
      <c r="D520" s="16" t="n"/>
      <c r="E520" s="21">
        <f>IF(AND(A520="",B520="",C520="",D520=""),"",IF(TRIM(C520)="",0,LEN(C520)-LEN(SUBSTITUTE(C520,",",""))+1))</f>
        <v/>
      </c>
      <c r="F520" s="21">
        <f>IF(AND(A520="",B520="",C520="",D520=""),"",IF(TRIM(D520)="",0,LEN(D520)-LEN(SUBSTITUTE(D520,",",""))+1))</f>
        <v/>
      </c>
      <c r="G520" s="21">
        <f>IF(B520="","",IF(COUNTIF($B$6:B520,B520)&gt;1,"중복",""))</f>
        <v/>
      </c>
      <c r="H520" s="21">
        <f>IF(AND(A520="",B520="",C520="",D520=""),"",IF(AND(E520&lt;=3,F520&lt;=3,G520=""),1,0))</f>
        <v/>
      </c>
      <c r="I520" s="22">
        <f>IF(H520=0,IF(G520="중복","제외: 같은 이메일 중복 응답","제외: 3개 넘게 선택"),"")</f>
        <v/>
      </c>
    </row>
    <row r="521">
      <c r="A521" s="15" t="n"/>
      <c r="B521" s="15" t="n"/>
      <c r="C521" s="16" t="n"/>
      <c r="D521" s="16" t="n"/>
      <c r="E521" s="21">
        <f>IF(AND(A521="",B521="",C521="",D521=""),"",IF(TRIM(C521)="",0,LEN(C521)-LEN(SUBSTITUTE(C521,",",""))+1))</f>
        <v/>
      </c>
      <c r="F521" s="21">
        <f>IF(AND(A521="",B521="",C521="",D521=""),"",IF(TRIM(D521)="",0,LEN(D521)-LEN(SUBSTITUTE(D521,",",""))+1))</f>
        <v/>
      </c>
      <c r="G521" s="21">
        <f>IF(B521="","",IF(COUNTIF($B$6:B521,B521)&gt;1,"중복",""))</f>
        <v/>
      </c>
      <c r="H521" s="21">
        <f>IF(AND(A521="",B521="",C521="",D521=""),"",IF(AND(E521&lt;=3,F521&lt;=3,G521=""),1,0))</f>
        <v/>
      </c>
      <c r="I521" s="22">
        <f>IF(H521=0,IF(G521="중복","제외: 같은 이메일 중복 응답","제외: 3개 넘게 선택"),"")</f>
        <v/>
      </c>
    </row>
    <row r="522">
      <c r="A522" s="15" t="n"/>
      <c r="B522" s="15" t="n"/>
      <c r="C522" s="16" t="n"/>
      <c r="D522" s="16" t="n"/>
      <c r="E522" s="21">
        <f>IF(AND(A522="",B522="",C522="",D522=""),"",IF(TRIM(C522)="",0,LEN(C522)-LEN(SUBSTITUTE(C522,",",""))+1))</f>
        <v/>
      </c>
      <c r="F522" s="21">
        <f>IF(AND(A522="",B522="",C522="",D522=""),"",IF(TRIM(D522)="",0,LEN(D522)-LEN(SUBSTITUTE(D522,",",""))+1))</f>
        <v/>
      </c>
      <c r="G522" s="21">
        <f>IF(B522="","",IF(COUNTIF($B$6:B522,B522)&gt;1,"중복",""))</f>
        <v/>
      </c>
      <c r="H522" s="21">
        <f>IF(AND(A522="",B522="",C522="",D522=""),"",IF(AND(E522&lt;=3,F522&lt;=3,G522=""),1,0))</f>
        <v/>
      </c>
      <c r="I522" s="22">
        <f>IF(H522=0,IF(G522="중복","제외: 같은 이메일 중복 응답","제외: 3개 넘게 선택"),"")</f>
        <v/>
      </c>
    </row>
    <row r="523">
      <c r="A523" s="15" t="n"/>
      <c r="B523" s="15" t="n"/>
      <c r="C523" s="16" t="n"/>
      <c r="D523" s="16" t="n"/>
      <c r="E523" s="21">
        <f>IF(AND(A523="",B523="",C523="",D523=""),"",IF(TRIM(C523)="",0,LEN(C523)-LEN(SUBSTITUTE(C523,",",""))+1))</f>
        <v/>
      </c>
      <c r="F523" s="21">
        <f>IF(AND(A523="",B523="",C523="",D523=""),"",IF(TRIM(D523)="",0,LEN(D523)-LEN(SUBSTITUTE(D523,",",""))+1))</f>
        <v/>
      </c>
      <c r="G523" s="21">
        <f>IF(B523="","",IF(COUNTIF($B$6:B523,B523)&gt;1,"중복",""))</f>
        <v/>
      </c>
      <c r="H523" s="21">
        <f>IF(AND(A523="",B523="",C523="",D523=""),"",IF(AND(E523&lt;=3,F523&lt;=3,G523=""),1,0))</f>
        <v/>
      </c>
      <c r="I523" s="22">
        <f>IF(H523=0,IF(G523="중복","제외: 같은 이메일 중복 응답","제외: 3개 넘게 선택"),"")</f>
        <v/>
      </c>
    </row>
    <row r="524">
      <c r="A524" s="15" t="n"/>
      <c r="B524" s="15" t="n"/>
      <c r="C524" s="16" t="n"/>
      <c r="D524" s="16" t="n"/>
      <c r="E524" s="21">
        <f>IF(AND(A524="",B524="",C524="",D524=""),"",IF(TRIM(C524)="",0,LEN(C524)-LEN(SUBSTITUTE(C524,",",""))+1))</f>
        <v/>
      </c>
      <c r="F524" s="21">
        <f>IF(AND(A524="",B524="",C524="",D524=""),"",IF(TRIM(D524)="",0,LEN(D524)-LEN(SUBSTITUTE(D524,",",""))+1))</f>
        <v/>
      </c>
      <c r="G524" s="21">
        <f>IF(B524="","",IF(COUNTIF($B$6:B524,B524)&gt;1,"중복",""))</f>
        <v/>
      </c>
      <c r="H524" s="21">
        <f>IF(AND(A524="",B524="",C524="",D524=""),"",IF(AND(E524&lt;=3,F524&lt;=3,G524=""),1,0))</f>
        <v/>
      </c>
      <c r="I524" s="22">
        <f>IF(H524=0,IF(G524="중복","제외: 같은 이메일 중복 응답","제외: 3개 넘게 선택"),"")</f>
        <v/>
      </c>
    </row>
    <row r="525">
      <c r="A525" s="15" t="n"/>
      <c r="B525" s="15" t="n"/>
      <c r="C525" s="16" t="n"/>
      <c r="D525" s="16" t="n"/>
      <c r="E525" s="21">
        <f>IF(AND(A525="",B525="",C525="",D525=""),"",IF(TRIM(C525)="",0,LEN(C525)-LEN(SUBSTITUTE(C525,",",""))+1))</f>
        <v/>
      </c>
      <c r="F525" s="21">
        <f>IF(AND(A525="",B525="",C525="",D525=""),"",IF(TRIM(D525)="",0,LEN(D525)-LEN(SUBSTITUTE(D525,",",""))+1))</f>
        <v/>
      </c>
      <c r="G525" s="21">
        <f>IF(B525="","",IF(COUNTIF($B$6:B525,B525)&gt;1,"중복",""))</f>
        <v/>
      </c>
      <c r="H525" s="21">
        <f>IF(AND(A525="",B525="",C525="",D525=""),"",IF(AND(E525&lt;=3,F525&lt;=3,G525=""),1,0))</f>
        <v/>
      </c>
      <c r="I525" s="22">
        <f>IF(H525=0,IF(G525="중복","제외: 같은 이메일 중복 응답","제외: 3개 넘게 선택"),"")</f>
        <v/>
      </c>
    </row>
    <row r="526">
      <c r="A526" s="15" t="n"/>
      <c r="B526" s="15" t="n"/>
      <c r="C526" s="16" t="n"/>
      <c r="D526" s="16" t="n"/>
      <c r="E526" s="21">
        <f>IF(AND(A526="",B526="",C526="",D526=""),"",IF(TRIM(C526)="",0,LEN(C526)-LEN(SUBSTITUTE(C526,",",""))+1))</f>
        <v/>
      </c>
      <c r="F526" s="21">
        <f>IF(AND(A526="",B526="",C526="",D526=""),"",IF(TRIM(D526)="",0,LEN(D526)-LEN(SUBSTITUTE(D526,",",""))+1))</f>
        <v/>
      </c>
      <c r="G526" s="21">
        <f>IF(B526="","",IF(COUNTIF($B$6:B526,B526)&gt;1,"중복",""))</f>
        <v/>
      </c>
      <c r="H526" s="21">
        <f>IF(AND(A526="",B526="",C526="",D526=""),"",IF(AND(E526&lt;=3,F526&lt;=3,G526=""),1,0))</f>
        <v/>
      </c>
      <c r="I526" s="22">
        <f>IF(H526=0,IF(G526="중복","제외: 같은 이메일 중복 응답","제외: 3개 넘게 선택"),"")</f>
        <v/>
      </c>
    </row>
    <row r="527">
      <c r="A527" s="15" t="n"/>
      <c r="B527" s="15" t="n"/>
      <c r="C527" s="16" t="n"/>
      <c r="D527" s="16" t="n"/>
      <c r="E527" s="21">
        <f>IF(AND(A527="",B527="",C527="",D527=""),"",IF(TRIM(C527)="",0,LEN(C527)-LEN(SUBSTITUTE(C527,",",""))+1))</f>
        <v/>
      </c>
      <c r="F527" s="21">
        <f>IF(AND(A527="",B527="",C527="",D527=""),"",IF(TRIM(D527)="",0,LEN(D527)-LEN(SUBSTITUTE(D527,",",""))+1))</f>
        <v/>
      </c>
      <c r="G527" s="21">
        <f>IF(B527="","",IF(COUNTIF($B$6:B527,B527)&gt;1,"중복",""))</f>
        <v/>
      </c>
      <c r="H527" s="21">
        <f>IF(AND(A527="",B527="",C527="",D527=""),"",IF(AND(E527&lt;=3,F527&lt;=3,G527=""),1,0))</f>
        <v/>
      </c>
      <c r="I527" s="22">
        <f>IF(H527=0,IF(G527="중복","제외: 같은 이메일 중복 응답","제외: 3개 넘게 선택"),"")</f>
        <v/>
      </c>
    </row>
    <row r="528">
      <c r="A528" s="15" t="n"/>
      <c r="B528" s="15" t="n"/>
      <c r="C528" s="16" t="n"/>
      <c r="D528" s="16" t="n"/>
      <c r="E528" s="21">
        <f>IF(AND(A528="",B528="",C528="",D528=""),"",IF(TRIM(C528)="",0,LEN(C528)-LEN(SUBSTITUTE(C528,",",""))+1))</f>
        <v/>
      </c>
      <c r="F528" s="21">
        <f>IF(AND(A528="",B528="",C528="",D528=""),"",IF(TRIM(D528)="",0,LEN(D528)-LEN(SUBSTITUTE(D528,",",""))+1))</f>
        <v/>
      </c>
      <c r="G528" s="21">
        <f>IF(B528="","",IF(COUNTIF($B$6:B528,B528)&gt;1,"중복",""))</f>
        <v/>
      </c>
      <c r="H528" s="21">
        <f>IF(AND(A528="",B528="",C528="",D528=""),"",IF(AND(E528&lt;=3,F528&lt;=3,G528=""),1,0))</f>
        <v/>
      </c>
      <c r="I528" s="22">
        <f>IF(H528=0,IF(G528="중복","제외: 같은 이메일 중복 응답","제외: 3개 넘게 선택"),"")</f>
        <v/>
      </c>
    </row>
    <row r="529">
      <c r="A529" s="15" t="n"/>
      <c r="B529" s="15" t="n"/>
      <c r="C529" s="16" t="n"/>
      <c r="D529" s="16" t="n"/>
      <c r="E529" s="21">
        <f>IF(AND(A529="",B529="",C529="",D529=""),"",IF(TRIM(C529)="",0,LEN(C529)-LEN(SUBSTITUTE(C529,",",""))+1))</f>
        <v/>
      </c>
      <c r="F529" s="21">
        <f>IF(AND(A529="",B529="",C529="",D529=""),"",IF(TRIM(D529)="",0,LEN(D529)-LEN(SUBSTITUTE(D529,",",""))+1))</f>
        <v/>
      </c>
      <c r="G529" s="21">
        <f>IF(B529="","",IF(COUNTIF($B$6:B529,B529)&gt;1,"중복",""))</f>
        <v/>
      </c>
      <c r="H529" s="21">
        <f>IF(AND(A529="",B529="",C529="",D529=""),"",IF(AND(E529&lt;=3,F529&lt;=3,G529=""),1,0))</f>
        <v/>
      </c>
      <c r="I529" s="22">
        <f>IF(H529=0,IF(G529="중복","제외: 같은 이메일 중복 응답","제외: 3개 넘게 선택"),"")</f>
        <v/>
      </c>
    </row>
    <row r="530">
      <c r="A530" s="15" t="n"/>
      <c r="B530" s="15" t="n"/>
      <c r="C530" s="16" t="n"/>
      <c r="D530" s="16" t="n"/>
      <c r="E530" s="21">
        <f>IF(AND(A530="",B530="",C530="",D530=""),"",IF(TRIM(C530)="",0,LEN(C530)-LEN(SUBSTITUTE(C530,",",""))+1))</f>
        <v/>
      </c>
      <c r="F530" s="21">
        <f>IF(AND(A530="",B530="",C530="",D530=""),"",IF(TRIM(D530)="",0,LEN(D530)-LEN(SUBSTITUTE(D530,",",""))+1))</f>
        <v/>
      </c>
      <c r="G530" s="21">
        <f>IF(B530="","",IF(COUNTIF($B$6:B530,B530)&gt;1,"중복",""))</f>
        <v/>
      </c>
      <c r="H530" s="21">
        <f>IF(AND(A530="",B530="",C530="",D530=""),"",IF(AND(E530&lt;=3,F530&lt;=3,G530=""),1,0))</f>
        <v/>
      </c>
      <c r="I530" s="22">
        <f>IF(H530=0,IF(G530="중복","제외: 같은 이메일 중복 응답","제외: 3개 넘게 선택"),"")</f>
        <v/>
      </c>
    </row>
    <row r="531">
      <c r="A531" s="15" t="n"/>
      <c r="B531" s="15" t="n"/>
      <c r="C531" s="16" t="n"/>
      <c r="D531" s="16" t="n"/>
      <c r="E531" s="21">
        <f>IF(AND(A531="",B531="",C531="",D531=""),"",IF(TRIM(C531)="",0,LEN(C531)-LEN(SUBSTITUTE(C531,",",""))+1))</f>
        <v/>
      </c>
      <c r="F531" s="21">
        <f>IF(AND(A531="",B531="",C531="",D531=""),"",IF(TRIM(D531)="",0,LEN(D531)-LEN(SUBSTITUTE(D531,",",""))+1))</f>
        <v/>
      </c>
      <c r="G531" s="21">
        <f>IF(B531="","",IF(COUNTIF($B$6:B531,B531)&gt;1,"중복",""))</f>
        <v/>
      </c>
      <c r="H531" s="21">
        <f>IF(AND(A531="",B531="",C531="",D531=""),"",IF(AND(E531&lt;=3,F531&lt;=3,G531=""),1,0))</f>
        <v/>
      </c>
      <c r="I531" s="22">
        <f>IF(H531=0,IF(G531="중복","제외: 같은 이메일 중복 응답","제외: 3개 넘게 선택"),"")</f>
        <v/>
      </c>
    </row>
    <row r="532">
      <c r="A532" s="15" t="n"/>
      <c r="B532" s="15" t="n"/>
      <c r="C532" s="16" t="n"/>
      <c r="D532" s="16" t="n"/>
      <c r="E532" s="21">
        <f>IF(AND(A532="",B532="",C532="",D532=""),"",IF(TRIM(C532)="",0,LEN(C532)-LEN(SUBSTITUTE(C532,",",""))+1))</f>
        <v/>
      </c>
      <c r="F532" s="21">
        <f>IF(AND(A532="",B532="",C532="",D532=""),"",IF(TRIM(D532)="",0,LEN(D532)-LEN(SUBSTITUTE(D532,",",""))+1))</f>
        <v/>
      </c>
      <c r="G532" s="21">
        <f>IF(B532="","",IF(COUNTIF($B$6:B532,B532)&gt;1,"중복",""))</f>
        <v/>
      </c>
      <c r="H532" s="21">
        <f>IF(AND(A532="",B532="",C532="",D532=""),"",IF(AND(E532&lt;=3,F532&lt;=3,G532=""),1,0))</f>
        <v/>
      </c>
      <c r="I532" s="22">
        <f>IF(H532=0,IF(G532="중복","제외: 같은 이메일 중복 응답","제외: 3개 넘게 선택"),"")</f>
        <v/>
      </c>
    </row>
    <row r="533">
      <c r="A533" s="15" t="n"/>
      <c r="B533" s="15" t="n"/>
      <c r="C533" s="16" t="n"/>
      <c r="D533" s="16" t="n"/>
      <c r="E533" s="21">
        <f>IF(AND(A533="",B533="",C533="",D533=""),"",IF(TRIM(C533)="",0,LEN(C533)-LEN(SUBSTITUTE(C533,",",""))+1))</f>
        <v/>
      </c>
      <c r="F533" s="21">
        <f>IF(AND(A533="",B533="",C533="",D533=""),"",IF(TRIM(D533)="",0,LEN(D533)-LEN(SUBSTITUTE(D533,",",""))+1))</f>
        <v/>
      </c>
      <c r="G533" s="21">
        <f>IF(B533="","",IF(COUNTIF($B$6:B533,B533)&gt;1,"중복",""))</f>
        <v/>
      </c>
      <c r="H533" s="21">
        <f>IF(AND(A533="",B533="",C533="",D533=""),"",IF(AND(E533&lt;=3,F533&lt;=3,G533=""),1,0))</f>
        <v/>
      </c>
      <c r="I533" s="22">
        <f>IF(H533=0,IF(G533="중복","제외: 같은 이메일 중복 응답","제외: 3개 넘게 선택"),"")</f>
        <v/>
      </c>
    </row>
    <row r="534">
      <c r="A534" s="15" t="n"/>
      <c r="B534" s="15" t="n"/>
      <c r="C534" s="16" t="n"/>
      <c r="D534" s="16" t="n"/>
      <c r="E534" s="21">
        <f>IF(AND(A534="",B534="",C534="",D534=""),"",IF(TRIM(C534)="",0,LEN(C534)-LEN(SUBSTITUTE(C534,",",""))+1))</f>
        <v/>
      </c>
      <c r="F534" s="21">
        <f>IF(AND(A534="",B534="",C534="",D534=""),"",IF(TRIM(D534)="",0,LEN(D534)-LEN(SUBSTITUTE(D534,",",""))+1))</f>
        <v/>
      </c>
      <c r="G534" s="21">
        <f>IF(B534="","",IF(COUNTIF($B$6:B534,B534)&gt;1,"중복",""))</f>
        <v/>
      </c>
      <c r="H534" s="21">
        <f>IF(AND(A534="",B534="",C534="",D534=""),"",IF(AND(E534&lt;=3,F534&lt;=3,G534=""),1,0))</f>
        <v/>
      </c>
      <c r="I534" s="22">
        <f>IF(H534=0,IF(G534="중복","제외: 같은 이메일 중복 응답","제외: 3개 넘게 선택"),"")</f>
        <v/>
      </c>
    </row>
    <row r="535">
      <c r="A535" s="15" t="n"/>
      <c r="B535" s="15" t="n"/>
      <c r="C535" s="16" t="n"/>
      <c r="D535" s="16" t="n"/>
      <c r="E535" s="21">
        <f>IF(AND(A535="",B535="",C535="",D535=""),"",IF(TRIM(C535)="",0,LEN(C535)-LEN(SUBSTITUTE(C535,",",""))+1))</f>
        <v/>
      </c>
      <c r="F535" s="21">
        <f>IF(AND(A535="",B535="",C535="",D535=""),"",IF(TRIM(D535)="",0,LEN(D535)-LEN(SUBSTITUTE(D535,",",""))+1))</f>
        <v/>
      </c>
      <c r="G535" s="21">
        <f>IF(B535="","",IF(COUNTIF($B$6:B535,B535)&gt;1,"중복",""))</f>
        <v/>
      </c>
      <c r="H535" s="21">
        <f>IF(AND(A535="",B535="",C535="",D535=""),"",IF(AND(E535&lt;=3,F535&lt;=3,G535=""),1,0))</f>
        <v/>
      </c>
      <c r="I535" s="22">
        <f>IF(H535=0,IF(G535="중복","제외: 같은 이메일 중복 응답","제외: 3개 넘게 선택"),"")</f>
        <v/>
      </c>
    </row>
    <row r="536">
      <c r="A536" s="15" t="n"/>
      <c r="B536" s="15" t="n"/>
      <c r="C536" s="16" t="n"/>
      <c r="D536" s="16" t="n"/>
      <c r="E536" s="21">
        <f>IF(AND(A536="",B536="",C536="",D536=""),"",IF(TRIM(C536)="",0,LEN(C536)-LEN(SUBSTITUTE(C536,",",""))+1))</f>
        <v/>
      </c>
      <c r="F536" s="21">
        <f>IF(AND(A536="",B536="",C536="",D536=""),"",IF(TRIM(D536)="",0,LEN(D536)-LEN(SUBSTITUTE(D536,",",""))+1))</f>
        <v/>
      </c>
      <c r="G536" s="21">
        <f>IF(B536="","",IF(COUNTIF($B$6:B536,B536)&gt;1,"중복",""))</f>
        <v/>
      </c>
      <c r="H536" s="21">
        <f>IF(AND(A536="",B536="",C536="",D536=""),"",IF(AND(E536&lt;=3,F536&lt;=3,G536=""),1,0))</f>
        <v/>
      </c>
      <c r="I536" s="22">
        <f>IF(H536=0,IF(G536="중복","제외: 같은 이메일 중복 응답","제외: 3개 넘게 선택"),"")</f>
        <v/>
      </c>
    </row>
    <row r="537">
      <c r="A537" s="15" t="n"/>
      <c r="B537" s="15" t="n"/>
      <c r="C537" s="16" t="n"/>
      <c r="D537" s="16" t="n"/>
      <c r="E537" s="21">
        <f>IF(AND(A537="",B537="",C537="",D537=""),"",IF(TRIM(C537)="",0,LEN(C537)-LEN(SUBSTITUTE(C537,",",""))+1))</f>
        <v/>
      </c>
      <c r="F537" s="21">
        <f>IF(AND(A537="",B537="",C537="",D537=""),"",IF(TRIM(D537)="",0,LEN(D537)-LEN(SUBSTITUTE(D537,",",""))+1))</f>
        <v/>
      </c>
      <c r="G537" s="21">
        <f>IF(B537="","",IF(COUNTIF($B$6:B537,B537)&gt;1,"중복",""))</f>
        <v/>
      </c>
      <c r="H537" s="21">
        <f>IF(AND(A537="",B537="",C537="",D537=""),"",IF(AND(E537&lt;=3,F537&lt;=3,G537=""),1,0))</f>
        <v/>
      </c>
      <c r="I537" s="22">
        <f>IF(H537=0,IF(G537="중복","제외: 같은 이메일 중복 응답","제외: 3개 넘게 선택"),"")</f>
        <v/>
      </c>
    </row>
    <row r="538">
      <c r="A538" s="15" t="n"/>
      <c r="B538" s="15" t="n"/>
      <c r="C538" s="16" t="n"/>
      <c r="D538" s="16" t="n"/>
      <c r="E538" s="21">
        <f>IF(AND(A538="",B538="",C538="",D538=""),"",IF(TRIM(C538)="",0,LEN(C538)-LEN(SUBSTITUTE(C538,",",""))+1))</f>
        <v/>
      </c>
      <c r="F538" s="21">
        <f>IF(AND(A538="",B538="",C538="",D538=""),"",IF(TRIM(D538)="",0,LEN(D538)-LEN(SUBSTITUTE(D538,",",""))+1))</f>
        <v/>
      </c>
      <c r="G538" s="21">
        <f>IF(B538="","",IF(COUNTIF($B$6:B538,B538)&gt;1,"중복",""))</f>
        <v/>
      </c>
      <c r="H538" s="21">
        <f>IF(AND(A538="",B538="",C538="",D538=""),"",IF(AND(E538&lt;=3,F538&lt;=3,G538=""),1,0))</f>
        <v/>
      </c>
      <c r="I538" s="22">
        <f>IF(H538=0,IF(G538="중복","제외: 같은 이메일 중복 응답","제외: 3개 넘게 선택"),"")</f>
        <v/>
      </c>
    </row>
    <row r="539">
      <c r="A539" s="15" t="n"/>
      <c r="B539" s="15" t="n"/>
      <c r="C539" s="16" t="n"/>
      <c r="D539" s="16" t="n"/>
      <c r="E539" s="21">
        <f>IF(AND(A539="",B539="",C539="",D539=""),"",IF(TRIM(C539)="",0,LEN(C539)-LEN(SUBSTITUTE(C539,",",""))+1))</f>
        <v/>
      </c>
      <c r="F539" s="21">
        <f>IF(AND(A539="",B539="",C539="",D539=""),"",IF(TRIM(D539)="",0,LEN(D539)-LEN(SUBSTITUTE(D539,",",""))+1))</f>
        <v/>
      </c>
      <c r="G539" s="21">
        <f>IF(B539="","",IF(COUNTIF($B$6:B539,B539)&gt;1,"중복",""))</f>
        <v/>
      </c>
      <c r="H539" s="21">
        <f>IF(AND(A539="",B539="",C539="",D539=""),"",IF(AND(E539&lt;=3,F539&lt;=3,G539=""),1,0))</f>
        <v/>
      </c>
      <c r="I539" s="22">
        <f>IF(H539=0,IF(G539="중복","제외: 같은 이메일 중복 응답","제외: 3개 넘게 선택"),"")</f>
        <v/>
      </c>
    </row>
    <row r="540">
      <c r="A540" s="15" t="n"/>
      <c r="B540" s="15" t="n"/>
      <c r="C540" s="16" t="n"/>
      <c r="D540" s="16" t="n"/>
      <c r="E540" s="21">
        <f>IF(AND(A540="",B540="",C540="",D540=""),"",IF(TRIM(C540)="",0,LEN(C540)-LEN(SUBSTITUTE(C540,",",""))+1))</f>
        <v/>
      </c>
      <c r="F540" s="21">
        <f>IF(AND(A540="",B540="",C540="",D540=""),"",IF(TRIM(D540)="",0,LEN(D540)-LEN(SUBSTITUTE(D540,",",""))+1))</f>
        <v/>
      </c>
      <c r="G540" s="21">
        <f>IF(B540="","",IF(COUNTIF($B$6:B540,B540)&gt;1,"중복",""))</f>
        <v/>
      </c>
      <c r="H540" s="21">
        <f>IF(AND(A540="",B540="",C540="",D540=""),"",IF(AND(E540&lt;=3,F540&lt;=3,G540=""),1,0))</f>
        <v/>
      </c>
      <c r="I540" s="22">
        <f>IF(H540=0,IF(G540="중복","제외: 같은 이메일 중복 응답","제외: 3개 넘게 선택"),"")</f>
        <v/>
      </c>
    </row>
    <row r="541">
      <c r="A541" s="15" t="n"/>
      <c r="B541" s="15" t="n"/>
      <c r="C541" s="16" t="n"/>
      <c r="D541" s="16" t="n"/>
      <c r="E541" s="21">
        <f>IF(AND(A541="",B541="",C541="",D541=""),"",IF(TRIM(C541)="",0,LEN(C541)-LEN(SUBSTITUTE(C541,",",""))+1))</f>
        <v/>
      </c>
      <c r="F541" s="21">
        <f>IF(AND(A541="",B541="",C541="",D541=""),"",IF(TRIM(D541)="",0,LEN(D541)-LEN(SUBSTITUTE(D541,",",""))+1))</f>
        <v/>
      </c>
      <c r="G541" s="21">
        <f>IF(B541="","",IF(COUNTIF($B$6:B541,B541)&gt;1,"중복",""))</f>
        <v/>
      </c>
      <c r="H541" s="21">
        <f>IF(AND(A541="",B541="",C541="",D541=""),"",IF(AND(E541&lt;=3,F541&lt;=3,G541=""),1,0))</f>
        <v/>
      </c>
      <c r="I541" s="22">
        <f>IF(H541=0,IF(G541="중복","제외: 같은 이메일 중복 응답","제외: 3개 넘게 선택"),"")</f>
        <v/>
      </c>
    </row>
    <row r="542">
      <c r="A542" s="15" t="n"/>
      <c r="B542" s="15" t="n"/>
      <c r="C542" s="16" t="n"/>
      <c r="D542" s="16" t="n"/>
      <c r="E542" s="21">
        <f>IF(AND(A542="",B542="",C542="",D542=""),"",IF(TRIM(C542)="",0,LEN(C542)-LEN(SUBSTITUTE(C542,",",""))+1))</f>
        <v/>
      </c>
      <c r="F542" s="21">
        <f>IF(AND(A542="",B542="",C542="",D542=""),"",IF(TRIM(D542)="",0,LEN(D542)-LEN(SUBSTITUTE(D542,",",""))+1))</f>
        <v/>
      </c>
      <c r="G542" s="21">
        <f>IF(B542="","",IF(COUNTIF($B$6:B542,B542)&gt;1,"중복",""))</f>
        <v/>
      </c>
      <c r="H542" s="21">
        <f>IF(AND(A542="",B542="",C542="",D542=""),"",IF(AND(E542&lt;=3,F542&lt;=3,G542=""),1,0))</f>
        <v/>
      </c>
      <c r="I542" s="22">
        <f>IF(H542=0,IF(G542="중복","제외: 같은 이메일 중복 응답","제외: 3개 넘게 선택"),"")</f>
        <v/>
      </c>
    </row>
    <row r="543">
      <c r="A543" s="15" t="n"/>
      <c r="B543" s="15" t="n"/>
      <c r="C543" s="16" t="n"/>
      <c r="D543" s="16" t="n"/>
      <c r="E543" s="21">
        <f>IF(AND(A543="",B543="",C543="",D543=""),"",IF(TRIM(C543)="",0,LEN(C543)-LEN(SUBSTITUTE(C543,",",""))+1))</f>
        <v/>
      </c>
      <c r="F543" s="21">
        <f>IF(AND(A543="",B543="",C543="",D543=""),"",IF(TRIM(D543)="",0,LEN(D543)-LEN(SUBSTITUTE(D543,",",""))+1))</f>
        <v/>
      </c>
      <c r="G543" s="21">
        <f>IF(B543="","",IF(COUNTIF($B$6:B543,B543)&gt;1,"중복",""))</f>
        <v/>
      </c>
      <c r="H543" s="21">
        <f>IF(AND(A543="",B543="",C543="",D543=""),"",IF(AND(E543&lt;=3,F543&lt;=3,G543=""),1,0))</f>
        <v/>
      </c>
      <c r="I543" s="22">
        <f>IF(H543=0,IF(G543="중복","제외: 같은 이메일 중복 응답","제외: 3개 넘게 선택"),"")</f>
        <v/>
      </c>
    </row>
    <row r="544">
      <c r="A544" s="15" t="n"/>
      <c r="B544" s="15" t="n"/>
      <c r="C544" s="16" t="n"/>
      <c r="D544" s="16" t="n"/>
      <c r="E544" s="21">
        <f>IF(AND(A544="",B544="",C544="",D544=""),"",IF(TRIM(C544)="",0,LEN(C544)-LEN(SUBSTITUTE(C544,",",""))+1))</f>
        <v/>
      </c>
      <c r="F544" s="21">
        <f>IF(AND(A544="",B544="",C544="",D544=""),"",IF(TRIM(D544)="",0,LEN(D544)-LEN(SUBSTITUTE(D544,",",""))+1))</f>
        <v/>
      </c>
      <c r="G544" s="21">
        <f>IF(B544="","",IF(COUNTIF($B$6:B544,B544)&gt;1,"중복",""))</f>
        <v/>
      </c>
      <c r="H544" s="21">
        <f>IF(AND(A544="",B544="",C544="",D544=""),"",IF(AND(E544&lt;=3,F544&lt;=3,G544=""),1,0))</f>
        <v/>
      </c>
      <c r="I544" s="22">
        <f>IF(H544=0,IF(G544="중복","제외: 같은 이메일 중복 응답","제외: 3개 넘게 선택"),"")</f>
        <v/>
      </c>
    </row>
    <row r="545">
      <c r="A545" s="15" t="n"/>
      <c r="B545" s="15" t="n"/>
      <c r="C545" s="16" t="n"/>
      <c r="D545" s="16" t="n"/>
      <c r="E545" s="21">
        <f>IF(AND(A545="",B545="",C545="",D545=""),"",IF(TRIM(C545)="",0,LEN(C545)-LEN(SUBSTITUTE(C545,",",""))+1))</f>
        <v/>
      </c>
      <c r="F545" s="21">
        <f>IF(AND(A545="",B545="",C545="",D545=""),"",IF(TRIM(D545)="",0,LEN(D545)-LEN(SUBSTITUTE(D545,",",""))+1))</f>
        <v/>
      </c>
      <c r="G545" s="21">
        <f>IF(B545="","",IF(COUNTIF($B$6:B545,B545)&gt;1,"중복",""))</f>
        <v/>
      </c>
      <c r="H545" s="21">
        <f>IF(AND(A545="",B545="",C545="",D545=""),"",IF(AND(E545&lt;=3,F545&lt;=3,G545=""),1,0))</f>
        <v/>
      </c>
      <c r="I545" s="22">
        <f>IF(H545=0,IF(G545="중복","제외: 같은 이메일 중복 응답","제외: 3개 넘게 선택"),"")</f>
        <v/>
      </c>
    </row>
    <row r="546">
      <c r="A546" s="15" t="n"/>
      <c r="B546" s="15" t="n"/>
      <c r="C546" s="16" t="n"/>
      <c r="D546" s="16" t="n"/>
      <c r="E546" s="21">
        <f>IF(AND(A546="",B546="",C546="",D546=""),"",IF(TRIM(C546)="",0,LEN(C546)-LEN(SUBSTITUTE(C546,",",""))+1))</f>
        <v/>
      </c>
      <c r="F546" s="21">
        <f>IF(AND(A546="",B546="",C546="",D546=""),"",IF(TRIM(D546)="",0,LEN(D546)-LEN(SUBSTITUTE(D546,",",""))+1))</f>
        <v/>
      </c>
      <c r="G546" s="21">
        <f>IF(B546="","",IF(COUNTIF($B$6:B546,B546)&gt;1,"중복",""))</f>
        <v/>
      </c>
      <c r="H546" s="21">
        <f>IF(AND(A546="",B546="",C546="",D546=""),"",IF(AND(E546&lt;=3,F546&lt;=3,G546=""),1,0))</f>
        <v/>
      </c>
      <c r="I546" s="22">
        <f>IF(H546=0,IF(G546="중복","제외: 같은 이메일 중복 응답","제외: 3개 넘게 선택"),"")</f>
        <v/>
      </c>
    </row>
    <row r="547">
      <c r="A547" s="15" t="n"/>
      <c r="B547" s="15" t="n"/>
      <c r="C547" s="16" t="n"/>
      <c r="D547" s="16" t="n"/>
      <c r="E547" s="21">
        <f>IF(AND(A547="",B547="",C547="",D547=""),"",IF(TRIM(C547)="",0,LEN(C547)-LEN(SUBSTITUTE(C547,",",""))+1))</f>
        <v/>
      </c>
      <c r="F547" s="21">
        <f>IF(AND(A547="",B547="",C547="",D547=""),"",IF(TRIM(D547)="",0,LEN(D547)-LEN(SUBSTITUTE(D547,",",""))+1))</f>
        <v/>
      </c>
      <c r="G547" s="21">
        <f>IF(B547="","",IF(COUNTIF($B$6:B547,B547)&gt;1,"중복",""))</f>
        <v/>
      </c>
      <c r="H547" s="21">
        <f>IF(AND(A547="",B547="",C547="",D547=""),"",IF(AND(E547&lt;=3,F547&lt;=3,G547=""),1,0))</f>
        <v/>
      </c>
      <c r="I547" s="22">
        <f>IF(H547=0,IF(G547="중복","제외: 같은 이메일 중복 응답","제외: 3개 넘게 선택"),"")</f>
        <v/>
      </c>
    </row>
    <row r="548">
      <c r="A548" s="15" t="n"/>
      <c r="B548" s="15" t="n"/>
      <c r="C548" s="16" t="n"/>
      <c r="D548" s="16" t="n"/>
      <c r="E548" s="21">
        <f>IF(AND(A548="",B548="",C548="",D548=""),"",IF(TRIM(C548)="",0,LEN(C548)-LEN(SUBSTITUTE(C548,",",""))+1))</f>
        <v/>
      </c>
      <c r="F548" s="21">
        <f>IF(AND(A548="",B548="",C548="",D548=""),"",IF(TRIM(D548)="",0,LEN(D548)-LEN(SUBSTITUTE(D548,",",""))+1))</f>
        <v/>
      </c>
      <c r="G548" s="21">
        <f>IF(B548="","",IF(COUNTIF($B$6:B548,B548)&gt;1,"중복",""))</f>
        <v/>
      </c>
      <c r="H548" s="21">
        <f>IF(AND(A548="",B548="",C548="",D548=""),"",IF(AND(E548&lt;=3,F548&lt;=3,G548=""),1,0))</f>
        <v/>
      </c>
      <c r="I548" s="22">
        <f>IF(H548=0,IF(G548="중복","제외: 같은 이메일 중복 응답","제외: 3개 넘게 선택"),"")</f>
        <v/>
      </c>
    </row>
    <row r="549">
      <c r="A549" s="15" t="n"/>
      <c r="B549" s="15" t="n"/>
      <c r="C549" s="16" t="n"/>
      <c r="D549" s="16" t="n"/>
      <c r="E549" s="21">
        <f>IF(AND(A549="",B549="",C549="",D549=""),"",IF(TRIM(C549)="",0,LEN(C549)-LEN(SUBSTITUTE(C549,",",""))+1))</f>
        <v/>
      </c>
      <c r="F549" s="21">
        <f>IF(AND(A549="",B549="",C549="",D549=""),"",IF(TRIM(D549)="",0,LEN(D549)-LEN(SUBSTITUTE(D549,",",""))+1))</f>
        <v/>
      </c>
      <c r="G549" s="21">
        <f>IF(B549="","",IF(COUNTIF($B$6:B549,B549)&gt;1,"중복",""))</f>
        <v/>
      </c>
      <c r="H549" s="21">
        <f>IF(AND(A549="",B549="",C549="",D549=""),"",IF(AND(E549&lt;=3,F549&lt;=3,G549=""),1,0))</f>
        <v/>
      </c>
      <c r="I549" s="22">
        <f>IF(H549=0,IF(G549="중복","제외: 같은 이메일 중복 응답","제외: 3개 넘게 선택"),"")</f>
        <v/>
      </c>
    </row>
    <row r="550">
      <c r="A550" s="15" t="n"/>
      <c r="B550" s="15" t="n"/>
      <c r="C550" s="16" t="n"/>
      <c r="D550" s="16" t="n"/>
      <c r="E550" s="21">
        <f>IF(AND(A550="",B550="",C550="",D550=""),"",IF(TRIM(C550)="",0,LEN(C550)-LEN(SUBSTITUTE(C550,",",""))+1))</f>
        <v/>
      </c>
      <c r="F550" s="21">
        <f>IF(AND(A550="",B550="",C550="",D550=""),"",IF(TRIM(D550)="",0,LEN(D550)-LEN(SUBSTITUTE(D550,",",""))+1))</f>
        <v/>
      </c>
      <c r="G550" s="21">
        <f>IF(B550="","",IF(COUNTIF($B$6:B550,B550)&gt;1,"중복",""))</f>
        <v/>
      </c>
      <c r="H550" s="21">
        <f>IF(AND(A550="",B550="",C550="",D550=""),"",IF(AND(E550&lt;=3,F550&lt;=3,G550=""),1,0))</f>
        <v/>
      </c>
      <c r="I550" s="22">
        <f>IF(H550=0,IF(G550="중복","제외: 같은 이메일 중복 응답","제외: 3개 넘게 선택"),"")</f>
        <v/>
      </c>
    </row>
    <row r="551">
      <c r="A551" s="15" t="n"/>
      <c r="B551" s="15" t="n"/>
      <c r="C551" s="16" t="n"/>
      <c r="D551" s="16" t="n"/>
      <c r="E551" s="21">
        <f>IF(AND(A551="",B551="",C551="",D551=""),"",IF(TRIM(C551)="",0,LEN(C551)-LEN(SUBSTITUTE(C551,",",""))+1))</f>
        <v/>
      </c>
      <c r="F551" s="21">
        <f>IF(AND(A551="",B551="",C551="",D551=""),"",IF(TRIM(D551)="",0,LEN(D551)-LEN(SUBSTITUTE(D551,",",""))+1))</f>
        <v/>
      </c>
      <c r="G551" s="21">
        <f>IF(B551="","",IF(COUNTIF($B$6:B551,B551)&gt;1,"중복",""))</f>
        <v/>
      </c>
      <c r="H551" s="21">
        <f>IF(AND(A551="",B551="",C551="",D551=""),"",IF(AND(E551&lt;=3,F551&lt;=3,G551=""),1,0))</f>
        <v/>
      </c>
      <c r="I551" s="22">
        <f>IF(H551=0,IF(G551="중복","제외: 같은 이메일 중복 응답","제외: 3개 넘게 선택"),"")</f>
        <v/>
      </c>
    </row>
    <row r="552">
      <c r="A552" s="15" t="n"/>
      <c r="B552" s="15" t="n"/>
      <c r="C552" s="16" t="n"/>
      <c r="D552" s="16" t="n"/>
      <c r="E552" s="21">
        <f>IF(AND(A552="",B552="",C552="",D552=""),"",IF(TRIM(C552)="",0,LEN(C552)-LEN(SUBSTITUTE(C552,",",""))+1))</f>
        <v/>
      </c>
      <c r="F552" s="21">
        <f>IF(AND(A552="",B552="",C552="",D552=""),"",IF(TRIM(D552)="",0,LEN(D552)-LEN(SUBSTITUTE(D552,",",""))+1))</f>
        <v/>
      </c>
      <c r="G552" s="21">
        <f>IF(B552="","",IF(COUNTIF($B$6:B552,B552)&gt;1,"중복",""))</f>
        <v/>
      </c>
      <c r="H552" s="21">
        <f>IF(AND(A552="",B552="",C552="",D552=""),"",IF(AND(E552&lt;=3,F552&lt;=3,G552=""),1,0))</f>
        <v/>
      </c>
      <c r="I552" s="22">
        <f>IF(H552=0,IF(G552="중복","제외: 같은 이메일 중복 응답","제외: 3개 넘게 선택"),"")</f>
        <v/>
      </c>
    </row>
    <row r="553">
      <c r="A553" s="15" t="n"/>
      <c r="B553" s="15" t="n"/>
      <c r="C553" s="16" t="n"/>
      <c r="D553" s="16" t="n"/>
      <c r="E553" s="21">
        <f>IF(AND(A553="",B553="",C553="",D553=""),"",IF(TRIM(C553)="",0,LEN(C553)-LEN(SUBSTITUTE(C553,",",""))+1))</f>
        <v/>
      </c>
      <c r="F553" s="21">
        <f>IF(AND(A553="",B553="",C553="",D553=""),"",IF(TRIM(D553)="",0,LEN(D553)-LEN(SUBSTITUTE(D553,",",""))+1))</f>
        <v/>
      </c>
      <c r="G553" s="21">
        <f>IF(B553="","",IF(COUNTIF($B$6:B553,B553)&gt;1,"중복",""))</f>
        <v/>
      </c>
      <c r="H553" s="21">
        <f>IF(AND(A553="",B553="",C553="",D553=""),"",IF(AND(E553&lt;=3,F553&lt;=3,G553=""),1,0))</f>
        <v/>
      </c>
      <c r="I553" s="22">
        <f>IF(H553=0,IF(G553="중복","제외: 같은 이메일 중복 응답","제외: 3개 넘게 선택"),"")</f>
        <v/>
      </c>
    </row>
    <row r="554">
      <c r="A554" s="15" t="n"/>
      <c r="B554" s="15" t="n"/>
      <c r="C554" s="16" t="n"/>
      <c r="D554" s="16" t="n"/>
      <c r="E554" s="21">
        <f>IF(AND(A554="",B554="",C554="",D554=""),"",IF(TRIM(C554)="",0,LEN(C554)-LEN(SUBSTITUTE(C554,",",""))+1))</f>
        <v/>
      </c>
      <c r="F554" s="21">
        <f>IF(AND(A554="",B554="",C554="",D554=""),"",IF(TRIM(D554)="",0,LEN(D554)-LEN(SUBSTITUTE(D554,",",""))+1))</f>
        <v/>
      </c>
      <c r="G554" s="21">
        <f>IF(B554="","",IF(COUNTIF($B$6:B554,B554)&gt;1,"중복",""))</f>
        <v/>
      </c>
      <c r="H554" s="21">
        <f>IF(AND(A554="",B554="",C554="",D554=""),"",IF(AND(E554&lt;=3,F554&lt;=3,G554=""),1,0))</f>
        <v/>
      </c>
      <c r="I554" s="22">
        <f>IF(H554=0,IF(G554="중복","제외: 같은 이메일 중복 응답","제외: 3개 넘게 선택"),"")</f>
        <v/>
      </c>
    </row>
    <row r="555">
      <c r="A555" s="15" t="n"/>
      <c r="B555" s="15" t="n"/>
      <c r="C555" s="16" t="n"/>
      <c r="D555" s="16" t="n"/>
      <c r="E555" s="21">
        <f>IF(AND(A555="",B555="",C555="",D555=""),"",IF(TRIM(C555)="",0,LEN(C555)-LEN(SUBSTITUTE(C555,",",""))+1))</f>
        <v/>
      </c>
      <c r="F555" s="21">
        <f>IF(AND(A555="",B555="",C555="",D555=""),"",IF(TRIM(D555)="",0,LEN(D555)-LEN(SUBSTITUTE(D555,",",""))+1))</f>
        <v/>
      </c>
      <c r="G555" s="21">
        <f>IF(B555="","",IF(COUNTIF($B$6:B555,B555)&gt;1,"중복",""))</f>
        <v/>
      </c>
      <c r="H555" s="21">
        <f>IF(AND(A555="",B555="",C555="",D555=""),"",IF(AND(E555&lt;=3,F555&lt;=3,G555=""),1,0))</f>
        <v/>
      </c>
      <c r="I555" s="22">
        <f>IF(H555=0,IF(G555="중복","제외: 같은 이메일 중복 응답","제외: 3개 넘게 선택"),"")</f>
        <v/>
      </c>
    </row>
    <row r="556">
      <c r="A556" s="15" t="n"/>
      <c r="B556" s="15" t="n"/>
      <c r="C556" s="16" t="n"/>
      <c r="D556" s="16" t="n"/>
      <c r="E556" s="21">
        <f>IF(AND(A556="",B556="",C556="",D556=""),"",IF(TRIM(C556)="",0,LEN(C556)-LEN(SUBSTITUTE(C556,",",""))+1))</f>
        <v/>
      </c>
      <c r="F556" s="21">
        <f>IF(AND(A556="",B556="",C556="",D556=""),"",IF(TRIM(D556)="",0,LEN(D556)-LEN(SUBSTITUTE(D556,",",""))+1))</f>
        <v/>
      </c>
      <c r="G556" s="21">
        <f>IF(B556="","",IF(COUNTIF($B$6:B556,B556)&gt;1,"중복",""))</f>
        <v/>
      </c>
      <c r="H556" s="21">
        <f>IF(AND(A556="",B556="",C556="",D556=""),"",IF(AND(E556&lt;=3,F556&lt;=3,G556=""),1,0))</f>
        <v/>
      </c>
      <c r="I556" s="22">
        <f>IF(H556=0,IF(G556="중복","제외: 같은 이메일 중복 응답","제외: 3개 넘게 선택"),"")</f>
        <v/>
      </c>
    </row>
    <row r="557">
      <c r="A557" s="15" t="n"/>
      <c r="B557" s="15" t="n"/>
      <c r="C557" s="16" t="n"/>
      <c r="D557" s="16" t="n"/>
      <c r="E557" s="21">
        <f>IF(AND(A557="",B557="",C557="",D557=""),"",IF(TRIM(C557)="",0,LEN(C557)-LEN(SUBSTITUTE(C557,",",""))+1))</f>
        <v/>
      </c>
      <c r="F557" s="21">
        <f>IF(AND(A557="",B557="",C557="",D557=""),"",IF(TRIM(D557)="",0,LEN(D557)-LEN(SUBSTITUTE(D557,",",""))+1))</f>
        <v/>
      </c>
      <c r="G557" s="21">
        <f>IF(B557="","",IF(COUNTIF($B$6:B557,B557)&gt;1,"중복",""))</f>
        <v/>
      </c>
      <c r="H557" s="21">
        <f>IF(AND(A557="",B557="",C557="",D557=""),"",IF(AND(E557&lt;=3,F557&lt;=3,G557=""),1,0))</f>
        <v/>
      </c>
      <c r="I557" s="22">
        <f>IF(H557=0,IF(G557="중복","제외: 같은 이메일 중복 응답","제외: 3개 넘게 선택"),"")</f>
        <v/>
      </c>
    </row>
    <row r="558">
      <c r="A558" s="15" t="n"/>
      <c r="B558" s="15" t="n"/>
      <c r="C558" s="16" t="n"/>
      <c r="D558" s="16" t="n"/>
      <c r="E558" s="21">
        <f>IF(AND(A558="",B558="",C558="",D558=""),"",IF(TRIM(C558)="",0,LEN(C558)-LEN(SUBSTITUTE(C558,",",""))+1))</f>
        <v/>
      </c>
      <c r="F558" s="21">
        <f>IF(AND(A558="",B558="",C558="",D558=""),"",IF(TRIM(D558)="",0,LEN(D558)-LEN(SUBSTITUTE(D558,",",""))+1))</f>
        <v/>
      </c>
      <c r="G558" s="21">
        <f>IF(B558="","",IF(COUNTIF($B$6:B558,B558)&gt;1,"중복",""))</f>
        <v/>
      </c>
      <c r="H558" s="21">
        <f>IF(AND(A558="",B558="",C558="",D558=""),"",IF(AND(E558&lt;=3,F558&lt;=3,G558=""),1,0))</f>
        <v/>
      </c>
      <c r="I558" s="22">
        <f>IF(H558=0,IF(G558="중복","제외: 같은 이메일 중복 응답","제외: 3개 넘게 선택"),"")</f>
        <v/>
      </c>
    </row>
    <row r="559">
      <c r="A559" s="15" t="n"/>
      <c r="B559" s="15" t="n"/>
      <c r="C559" s="16" t="n"/>
      <c r="D559" s="16" t="n"/>
      <c r="E559" s="21">
        <f>IF(AND(A559="",B559="",C559="",D559=""),"",IF(TRIM(C559)="",0,LEN(C559)-LEN(SUBSTITUTE(C559,",",""))+1))</f>
        <v/>
      </c>
      <c r="F559" s="21">
        <f>IF(AND(A559="",B559="",C559="",D559=""),"",IF(TRIM(D559)="",0,LEN(D559)-LEN(SUBSTITUTE(D559,",",""))+1))</f>
        <v/>
      </c>
      <c r="G559" s="21">
        <f>IF(B559="","",IF(COUNTIF($B$6:B559,B559)&gt;1,"중복",""))</f>
        <v/>
      </c>
      <c r="H559" s="21">
        <f>IF(AND(A559="",B559="",C559="",D559=""),"",IF(AND(E559&lt;=3,F559&lt;=3,G559=""),1,0))</f>
        <v/>
      </c>
      <c r="I559" s="22">
        <f>IF(H559=0,IF(G559="중복","제외: 같은 이메일 중복 응답","제외: 3개 넘게 선택"),"")</f>
        <v/>
      </c>
    </row>
    <row r="560">
      <c r="A560" s="15" t="n"/>
      <c r="B560" s="15" t="n"/>
      <c r="C560" s="16" t="n"/>
      <c r="D560" s="16" t="n"/>
      <c r="E560" s="21">
        <f>IF(AND(A560="",B560="",C560="",D560=""),"",IF(TRIM(C560)="",0,LEN(C560)-LEN(SUBSTITUTE(C560,",",""))+1))</f>
        <v/>
      </c>
      <c r="F560" s="21">
        <f>IF(AND(A560="",B560="",C560="",D560=""),"",IF(TRIM(D560)="",0,LEN(D560)-LEN(SUBSTITUTE(D560,",",""))+1))</f>
        <v/>
      </c>
      <c r="G560" s="21">
        <f>IF(B560="","",IF(COUNTIF($B$6:B560,B560)&gt;1,"중복",""))</f>
        <v/>
      </c>
      <c r="H560" s="21">
        <f>IF(AND(A560="",B560="",C560="",D560=""),"",IF(AND(E560&lt;=3,F560&lt;=3,G560=""),1,0))</f>
        <v/>
      </c>
      <c r="I560" s="22">
        <f>IF(H560=0,IF(G560="중복","제외: 같은 이메일 중복 응답","제외: 3개 넘게 선택"),"")</f>
        <v/>
      </c>
    </row>
    <row r="561">
      <c r="A561" s="15" t="n"/>
      <c r="B561" s="15" t="n"/>
      <c r="C561" s="16" t="n"/>
      <c r="D561" s="16" t="n"/>
      <c r="E561" s="21">
        <f>IF(AND(A561="",B561="",C561="",D561=""),"",IF(TRIM(C561)="",0,LEN(C561)-LEN(SUBSTITUTE(C561,",",""))+1))</f>
        <v/>
      </c>
      <c r="F561" s="21">
        <f>IF(AND(A561="",B561="",C561="",D561=""),"",IF(TRIM(D561)="",0,LEN(D561)-LEN(SUBSTITUTE(D561,",",""))+1))</f>
        <v/>
      </c>
      <c r="G561" s="21">
        <f>IF(B561="","",IF(COUNTIF($B$6:B561,B561)&gt;1,"중복",""))</f>
        <v/>
      </c>
      <c r="H561" s="21">
        <f>IF(AND(A561="",B561="",C561="",D561=""),"",IF(AND(E561&lt;=3,F561&lt;=3,G561=""),1,0))</f>
        <v/>
      </c>
      <c r="I561" s="22">
        <f>IF(H561=0,IF(G561="중복","제외: 같은 이메일 중복 응답","제외: 3개 넘게 선택"),"")</f>
        <v/>
      </c>
    </row>
    <row r="562">
      <c r="A562" s="15" t="n"/>
      <c r="B562" s="15" t="n"/>
      <c r="C562" s="16" t="n"/>
      <c r="D562" s="16" t="n"/>
      <c r="E562" s="21">
        <f>IF(AND(A562="",B562="",C562="",D562=""),"",IF(TRIM(C562)="",0,LEN(C562)-LEN(SUBSTITUTE(C562,",",""))+1))</f>
        <v/>
      </c>
      <c r="F562" s="21">
        <f>IF(AND(A562="",B562="",C562="",D562=""),"",IF(TRIM(D562)="",0,LEN(D562)-LEN(SUBSTITUTE(D562,",",""))+1))</f>
        <v/>
      </c>
      <c r="G562" s="21">
        <f>IF(B562="","",IF(COUNTIF($B$6:B562,B562)&gt;1,"중복",""))</f>
        <v/>
      </c>
      <c r="H562" s="21">
        <f>IF(AND(A562="",B562="",C562="",D562=""),"",IF(AND(E562&lt;=3,F562&lt;=3,G562=""),1,0))</f>
        <v/>
      </c>
      <c r="I562" s="22">
        <f>IF(H562=0,IF(G562="중복","제외: 같은 이메일 중복 응답","제외: 3개 넘게 선택"),"")</f>
        <v/>
      </c>
    </row>
    <row r="563">
      <c r="A563" s="15" t="n"/>
      <c r="B563" s="15" t="n"/>
      <c r="C563" s="16" t="n"/>
      <c r="D563" s="16" t="n"/>
      <c r="E563" s="21">
        <f>IF(AND(A563="",B563="",C563="",D563=""),"",IF(TRIM(C563)="",0,LEN(C563)-LEN(SUBSTITUTE(C563,",",""))+1))</f>
        <v/>
      </c>
      <c r="F563" s="21">
        <f>IF(AND(A563="",B563="",C563="",D563=""),"",IF(TRIM(D563)="",0,LEN(D563)-LEN(SUBSTITUTE(D563,",",""))+1))</f>
        <v/>
      </c>
      <c r="G563" s="21">
        <f>IF(B563="","",IF(COUNTIF($B$6:B563,B563)&gt;1,"중복",""))</f>
        <v/>
      </c>
      <c r="H563" s="21">
        <f>IF(AND(A563="",B563="",C563="",D563=""),"",IF(AND(E563&lt;=3,F563&lt;=3,G563=""),1,0))</f>
        <v/>
      </c>
      <c r="I563" s="22">
        <f>IF(H563=0,IF(G563="중복","제외: 같은 이메일 중복 응답","제외: 3개 넘게 선택"),"")</f>
        <v/>
      </c>
    </row>
    <row r="564">
      <c r="A564" s="15" t="n"/>
      <c r="B564" s="15" t="n"/>
      <c r="C564" s="16" t="n"/>
      <c r="D564" s="16" t="n"/>
      <c r="E564" s="21">
        <f>IF(AND(A564="",B564="",C564="",D564=""),"",IF(TRIM(C564)="",0,LEN(C564)-LEN(SUBSTITUTE(C564,",",""))+1))</f>
        <v/>
      </c>
      <c r="F564" s="21">
        <f>IF(AND(A564="",B564="",C564="",D564=""),"",IF(TRIM(D564)="",0,LEN(D564)-LEN(SUBSTITUTE(D564,",",""))+1))</f>
        <v/>
      </c>
      <c r="G564" s="21">
        <f>IF(B564="","",IF(COUNTIF($B$6:B564,B564)&gt;1,"중복",""))</f>
        <v/>
      </c>
      <c r="H564" s="21">
        <f>IF(AND(A564="",B564="",C564="",D564=""),"",IF(AND(E564&lt;=3,F564&lt;=3,G564=""),1,0))</f>
        <v/>
      </c>
      <c r="I564" s="22">
        <f>IF(H564=0,IF(G564="중복","제외: 같은 이메일 중복 응답","제외: 3개 넘게 선택"),"")</f>
        <v/>
      </c>
    </row>
    <row r="565">
      <c r="A565" s="15" t="n"/>
      <c r="B565" s="15" t="n"/>
      <c r="C565" s="16" t="n"/>
      <c r="D565" s="16" t="n"/>
      <c r="E565" s="21">
        <f>IF(AND(A565="",B565="",C565="",D565=""),"",IF(TRIM(C565)="",0,LEN(C565)-LEN(SUBSTITUTE(C565,",",""))+1))</f>
        <v/>
      </c>
      <c r="F565" s="21">
        <f>IF(AND(A565="",B565="",C565="",D565=""),"",IF(TRIM(D565)="",0,LEN(D565)-LEN(SUBSTITUTE(D565,",",""))+1))</f>
        <v/>
      </c>
      <c r="G565" s="21">
        <f>IF(B565="","",IF(COUNTIF($B$6:B565,B565)&gt;1,"중복",""))</f>
        <v/>
      </c>
      <c r="H565" s="21">
        <f>IF(AND(A565="",B565="",C565="",D565=""),"",IF(AND(E565&lt;=3,F565&lt;=3,G565=""),1,0))</f>
        <v/>
      </c>
      <c r="I565" s="22">
        <f>IF(H565=0,IF(G565="중복","제외: 같은 이메일 중복 응답","제외: 3개 넘게 선택"),"")</f>
        <v/>
      </c>
    </row>
    <row r="566">
      <c r="A566" s="15" t="n"/>
      <c r="B566" s="15" t="n"/>
      <c r="C566" s="16" t="n"/>
      <c r="D566" s="16" t="n"/>
      <c r="E566" s="21">
        <f>IF(AND(A566="",B566="",C566="",D566=""),"",IF(TRIM(C566)="",0,LEN(C566)-LEN(SUBSTITUTE(C566,",",""))+1))</f>
        <v/>
      </c>
      <c r="F566" s="21">
        <f>IF(AND(A566="",B566="",C566="",D566=""),"",IF(TRIM(D566)="",0,LEN(D566)-LEN(SUBSTITUTE(D566,",",""))+1))</f>
        <v/>
      </c>
      <c r="G566" s="21">
        <f>IF(B566="","",IF(COUNTIF($B$6:B566,B566)&gt;1,"중복",""))</f>
        <v/>
      </c>
      <c r="H566" s="21">
        <f>IF(AND(A566="",B566="",C566="",D566=""),"",IF(AND(E566&lt;=3,F566&lt;=3,G566=""),1,0))</f>
        <v/>
      </c>
      <c r="I566" s="22">
        <f>IF(H566=0,IF(G566="중복","제외: 같은 이메일 중복 응답","제외: 3개 넘게 선택"),"")</f>
        <v/>
      </c>
    </row>
    <row r="567">
      <c r="A567" s="15" t="n"/>
      <c r="B567" s="15" t="n"/>
      <c r="C567" s="16" t="n"/>
      <c r="D567" s="16" t="n"/>
      <c r="E567" s="21">
        <f>IF(AND(A567="",B567="",C567="",D567=""),"",IF(TRIM(C567)="",0,LEN(C567)-LEN(SUBSTITUTE(C567,",",""))+1))</f>
        <v/>
      </c>
      <c r="F567" s="21">
        <f>IF(AND(A567="",B567="",C567="",D567=""),"",IF(TRIM(D567)="",0,LEN(D567)-LEN(SUBSTITUTE(D567,",",""))+1))</f>
        <v/>
      </c>
      <c r="G567" s="21">
        <f>IF(B567="","",IF(COUNTIF($B$6:B567,B567)&gt;1,"중복",""))</f>
        <v/>
      </c>
      <c r="H567" s="21">
        <f>IF(AND(A567="",B567="",C567="",D567=""),"",IF(AND(E567&lt;=3,F567&lt;=3,G567=""),1,0))</f>
        <v/>
      </c>
      <c r="I567" s="22">
        <f>IF(H567=0,IF(G567="중복","제외: 같은 이메일 중복 응답","제외: 3개 넘게 선택"),"")</f>
        <v/>
      </c>
    </row>
    <row r="568">
      <c r="A568" s="15" t="n"/>
      <c r="B568" s="15" t="n"/>
      <c r="C568" s="16" t="n"/>
      <c r="D568" s="16" t="n"/>
      <c r="E568" s="21">
        <f>IF(AND(A568="",B568="",C568="",D568=""),"",IF(TRIM(C568)="",0,LEN(C568)-LEN(SUBSTITUTE(C568,",",""))+1))</f>
        <v/>
      </c>
      <c r="F568" s="21">
        <f>IF(AND(A568="",B568="",C568="",D568=""),"",IF(TRIM(D568)="",0,LEN(D568)-LEN(SUBSTITUTE(D568,",",""))+1))</f>
        <v/>
      </c>
      <c r="G568" s="21">
        <f>IF(B568="","",IF(COUNTIF($B$6:B568,B568)&gt;1,"중복",""))</f>
        <v/>
      </c>
      <c r="H568" s="21">
        <f>IF(AND(A568="",B568="",C568="",D568=""),"",IF(AND(E568&lt;=3,F568&lt;=3,G568=""),1,0))</f>
        <v/>
      </c>
      <c r="I568" s="22">
        <f>IF(H568=0,IF(G568="중복","제외: 같은 이메일 중복 응답","제외: 3개 넘게 선택"),"")</f>
        <v/>
      </c>
    </row>
    <row r="569">
      <c r="A569" s="15" t="n"/>
      <c r="B569" s="15" t="n"/>
      <c r="C569" s="16" t="n"/>
      <c r="D569" s="16" t="n"/>
      <c r="E569" s="21">
        <f>IF(AND(A569="",B569="",C569="",D569=""),"",IF(TRIM(C569)="",0,LEN(C569)-LEN(SUBSTITUTE(C569,",",""))+1))</f>
        <v/>
      </c>
      <c r="F569" s="21">
        <f>IF(AND(A569="",B569="",C569="",D569=""),"",IF(TRIM(D569)="",0,LEN(D569)-LEN(SUBSTITUTE(D569,",",""))+1))</f>
        <v/>
      </c>
      <c r="G569" s="21">
        <f>IF(B569="","",IF(COUNTIF($B$6:B569,B569)&gt;1,"중복",""))</f>
        <v/>
      </c>
      <c r="H569" s="21">
        <f>IF(AND(A569="",B569="",C569="",D569=""),"",IF(AND(E569&lt;=3,F569&lt;=3,G569=""),1,0))</f>
        <v/>
      </c>
      <c r="I569" s="22">
        <f>IF(H569=0,IF(G569="중복","제외: 같은 이메일 중복 응답","제외: 3개 넘게 선택"),"")</f>
        <v/>
      </c>
    </row>
    <row r="570">
      <c r="A570" s="15" t="n"/>
      <c r="B570" s="15" t="n"/>
      <c r="C570" s="16" t="n"/>
      <c r="D570" s="16" t="n"/>
      <c r="E570" s="21">
        <f>IF(AND(A570="",B570="",C570="",D570=""),"",IF(TRIM(C570)="",0,LEN(C570)-LEN(SUBSTITUTE(C570,",",""))+1))</f>
        <v/>
      </c>
      <c r="F570" s="21">
        <f>IF(AND(A570="",B570="",C570="",D570=""),"",IF(TRIM(D570)="",0,LEN(D570)-LEN(SUBSTITUTE(D570,",",""))+1))</f>
        <v/>
      </c>
      <c r="G570" s="21">
        <f>IF(B570="","",IF(COUNTIF($B$6:B570,B570)&gt;1,"중복",""))</f>
        <v/>
      </c>
      <c r="H570" s="21">
        <f>IF(AND(A570="",B570="",C570="",D570=""),"",IF(AND(E570&lt;=3,F570&lt;=3,G570=""),1,0))</f>
        <v/>
      </c>
      <c r="I570" s="22">
        <f>IF(H570=0,IF(G570="중복","제외: 같은 이메일 중복 응답","제외: 3개 넘게 선택"),"")</f>
        <v/>
      </c>
    </row>
    <row r="571">
      <c r="A571" s="15" t="n"/>
      <c r="B571" s="15" t="n"/>
      <c r="C571" s="16" t="n"/>
      <c r="D571" s="16" t="n"/>
      <c r="E571" s="21">
        <f>IF(AND(A571="",B571="",C571="",D571=""),"",IF(TRIM(C571)="",0,LEN(C571)-LEN(SUBSTITUTE(C571,",",""))+1))</f>
        <v/>
      </c>
      <c r="F571" s="21">
        <f>IF(AND(A571="",B571="",C571="",D571=""),"",IF(TRIM(D571)="",0,LEN(D571)-LEN(SUBSTITUTE(D571,",",""))+1))</f>
        <v/>
      </c>
      <c r="G571" s="21">
        <f>IF(B571="","",IF(COUNTIF($B$6:B571,B571)&gt;1,"중복",""))</f>
        <v/>
      </c>
      <c r="H571" s="21">
        <f>IF(AND(A571="",B571="",C571="",D571=""),"",IF(AND(E571&lt;=3,F571&lt;=3,G571=""),1,0))</f>
        <v/>
      </c>
      <c r="I571" s="22">
        <f>IF(H571=0,IF(G571="중복","제외: 같은 이메일 중복 응답","제외: 3개 넘게 선택"),"")</f>
        <v/>
      </c>
    </row>
    <row r="572">
      <c r="A572" s="15" t="n"/>
      <c r="B572" s="15" t="n"/>
      <c r="C572" s="16" t="n"/>
      <c r="D572" s="16" t="n"/>
      <c r="E572" s="21">
        <f>IF(AND(A572="",B572="",C572="",D572=""),"",IF(TRIM(C572)="",0,LEN(C572)-LEN(SUBSTITUTE(C572,",",""))+1))</f>
        <v/>
      </c>
      <c r="F572" s="21">
        <f>IF(AND(A572="",B572="",C572="",D572=""),"",IF(TRIM(D572)="",0,LEN(D572)-LEN(SUBSTITUTE(D572,",",""))+1))</f>
        <v/>
      </c>
      <c r="G572" s="21">
        <f>IF(B572="","",IF(COUNTIF($B$6:B572,B572)&gt;1,"중복",""))</f>
        <v/>
      </c>
      <c r="H572" s="21">
        <f>IF(AND(A572="",B572="",C572="",D572=""),"",IF(AND(E572&lt;=3,F572&lt;=3,G572=""),1,0))</f>
        <v/>
      </c>
      <c r="I572" s="22">
        <f>IF(H572=0,IF(G572="중복","제외: 같은 이메일 중복 응답","제외: 3개 넘게 선택"),"")</f>
        <v/>
      </c>
    </row>
    <row r="573">
      <c r="A573" s="15" t="n"/>
      <c r="B573" s="15" t="n"/>
      <c r="C573" s="16" t="n"/>
      <c r="D573" s="16" t="n"/>
      <c r="E573" s="21">
        <f>IF(AND(A573="",B573="",C573="",D573=""),"",IF(TRIM(C573)="",0,LEN(C573)-LEN(SUBSTITUTE(C573,",",""))+1))</f>
        <v/>
      </c>
      <c r="F573" s="21">
        <f>IF(AND(A573="",B573="",C573="",D573=""),"",IF(TRIM(D573)="",0,LEN(D573)-LEN(SUBSTITUTE(D573,",",""))+1))</f>
        <v/>
      </c>
      <c r="G573" s="21">
        <f>IF(B573="","",IF(COUNTIF($B$6:B573,B573)&gt;1,"중복",""))</f>
        <v/>
      </c>
      <c r="H573" s="21">
        <f>IF(AND(A573="",B573="",C573="",D573=""),"",IF(AND(E573&lt;=3,F573&lt;=3,G573=""),1,0))</f>
        <v/>
      </c>
      <c r="I573" s="22">
        <f>IF(H573=0,IF(G573="중복","제외: 같은 이메일 중복 응답","제외: 3개 넘게 선택"),"")</f>
        <v/>
      </c>
    </row>
    <row r="574">
      <c r="A574" s="15" t="n"/>
      <c r="B574" s="15" t="n"/>
      <c r="C574" s="16" t="n"/>
      <c r="D574" s="16" t="n"/>
      <c r="E574" s="21">
        <f>IF(AND(A574="",B574="",C574="",D574=""),"",IF(TRIM(C574)="",0,LEN(C574)-LEN(SUBSTITUTE(C574,",",""))+1))</f>
        <v/>
      </c>
      <c r="F574" s="21">
        <f>IF(AND(A574="",B574="",C574="",D574=""),"",IF(TRIM(D574)="",0,LEN(D574)-LEN(SUBSTITUTE(D574,",",""))+1))</f>
        <v/>
      </c>
      <c r="G574" s="21">
        <f>IF(B574="","",IF(COUNTIF($B$6:B574,B574)&gt;1,"중복",""))</f>
        <v/>
      </c>
      <c r="H574" s="21">
        <f>IF(AND(A574="",B574="",C574="",D574=""),"",IF(AND(E574&lt;=3,F574&lt;=3,G574=""),1,0))</f>
        <v/>
      </c>
      <c r="I574" s="22">
        <f>IF(H574=0,IF(G574="중복","제외: 같은 이메일 중복 응답","제외: 3개 넘게 선택"),"")</f>
        <v/>
      </c>
    </row>
    <row r="575">
      <c r="A575" s="15" t="n"/>
      <c r="B575" s="15" t="n"/>
      <c r="C575" s="16" t="n"/>
      <c r="D575" s="16" t="n"/>
      <c r="E575" s="21">
        <f>IF(AND(A575="",B575="",C575="",D575=""),"",IF(TRIM(C575)="",0,LEN(C575)-LEN(SUBSTITUTE(C575,",",""))+1))</f>
        <v/>
      </c>
      <c r="F575" s="21">
        <f>IF(AND(A575="",B575="",C575="",D575=""),"",IF(TRIM(D575)="",0,LEN(D575)-LEN(SUBSTITUTE(D575,",",""))+1))</f>
        <v/>
      </c>
      <c r="G575" s="21">
        <f>IF(B575="","",IF(COUNTIF($B$6:B575,B575)&gt;1,"중복",""))</f>
        <v/>
      </c>
      <c r="H575" s="21">
        <f>IF(AND(A575="",B575="",C575="",D575=""),"",IF(AND(E575&lt;=3,F575&lt;=3,G575=""),1,0))</f>
        <v/>
      </c>
      <c r="I575" s="22">
        <f>IF(H575=0,IF(G575="중복","제외: 같은 이메일 중복 응답","제외: 3개 넘게 선택"),"")</f>
        <v/>
      </c>
    </row>
    <row r="576">
      <c r="A576" s="15" t="n"/>
      <c r="B576" s="15" t="n"/>
      <c r="C576" s="16" t="n"/>
      <c r="D576" s="16" t="n"/>
      <c r="E576" s="21">
        <f>IF(AND(A576="",B576="",C576="",D576=""),"",IF(TRIM(C576)="",0,LEN(C576)-LEN(SUBSTITUTE(C576,",",""))+1))</f>
        <v/>
      </c>
      <c r="F576" s="21">
        <f>IF(AND(A576="",B576="",C576="",D576=""),"",IF(TRIM(D576)="",0,LEN(D576)-LEN(SUBSTITUTE(D576,",",""))+1))</f>
        <v/>
      </c>
      <c r="G576" s="21">
        <f>IF(B576="","",IF(COUNTIF($B$6:B576,B576)&gt;1,"중복",""))</f>
        <v/>
      </c>
      <c r="H576" s="21">
        <f>IF(AND(A576="",B576="",C576="",D576=""),"",IF(AND(E576&lt;=3,F576&lt;=3,G576=""),1,0))</f>
        <v/>
      </c>
      <c r="I576" s="22">
        <f>IF(H576=0,IF(G576="중복","제외: 같은 이메일 중복 응답","제외: 3개 넘게 선택"),"")</f>
        <v/>
      </c>
    </row>
    <row r="577">
      <c r="A577" s="15" t="n"/>
      <c r="B577" s="15" t="n"/>
      <c r="C577" s="16" t="n"/>
      <c r="D577" s="16" t="n"/>
      <c r="E577" s="21">
        <f>IF(AND(A577="",B577="",C577="",D577=""),"",IF(TRIM(C577)="",0,LEN(C577)-LEN(SUBSTITUTE(C577,",",""))+1))</f>
        <v/>
      </c>
      <c r="F577" s="21">
        <f>IF(AND(A577="",B577="",C577="",D577=""),"",IF(TRIM(D577)="",0,LEN(D577)-LEN(SUBSTITUTE(D577,",",""))+1))</f>
        <v/>
      </c>
      <c r="G577" s="21">
        <f>IF(B577="","",IF(COUNTIF($B$6:B577,B577)&gt;1,"중복",""))</f>
        <v/>
      </c>
      <c r="H577" s="21">
        <f>IF(AND(A577="",B577="",C577="",D577=""),"",IF(AND(E577&lt;=3,F577&lt;=3,G577=""),1,0))</f>
        <v/>
      </c>
      <c r="I577" s="22">
        <f>IF(H577=0,IF(G577="중복","제외: 같은 이메일 중복 응답","제외: 3개 넘게 선택"),"")</f>
        <v/>
      </c>
    </row>
    <row r="578">
      <c r="A578" s="15" t="n"/>
      <c r="B578" s="15" t="n"/>
      <c r="C578" s="16" t="n"/>
      <c r="D578" s="16" t="n"/>
      <c r="E578" s="21">
        <f>IF(AND(A578="",B578="",C578="",D578=""),"",IF(TRIM(C578)="",0,LEN(C578)-LEN(SUBSTITUTE(C578,",",""))+1))</f>
        <v/>
      </c>
      <c r="F578" s="21">
        <f>IF(AND(A578="",B578="",C578="",D578=""),"",IF(TRIM(D578)="",0,LEN(D578)-LEN(SUBSTITUTE(D578,",",""))+1))</f>
        <v/>
      </c>
      <c r="G578" s="21">
        <f>IF(B578="","",IF(COUNTIF($B$6:B578,B578)&gt;1,"중복",""))</f>
        <v/>
      </c>
      <c r="H578" s="21">
        <f>IF(AND(A578="",B578="",C578="",D578=""),"",IF(AND(E578&lt;=3,F578&lt;=3,G578=""),1,0))</f>
        <v/>
      </c>
      <c r="I578" s="22">
        <f>IF(H578=0,IF(G578="중복","제외: 같은 이메일 중복 응답","제외: 3개 넘게 선택"),"")</f>
        <v/>
      </c>
    </row>
    <row r="579">
      <c r="A579" s="15" t="n"/>
      <c r="B579" s="15" t="n"/>
      <c r="C579" s="16" t="n"/>
      <c r="D579" s="16" t="n"/>
      <c r="E579" s="21">
        <f>IF(AND(A579="",B579="",C579="",D579=""),"",IF(TRIM(C579)="",0,LEN(C579)-LEN(SUBSTITUTE(C579,",",""))+1))</f>
        <v/>
      </c>
      <c r="F579" s="21">
        <f>IF(AND(A579="",B579="",C579="",D579=""),"",IF(TRIM(D579)="",0,LEN(D579)-LEN(SUBSTITUTE(D579,",",""))+1))</f>
        <v/>
      </c>
      <c r="G579" s="21">
        <f>IF(B579="","",IF(COUNTIF($B$6:B579,B579)&gt;1,"중복",""))</f>
        <v/>
      </c>
      <c r="H579" s="21">
        <f>IF(AND(A579="",B579="",C579="",D579=""),"",IF(AND(E579&lt;=3,F579&lt;=3,G579=""),1,0))</f>
        <v/>
      </c>
      <c r="I579" s="22">
        <f>IF(H579=0,IF(G579="중복","제외: 같은 이메일 중복 응답","제외: 3개 넘게 선택"),"")</f>
        <v/>
      </c>
    </row>
    <row r="580">
      <c r="A580" s="15" t="n"/>
      <c r="B580" s="15" t="n"/>
      <c r="C580" s="16" t="n"/>
      <c r="D580" s="16" t="n"/>
      <c r="E580" s="21">
        <f>IF(AND(A580="",B580="",C580="",D580=""),"",IF(TRIM(C580)="",0,LEN(C580)-LEN(SUBSTITUTE(C580,",",""))+1))</f>
        <v/>
      </c>
      <c r="F580" s="21">
        <f>IF(AND(A580="",B580="",C580="",D580=""),"",IF(TRIM(D580)="",0,LEN(D580)-LEN(SUBSTITUTE(D580,",",""))+1))</f>
        <v/>
      </c>
      <c r="G580" s="21">
        <f>IF(B580="","",IF(COUNTIF($B$6:B580,B580)&gt;1,"중복",""))</f>
        <v/>
      </c>
      <c r="H580" s="21">
        <f>IF(AND(A580="",B580="",C580="",D580=""),"",IF(AND(E580&lt;=3,F580&lt;=3,G580=""),1,0))</f>
        <v/>
      </c>
      <c r="I580" s="22">
        <f>IF(H580=0,IF(G580="중복","제외: 같은 이메일 중복 응답","제외: 3개 넘게 선택"),"")</f>
        <v/>
      </c>
    </row>
    <row r="581">
      <c r="A581" s="15" t="n"/>
      <c r="B581" s="15" t="n"/>
      <c r="C581" s="16" t="n"/>
      <c r="D581" s="16" t="n"/>
      <c r="E581" s="21">
        <f>IF(AND(A581="",B581="",C581="",D581=""),"",IF(TRIM(C581)="",0,LEN(C581)-LEN(SUBSTITUTE(C581,",",""))+1))</f>
        <v/>
      </c>
      <c r="F581" s="21">
        <f>IF(AND(A581="",B581="",C581="",D581=""),"",IF(TRIM(D581)="",0,LEN(D581)-LEN(SUBSTITUTE(D581,",",""))+1))</f>
        <v/>
      </c>
      <c r="G581" s="21">
        <f>IF(B581="","",IF(COUNTIF($B$6:B581,B581)&gt;1,"중복",""))</f>
        <v/>
      </c>
      <c r="H581" s="21">
        <f>IF(AND(A581="",B581="",C581="",D581=""),"",IF(AND(E581&lt;=3,F581&lt;=3,G581=""),1,0))</f>
        <v/>
      </c>
      <c r="I581" s="22">
        <f>IF(H581=0,IF(G581="중복","제외: 같은 이메일 중복 응답","제외: 3개 넘게 선택"),"")</f>
        <v/>
      </c>
    </row>
    <row r="582">
      <c r="A582" s="15" t="n"/>
      <c r="B582" s="15" t="n"/>
      <c r="C582" s="16" t="n"/>
      <c r="D582" s="16" t="n"/>
      <c r="E582" s="21">
        <f>IF(AND(A582="",B582="",C582="",D582=""),"",IF(TRIM(C582)="",0,LEN(C582)-LEN(SUBSTITUTE(C582,",",""))+1))</f>
        <v/>
      </c>
      <c r="F582" s="21">
        <f>IF(AND(A582="",B582="",C582="",D582=""),"",IF(TRIM(D582)="",0,LEN(D582)-LEN(SUBSTITUTE(D582,",",""))+1))</f>
        <v/>
      </c>
      <c r="G582" s="21">
        <f>IF(B582="","",IF(COUNTIF($B$6:B582,B582)&gt;1,"중복",""))</f>
        <v/>
      </c>
      <c r="H582" s="21">
        <f>IF(AND(A582="",B582="",C582="",D582=""),"",IF(AND(E582&lt;=3,F582&lt;=3,G582=""),1,0))</f>
        <v/>
      </c>
      <c r="I582" s="22">
        <f>IF(H582=0,IF(G582="중복","제외: 같은 이메일 중복 응답","제외: 3개 넘게 선택"),"")</f>
        <v/>
      </c>
    </row>
    <row r="583">
      <c r="A583" s="15" t="n"/>
      <c r="B583" s="15" t="n"/>
      <c r="C583" s="16" t="n"/>
      <c r="D583" s="16" t="n"/>
      <c r="E583" s="21">
        <f>IF(AND(A583="",B583="",C583="",D583=""),"",IF(TRIM(C583)="",0,LEN(C583)-LEN(SUBSTITUTE(C583,",",""))+1))</f>
        <v/>
      </c>
      <c r="F583" s="21">
        <f>IF(AND(A583="",B583="",C583="",D583=""),"",IF(TRIM(D583)="",0,LEN(D583)-LEN(SUBSTITUTE(D583,",",""))+1))</f>
        <v/>
      </c>
      <c r="G583" s="21">
        <f>IF(B583="","",IF(COUNTIF($B$6:B583,B583)&gt;1,"중복",""))</f>
        <v/>
      </c>
      <c r="H583" s="21">
        <f>IF(AND(A583="",B583="",C583="",D583=""),"",IF(AND(E583&lt;=3,F583&lt;=3,G583=""),1,0))</f>
        <v/>
      </c>
      <c r="I583" s="22">
        <f>IF(H583=0,IF(G583="중복","제외: 같은 이메일 중복 응답","제외: 3개 넘게 선택"),"")</f>
        <v/>
      </c>
    </row>
    <row r="584">
      <c r="A584" s="15" t="n"/>
      <c r="B584" s="15" t="n"/>
      <c r="C584" s="16" t="n"/>
      <c r="D584" s="16" t="n"/>
      <c r="E584" s="21">
        <f>IF(AND(A584="",B584="",C584="",D584=""),"",IF(TRIM(C584)="",0,LEN(C584)-LEN(SUBSTITUTE(C584,",",""))+1))</f>
        <v/>
      </c>
      <c r="F584" s="21">
        <f>IF(AND(A584="",B584="",C584="",D584=""),"",IF(TRIM(D584)="",0,LEN(D584)-LEN(SUBSTITUTE(D584,",",""))+1))</f>
        <v/>
      </c>
      <c r="G584" s="21">
        <f>IF(B584="","",IF(COUNTIF($B$6:B584,B584)&gt;1,"중복",""))</f>
        <v/>
      </c>
      <c r="H584" s="21">
        <f>IF(AND(A584="",B584="",C584="",D584=""),"",IF(AND(E584&lt;=3,F584&lt;=3,G584=""),1,0))</f>
        <v/>
      </c>
      <c r="I584" s="22">
        <f>IF(H584=0,IF(G584="중복","제외: 같은 이메일 중복 응답","제외: 3개 넘게 선택"),"")</f>
        <v/>
      </c>
    </row>
    <row r="585">
      <c r="A585" s="15" t="n"/>
      <c r="B585" s="15" t="n"/>
      <c r="C585" s="16" t="n"/>
      <c r="D585" s="16" t="n"/>
      <c r="E585" s="21">
        <f>IF(AND(A585="",B585="",C585="",D585=""),"",IF(TRIM(C585)="",0,LEN(C585)-LEN(SUBSTITUTE(C585,",",""))+1))</f>
        <v/>
      </c>
      <c r="F585" s="21">
        <f>IF(AND(A585="",B585="",C585="",D585=""),"",IF(TRIM(D585)="",0,LEN(D585)-LEN(SUBSTITUTE(D585,",",""))+1))</f>
        <v/>
      </c>
      <c r="G585" s="21">
        <f>IF(B585="","",IF(COUNTIF($B$6:B585,B585)&gt;1,"중복",""))</f>
        <v/>
      </c>
      <c r="H585" s="21">
        <f>IF(AND(A585="",B585="",C585="",D585=""),"",IF(AND(E585&lt;=3,F585&lt;=3,G585=""),1,0))</f>
        <v/>
      </c>
      <c r="I585" s="22">
        <f>IF(H585=0,IF(G585="중복","제외: 같은 이메일 중복 응답","제외: 3개 넘게 선택"),"")</f>
        <v/>
      </c>
    </row>
    <row r="586">
      <c r="A586" s="15" t="n"/>
      <c r="B586" s="15" t="n"/>
      <c r="C586" s="16" t="n"/>
      <c r="D586" s="16" t="n"/>
      <c r="E586" s="21">
        <f>IF(AND(A586="",B586="",C586="",D586=""),"",IF(TRIM(C586)="",0,LEN(C586)-LEN(SUBSTITUTE(C586,",",""))+1))</f>
        <v/>
      </c>
      <c r="F586" s="21">
        <f>IF(AND(A586="",B586="",C586="",D586=""),"",IF(TRIM(D586)="",0,LEN(D586)-LEN(SUBSTITUTE(D586,",",""))+1))</f>
        <v/>
      </c>
      <c r="G586" s="21">
        <f>IF(B586="","",IF(COUNTIF($B$6:B586,B586)&gt;1,"중복",""))</f>
        <v/>
      </c>
      <c r="H586" s="21">
        <f>IF(AND(A586="",B586="",C586="",D586=""),"",IF(AND(E586&lt;=3,F586&lt;=3,G586=""),1,0))</f>
        <v/>
      </c>
      <c r="I586" s="22">
        <f>IF(H586=0,IF(G586="중복","제외: 같은 이메일 중복 응답","제외: 3개 넘게 선택"),"")</f>
        <v/>
      </c>
    </row>
    <row r="587">
      <c r="A587" s="15" t="n"/>
      <c r="B587" s="15" t="n"/>
      <c r="C587" s="16" t="n"/>
      <c r="D587" s="16" t="n"/>
      <c r="E587" s="21">
        <f>IF(AND(A587="",B587="",C587="",D587=""),"",IF(TRIM(C587)="",0,LEN(C587)-LEN(SUBSTITUTE(C587,",",""))+1))</f>
        <v/>
      </c>
      <c r="F587" s="21">
        <f>IF(AND(A587="",B587="",C587="",D587=""),"",IF(TRIM(D587)="",0,LEN(D587)-LEN(SUBSTITUTE(D587,",",""))+1))</f>
        <v/>
      </c>
      <c r="G587" s="21">
        <f>IF(B587="","",IF(COUNTIF($B$6:B587,B587)&gt;1,"중복",""))</f>
        <v/>
      </c>
      <c r="H587" s="21">
        <f>IF(AND(A587="",B587="",C587="",D587=""),"",IF(AND(E587&lt;=3,F587&lt;=3,G587=""),1,0))</f>
        <v/>
      </c>
      <c r="I587" s="22">
        <f>IF(H587=0,IF(G587="중복","제외: 같은 이메일 중복 응답","제외: 3개 넘게 선택"),"")</f>
        <v/>
      </c>
    </row>
    <row r="588">
      <c r="A588" s="15" t="n"/>
      <c r="B588" s="15" t="n"/>
      <c r="C588" s="16" t="n"/>
      <c r="D588" s="16" t="n"/>
      <c r="E588" s="21">
        <f>IF(AND(A588="",B588="",C588="",D588=""),"",IF(TRIM(C588)="",0,LEN(C588)-LEN(SUBSTITUTE(C588,",",""))+1))</f>
        <v/>
      </c>
      <c r="F588" s="21">
        <f>IF(AND(A588="",B588="",C588="",D588=""),"",IF(TRIM(D588)="",0,LEN(D588)-LEN(SUBSTITUTE(D588,",",""))+1))</f>
        <v/>
      </c>
      <c r="G588" s="21">
        <f>IF(B588="","",IF(COUNTIF($B$6:B588,B588)&gt;1,"중복",""))</f>
        <v/>
      </c>
      <c r="H588" s="21">
        <f>IF(AND(A588="",B588="",C588="",D588=""),"",IF(AND(E588&lt;=3,F588&lt;=3,G588=""),1,0))</f>
        <v/>
      </c>
      <c r="I588" s="22">
        <f>IF(H588=0,IF(G588="중복","제외: 같은 이메일 중복 응답","제외: 3개 넘게 선택"),"")</f>
        <v/>
      </c>
    </row>
    <row r="589">
      <c r="A589" s="15" t="n"/>
      <c r="B589" s="15" t="n"/>
      <c r="C589" s="16" t="n"/>
      <c r="D589" s="16" t="n"/>
      <c r="E589" s="21">
        <f>IF(AND(A589="",B589="",C589="",D589=""),"",IF(TRIM(C589)="",0,LEN(C589)-LEN(SUBSTITUTE(C589,",",""))+1))</f>
        <v/>
      </c>
      <c r="F589" s="21">
        <f>IF(AND(A589="",B589="",C589="",D589=""),"",IF(TRIM(D589)="",0,LEN(D589)-LEN(SUBSTITUTE(D589,",",""))+1))</f>
        <v/>
      </c>
      <c r="G589" s="21">
        <f>IF(B589="","",IF(COUNTIF($B$6:B589,B589)&gt;1,"중복",""))</f>
        <v/>
      </c>
      <c r="H589" s="21">
        <f>IF(AND(A589="",B589="",C589="",D589=""),"",IF(AND(E589&lt;=3,F589&lt;=3,G589=""),1,0))</f>
        <v/>
      </c>
      <c r="I589" s="22">
        <f>IF(H589=0,IF(G589="중복","제외: 같은 이메일 중복 응답","제외: 3개 넘게 선택"),"")</f>
        <v/>
      </c>
    </row>
    <row r="590">
      <c r="A590" s="15" t="n"/>
      <c r="B590" s="15" t="n"/>
      <c r="C590" s="16" t="n"/>
      <c r="D590" s="16" t="n"/>
      <c r="E590" s="21">
        <f>IF(AND(A590="",B590="",C590="",D590=""),"",IF(TRIM(C590)="",0,LEN(C590)-LEN(SUBSTITUTE(C590,",",""))+1))</f>
        <v/>
      </c>
      <c r="F590" s="21">
        <f>IF(AND(A590="",B590="",C590="",D590=""),"",IF(TRIM(D590)="",0,LEN(D590)-LEN(SUBSTITUTE(D590,",",""))+1))</f>
        <v/>
      </c>
      <c r="G590" s="21">
        <f>IF(B590="","",IF(COUNTIF($B$6:B590,B590)&gt;1,"중복",""))</f>
        <v/>
      </c>
      <c r="H590" s="21">
        <f>IF(AND(A590="",B590="",C590="",D590=""),"",IF(AND(E590&lt;=3,F590&lt;=3,G590=""),1,0))</f>
        <v/>
      </c>
      <c r="I590" s="22">
        <f>IF(H590=0,IF(G590="중복","제외: 같은 이메일 중복 응답","제외: 3개 넘게 선택"),"")</f>
        <v/>
      </c>
    </row>
    <row r="591">
      <c r="A591" s="15" t="n"/>
      <c r="B591" s="15" t="n"/>
      <c r="C591" s="16" t="n"/>
      <c r="D591" s="16" t="n"/>
      <c r="E591" s="21">
        <f>IF(AND(A591="",B591="",C591="",D591=""),"",IF(TRIM(C591)="",0,LEN(C591)-LEN(SUBSTITUTE(C591,",",""))+1))</f>
        <v/>
      </c>
      <c r="F591" s="21">
        <f>IF(AND(A591="",B591="",C591="",D591=""),"",IF(TRIM(D591)="",0,LEN(D591)-LEN(SUBSTITUTE(D591,",",""))+1))</f>
        <v/>
      </c>
      <c r="G591" s="21">
        <f>IF(B591="","",IF(COUNTIF($B$6:B591,B591)&gt;1,"중복",""))</f>
        <v/>
      </c>
      <c r="H591" s="21">
        <f>IF(AND(A591="",B591="",C591="",D591=""),"",IF(AND(E591&lt;=3,F591&lt;=3,G591=""),1,0))</f>
        <v/>
      </c>
      <c r="I591" s="22">
        <f>IF(H591=0,IF(G591="중복","제외: 같은 이메일 중복 응답","제외: 3개 넘게 선택"),"")</f>
        <v/>
      </c>
    </row>
    <row r="592">
      <c r="A592" s="15" t="n"/>
      <c r="B592" s="15" t="n"/>
      <c r="C592" s="16" t="n"/>
      <c r="D592" s="16" t="n"/>
      <c r="E592" s="21">
        <f>IF(AND(A592="",B592="",C592="",D592=""),"",IF(TRIM(C592)="",0,LEN(C592)-LEN(SUBSTITUTE(C592,",",""))+1))</f>
        <v/>
      </c>
      <c r="F592" s="21">
        <f>IF(AND(A592="",B592="",C592="",D592=""),"",IF(TRIM(D592)="",0,LEN(D592)-LEN(SUBSTITUTE(D592,",",""))+1))</f>
        <v/>
      </c>
      <c r="G592" s="21">
        <f>IF(B592="","",IF(COUNTIF($B$6:B592,B592)&gt;1,"중복",""))</f>
        <v/>
      </c>
      <c r="H592" s="21">
        <f>IF(AND(A592="",B592="",C592="",D592=""),"",IF(AND(E592&lt;=3,F592&lt;=3,G592=""),1,0))</f>
        <v/>
      </c>
      <c r="I592" s="22">
        <f>IF(H592=0,IF(G592="중복","제외: 같은 이메일 중복 응답","제외: 3개 넘게 선택"),"")</f>
        <v/>
      </c>
    </row>
    <row r="593">
      <c r="A593" s="15" t="n"/>
      <c r="B593" s="15" t="n"/>
      <c r="C593" s="16" t="n"/>
      <c r="D593" s="16" t="n"/>
      <c r="E593" s="21">
        <f>IF(AND(A593="",B593="",C593="",D593=""),"",IF(TRIM(C593)="",0,LEN(C593)-LEN(SUBSTITUTE(C593,",",""))+1))</f>
        <v/>
      </c>
      <c r="F593" s="21">
        <f>IF(AND(A593="",B593="",C593="",D593=""),"",IF(TRIM(D593)="",0,LEN(D593)-LEN(SUBSTITUTE(D593,",",""))+1))</f>
        <v/>
      </c>
      <c r="G593" s="21">
        <f>IF(B593="","",IF(COUNTIF($B$6:B593,B593)&gt;1,"중복",""))</f>
        <v/>
      </c>
      <c r="H593" s="21">
        <f>IF(AND(A593="",B593="",C593="",D593=""),"",IF(AND(E593&lt;=3,F593&lt;=3,G593=""),1,0))</f>
        <v/>
      </c>
      <c r="I593" s="22">
        <f>IF(H593=0,IF(G593="중복","제외: 같은 이메일 중복 응답","제외: 3개 넘게 선택"),"")</f>
        <v/>
      </c>
    </row>
    <row r="594">
      <c r="A594" s="15" t="n"/>
      <c r="B594" s="15" t="n"/>
      <c r="C594" s="16" t="n"/>
      <c r="D594" s="16" t="n"/>
      <c r="E594" s="21">
        <f>IF(AND(A594="",B594="",C594="",D594=""),"",IF(TRIM(C594)="",0,LEN(C594)-LEN(SUBSTITUTE(C594,",",""))+1))</f>
        <v/>
      </c>
      <c r="F594" s="21">
        <f>IF(AND(A594="",B594="",C594="",D594=""),"",IF(TRIM(D594)="",0,LEN(D594)-LEN(SUBSTITUTE(D594,",",""))+1))</f>
        <v/>
      </c>
      <c r="G594" s="21">
        <f>IF(B594="","",IF(COUNTIF($B$6:B594,B594)&gt;1,"중복",""))</f>
        <v/>
      </c>
      <c r="H594" s="21">
        <f>IF(AND(A594="",B594="",C594="",D594=""),"",IF(AND(E594&lt;=3,F594&lt;=3,G594=""),1,0))</f>
        <v/>
      </c>
      <c r="I594" s="22">
        <f>IF(H594=0,IF(G594="중복","제외: 같은 이메일 중복 응답","제외: 3개 넘게 선택"),"")</f>
        <v/>
      </c>
    </row>
    <row r="595">
      <c r="A595" s="15" t="n"/>
      <c r="B595" s="15" t="n"/>
      <c r="C595" s="16" t="n"/>
      <c r="D595" s="16" t="n"/>
      <c r="E595" s="21">
        <f>IF(AND(A595="",B595="",C595="",D595=""),"",IF(TRIM(C595)="",0,LEN(C595)-LEN(SUBSTITUTE(C595,",",""))+1))</f>
        <v/>
      </c>
      <c r="F595" s="21">
        <f>IF(AND(A595="",B595="",C595="",D595=""),"",IF(TRIM(D595)="",0,LEN(D595)-LEN(SUBSTITUTE(D595,",",""))+1))</f>
        <v/>
      </c>
      <c r="G595" s="21">
        <f>IF(B595="","",IF(COUNTIF($B$6:B595,B595)&gt;1,"중복",""))</f>
        <v/>
      </c>
      <c r="H595" s="21">
        <f>IF(AND(A595="",B595="",C595="",D595=""),"",IF(AND(E595&lt;=3,F595&lt;=3,G595=""),1,0))</f>
        <v/>
      </c>
      <c r="I595" s="22">
        <f>IF(H595=0,IF(G595="중복","제외: 같은 이메일 중복 응답","제외: 3개 넘게 선택"),"")</f>
        <v/>
      </c>
    </row>
    <row r="596">
      <c r="A596" s="15" t="n"/>
      <c r="B596" s="15" t="n"/>
      <c r="C596" s="16" t="n"/>
      <c r="D596" s="16" t="n"/>
      <c r="E596" s="21">
        <f>IF(AND(A596="",B596="",C596="",D596=""),"",IF(TRIM(C596)="",0,LEN(C596)-LEN(SUBSTITUTE(C596,",",""))+1))</f>
        <v/>
      </c>
      <c r="F596" s="21">
        <f>IF(AND(A596="",B596="",C596="",D596=""),"",IF(TRIM(D596)="",0,LEN(D596)-LEN(SUBSTITUTE(D596,",",""))+1))</f>
        <v/>
      </c>
      <c r="G596" s="21">
        <f>IF(B596="","",IF(COUNTIF($B$6:B596,B596)&gt;1,"중복",""))</f>
        <v/>
      </c>
      <c r="H596" s="21">
        <f>IF(AND(A596="",B596="",C596="",D596=""),"",IF(AND(E596&lt;=3,F596&lt;=3,G596=""),1,0))</f>
        <v/>
      </c>
      <c r="I596" s="22">
        <f>IF(H596=0,IF(G596="중복","제외: 같은 이메일 중복 응답","제외: 3개 넘게 선택"),"")</f>
        <v/>
      </c>
    </row>
    <row r="597">
      <c r="A597" s="15" t="n"/>
      <c r="B597" s="15" t="n"/>
      <c r="C597" s="16" t="n"/>
      <c r="D597" s="16" t="n"/>
      <c r="E597" s="21">
        <f>IF(AND(A597="",B597="",C597="",D597=""),"",IF(TRIM(C597)="",0,LEN(C597)-LEN(SUBSTITUTE(C597,",",""))+1))</f>
        <v/>
      </c>
      <c r="F597" s="21">
        <f>IF(AND(A597="",B597="",C597="",D597=""),"",IF(TRIM(D597)="",0,LEN(D597)-LEN(SUBSTITUTE(D597,",",""))+1))</f>
        <v/>
      </c>
      <c r="G597" s="21">
        <f>IF(B597="","",IF(COUNTIF($B$6:B597,B597)&gt;1,"중복",""))</f>
        <v/>
      </c>
      <c r="H597" s="21">
        <f>IF(AND(A597="",B597="",C597="",D597=""),"",IF(AND(E597&lt;=3,F597&lt;=3,G597=""),1,0))</f>
        <v/>
      </c>
      <c r="I597" s="22">
        <f>IF(H597=0,IF(G597="중복","제외: 같은 이메일 중복 응답","제외: 3개 넘게 선택"),"")</f>
        <v/>
      </c>
    </row>
    <row r="598">
      <c r="A598" s="15" t="n"/>
      <c r="B598" s="15" t="n"/>
      <c r="C598" s="16" t="n"/>
      <c r="D598" s="16" t="n"/>
      <c r="E598" s="21">
        <f>IF(AND(A598="",B598="",C598="",D598=""),"",IF(TRIM(C598)="",0,LEN(C598)-LEN(SUBSTITUTE(C598,",",""))+1))</f>
        <v/>
      </c>
      <c r="F598" s="21">
        <f>IF(AND(A598="",B598="",C598="",D598=""),"",IF(TRIM(D598)="",0,LEN(D598)-LEN(SUBSTITUTE(D598,",",""))+1))</f>
        <v/>
      </c>
      <c r="G598" s="21">
        <f>IF(B598="","",IF(COUNTIF($B$6:B598,B598)&gt;1,"중복",""))</f>
        <v/>
      </c>
      <c r="H598" s="21">
        <f>IF(AND(A598="",B598="",C598="",D598=""),"",IF(AND(E598&lt;=3,F598&lt;=3,G598=""),1,0))</f>
        <v/>
      </c>
      <c r="I598" s="22">
        <f>IF(H598=0,IF(G598="중복","제외: 같은 이메일 중복 응답","제외: 3개 넘게 선택"),"")</f>
        <v/>
      </c>
    </row>
    <row r="599">
      <c r="A599" s="15" t="n"/>
      <c r="B599" s="15" t="n"/>
      <c r="C599" s="16" t="n"/>
      <c r="D599" s="16" t="n"/>
      <c r="E599" s="21">
        <f>IF(AND(A599="",B599="",C599="",D599=""),"",IF(TRIM(C599)="",0,LEN(C599)-LEN(SUBSTITUTE(C599,",",""))+1))</f>
        <v/>
      </c>
      <c r="F599" s="21">
        <f>IF(AND(A599="",B599="",C599="",D599=""),"",IF(TRIM(D599)="",0,LEN(D599)-LEN(SUBSTITUTE(D599,",",""))+1))</f>
        <v/>
      </c>
      <c r="G599" s="21">
        <f>IF(B599="","",IF(COUNTIF($B$6:B599,B599)&gt;1,"중복",""))</f>
        <v/>
      </c>
      <c r="H599" s="21">
        <f>IF(AND(A599="",B599="",C599="",D599=""),"",IF(AND(E599&lt;=3,F599&lt;=3,G599=""),1,0))</f>
        <v/>
      </c>
      <c r="I599" s="22">
        <f>IF(H599=0,IF(G599="중복","제외: 같은 이메일 중복 응답","제외: 3개 넘게 선택"),"")</f>
        <v/>
      </c>
    </row>
    <row r="600">
      <c r="A600" s="15" t="n"/>
      <c r="B600" s="15" t="n"/>
      <c r="C600" s="16" t="n"/>
      <c r="D600" s="16" t="n"/>
      <c r="E600" s="21">
        <f>IF(AND(A600="",B600="",C600="",D600=""),"",IF(TRIM(C600)="",0,LEN(C600)-LEN(SUBSTITUTE(C600,",",""))+1))</f>
        <v/>
      </c>
      <c r="F600" s="21">
        <f>IF(AND(A600="",B600="",C600="",D600=""),"",IF(TRIM(D600)="",0,LEN(D600)-LEN(SUBSTITUTE(D600,",",""))+1))</f>
        <v/>
      </c>
      <c r="G600" s="21">
        <f>IF(B600="","",IF(COUNTIF($B$6:B600,B600)&gt;1,"중복",""))</f>
        <v/>
      </c>
      <c r="H600" s="21">
        <f>IF(AND(A600="",B600="",C600="",D600=""),"",IF(AND(E600&lt;=3,F600&lt;=3,G600=""),1,0))</f>
        <v/>
      </c>
      <c r="I600" s="22">
        <f>IF(H600=0,IF(G600="중복","제외: 같은 이메일 중복 응답","제외: 3개 넘게 선택"),"")</f>
        <v/>
      </c>
    </row>
    <row r="601">
      <c r="A601" s="15" t="n"/>
      <c r="B601" s="15" t="n"/>
      <c r="C601" s="16" t="n"/>
      <c r="D601" s="16" t="n"/>
      <c r="E601" s="21">
        <f>IF(AND(A601="",B601="",C601="",D601=""),"",IF(TRIM(C601)="",0,LEN(C601)-LEN(SUBSTITUTE(C601,",",""))+1))</f>
        <v/>
      </c>
      <c r="F601" s="21">
        <f>IF(AND(A601="",B601="",C601="",D601=""),"",IF(TRIM(D601)="",0,LEN(D601)-LEN(SUBSTITUTE(D601,",",""))+1))</f>
        <v/>
      </c>
      <c r="G601" s="21">
        <f>IF(B601="","",IF(COUNTIF($B$6:B601,B601)&gt;1,"중복",""))</f>
        <v/>
      </c>
      <c r="H601" s="21">
        <f>IF(AND(A601="",B601="",C601="",D601=""),"",IF(AND(E601&lt;=3,F601&lt;=3,G601=""),1,0))</f>
        <v/>
      </c>
      <c r="I601" s="22">
        <f>IF(H601=0,IF(G601="중복","제외: 같은 이메일 중복 응답","제외: 3개 넘게 선택"),"")</f>
        <v/>
      </c>
    </row>
    <row r="602">
      <c r="A602" s="15" t="n"/>
      <c r="B602" s="15" t="n"/>
      <c r="C602" s="16" t="n"/>
      <c r="D602" s="16" t="n"/>
      <c r="E602" s="21">
        <f>IF(AND(A602="",B602="",C602="",D602=""),"",IF(TRIM(C602)="",0,LEN(C602)-LEN(SUBSTITUTE(C602,",",""))+1))</f>
        <v/>
      </c>
      <c r="F602" s="21">
        <f>IF(AND(A602="",B602="",C602="",D602=""),"",IF(TRIM(D602)="",0,LEN(D602)-LEN(SUBSTITUTE(D602,",",""))+1))</f>
        <v/>
      </c>
      <c r="G602" s="21">
        <f>IF(B602="","",IF(COUNTIF($B$6:B602,B602)&gt;1,"중복",""))</f>
        <v/>
      </c>
      <c r="H602" s="21">
        <f>IF(AND(A602="",B602="",C602="",D602=""),"",IF(AND(E602&lt;=3,F602&lt;=3,G602=""),1,0))</f>
        <v/>
      </c>
      <c r="I602" s="22">
        <f>IF(H602=0,IF(G602="중복","제외: 같은 이메일 중복 응답","제외: 3개 넘게 선택"),"")</f>
        <v/>
      </c>
    </row>
    <row r="603">
      <c r="A603" s="15" t="n"/>
      <c r="B603" s="15" t="n"/>
      <c r="C603" s="16" t="n"/>
      <c r="D603" s="16" t="n"/>
      <c r="E603" s="21">
        <f>IF(AND(A603="",B603="",C603="",D603=""),"",IF(TRIM(C603)="",0,LEN(C603)-LEN(SUBSTITUTE(C603,",",""))+1))</f>
        <v/>
      </c>
      <c r="F603" s="21">
        <f>IF(AND(A603="",B603="",C603="",D603=""),"",IF(TRIM(D603)="",0,LEN(D603)-LEN(SUBSTITUTE(D603,",",""))+1))</f>
        <v/>
      </c>
      <c r="G603" s="21">
        <f>IF(B603="","",IF(COUNTIF($B$6:B603,B603)&gt;1,"중복",""))</f>
        <v/>
      </c>
      <c r="H603" s="21">
        <f>IF(AND(A603="",B603="",C603="",D603=""),"",IF(AND(E603&lt;=3,F603&lt;=3,G603=""),1,0))</f>
        <v/>
      </c>
      <c r="I603" s="22">
        <f>IF(H603=0,IF(G603="중복","제외: 같은 이메일 중복 응답","제외: 3개 넘게 선택"),"")</f>
        <v/>
      </c>
    </row>
    <row r="604">
      <c r="A604" s="15" t="n"/>
      <c r="B604" s="15" t="n"/>
      <c r="C604" s="16" t="n"/>
      <c r="D604" s="16" t="n"/>
      <c r="E604" s="21">
        <f>IF(AND(A604="",B604="",C604="",D604=""),"",IF(TRIM(C604)="",0,LEN(C604)-LEN(SUBSTITUTE(C604,",",""))+1))</f>
        <v/>
      </c>
      <c r="F604" s="21">
        <f>IF(AND(A604="",B604="",C604="",D604=""),"",IF(TRIM(D604)="",0,LEN(D604)-LEN(SUBSTITUTE(D604,",",""))+1))</f>
        <v/>
      </c>
      <c r="G604" s="21">
        <f>IF(B604="","",IF(COUNTIF($B$6:B604,B604)&gt;1,"중복",""))</f>
        <v/>
      </c>
      <c r="H604" s="21">
        <f>IF(AND(A604="",B604="",C604="",D604=""),"",IF(AND(E604&lt;=3,F604&lt;=3,G604=""),1,0))</f>
        <v/>
      </c>
      <c r="I604" s="22">
        <f>IF(H604=0,IF(G604="중복","제외: 같은 이메일 중복 응답","제외: 3개 넘게 선택"),"")</f>
        <v/>
      </c>
    </row>
    <row r="605">
      <c r="A605" s="15" t="n"/>
      <c r="B605" s="15" t="n"/>
      <c r="C605" s="16" t="n"/>
      <c r="D605" s="16" t="n"/>
      <c r="E605" s="21">
        <f>IF(AND(A605="",B605="",C605="",D605=""),"",IF(TRIM(C605)="",0,LEN(C605)-LEN(SUBSTITUTE(C605,",",""))+1))</f>
        <v/>
      </c>
      <c r="F605" s="21">
        <f>IF(AND(A605="",B605="",C605="",D605=""),"",IF(TRIM(D605)="",0,LEN(D605)-LEN(SUBSTITUTE(D605,",",""))+1))</f>
        <v/>
      </c>
      <c r="G605" s="21">
        <f>IF(B605="","",IF(COUNTIF($B$6:B605,B605)&gt;1,"중복",""))</f>
        <v/>
      </c>
      <c r="H605" s="21">
        <f>IF(AND(A605="",B605="",C605="",D605=""),"",IF(AND(E605&lt;=3,F605&lt;=3,G605=""),1,0))</f>
        <v/>
      </c>
      <c r="I605" s="22">
        <f>IF(H605=0,IF(G605="중복","제외: 같은 이메일 중복 응답","제외: 3개 넘게 선택"),"")</f>
        <v/>
      </c>
    </row>
    <row r="606">
      <c r="A606" s="15" t="n"/>
      <c r="B606" s="15" t="n"/>
      <c r="C606" s="16" t="n"/>
      <c r="D606" s="16" t="n"/>
      <c r="E606" s="21">
        <f>IF(AND(A606="",B606="",C606="",D606=""),"",IF(TRIM(C606)="",0,LEN(C606)-LEN(SUBSTITUTE(C606,",",""))+1))</f>
        <v/>
      </c>
      <c r="F606" s="21">
        <f>IF(AND(A606="",B606="",C606="",D606=""),"",IF(TRIM(D606)="",0,LEN(D606)-LEN(SUBSTITUTE(D606,",",""))+1))</f>
        <v/>
      </c>
      <c r="G606" s="21">
        <f>IF(B606="","",IF(COUNTIF($B$6:B606,B606)&gt;1,"중복",""))</f>
        <v/>
      </c>
      <c r="H606" s="21">
        <f>IF(AND(A606="",B606="",C606="",D606=""),"",IF(AND(E606&lt;=3,F606&lt;=3,G606=""),1,0))</f>
        <v/>
      </c>
      <c r="I606" s="22">
        <f>IF(H606=0,IF(G606="중복","제외: 같은 이메일 중복 응답","제외: 3개 넘게 선택"),"")</f>
        <v/>
      </c>
    </row>
    <row r="607">
      <c r="A607" s="15" t="n"/>
      <c r="B607" s="15" t="n"/>
      <c r="C607" s="16" t="n"/>
      <c r="D607" s="16" t="n"/>
      <c r="E607" s="21">
        <f>IF(AND(A607="",B607="",C607="",D607=""),"",IF(TRIM(C607)="",0,LEN(C607)-LEN(SUBSTITUTE(C607,",",""))+1))</f>
        <v/>
      </c>
      <c r="F607" s="21">
        <f>IF(AND(A607="",B607="",C607="",D607=""),"",IF(TRIM(D607)="",0,LEN(D607)-LEN(SUBSTITUTE(D607,",",""))+1))</f>
        <v/>
      </c>
      <c r="G607" s="21">
        <f>IF(B607="","",IF(COUNTIF($B$6:B607,B607)&gt;1,"중복",""))</f>
        <v/>
      </c>
      <c r="H607" s="21">
        <f>IF(AND(A607="",B607="",C607="",D607=""),"",IF(AND(E607&lt;=3,F607&lt;=3,G607=""),1,0))</f>
        <v/>
      </c>
      <c r="I607" s="22">
        <f>IF(H607=0,IF(G607="중복","제외: 같은 이메일 중복 응답","제외: 3개 넘게 선택"),"")</f>
        <v/>
      </c>
    </row>
    <row r="608">
      <c r="A608" s="15" t="n"/>
      <c r="B608" s="15" t="n"/>
      <c r="C608" s="16" t="n"/>
      <c r="D608" s="16" t="n"/>
      <c r="E608" s="21">
        <f>IF(AND(A608="",B608="",C608="",D608=""),"",IF(TRIM(C608)="",0,LEN(C608)-LEN(SUBSTITUTE(C608,",",""))+1))</f>
        <v/>
      </c>
      <c r="F608" s="21">
        <f>IF(AND(A608="",B608="",C608="",D608=""),"",IF(TRIM(D608)="",0,LEN(D608)-LEN(SUBSTITUTE(D608,",",""))+1))</f>
        <v/>
      </c>
      <c r="G608" s="21">
        <f>IF(B608="","",IF(COUNTIF($B$6:B608,B608)&gt;1,"중복",""))</f>
        <v/>
      </c>
      <c r="H608" s="21">
        <f>IF(AND(A608="",B608="",C608="",D608=""),"",IF(AND(E608&lt;=3,F608&lt;=3,G608=""),1,0))</f>
        <v/>
      </c>
      <c r="I608" s="22">
        <f>IF(H608=0,IF(G608="중복","제외: 같은 이메일 중복 응답","제외: 3개 넘게 선택"),"")</f>
        <v/>
      </c>
    </row>
    <row r="609">
      <c r="A609" s="15" t="n"/>
      <c r="B609" s="15" t="n"/>
      <c r="C609" s="16" t="n"/>
      <c r="D609" s="16" t="n"/>
      <c r="E609" s="21">
        <f>IF(AND(A609="",B609="",C609="",D609=""),"",IF(TRIM(C609)="",0,LEN(C609)-LEN(SUBSTITUTE(C609,",",""))+1))</f>
        <v/>
      </c>
      <c r="F609" s="21">
        <f>IF(AND(A609="",B609="",C609="",D609=""),"",IF(TRIM(D609)="",0,LEN(D609)-LEN(SUBSTITUTE(D609,",",""))+1))</f>
        <v/>
      </c>
      <c r="G609" s="21">
        <f>IF(B609="","",IF(COUNTIF($B$6:B609,B609)&gt;1,"중복",""))</f>
        <v/>
      </c>
      <c r="H609" s="21">
        <f>IF(AND(A609="",B609="",C609="",D609=""),"",IF(AND(E609&lt;=3,F609&lt;=3,G609=""),1,0))</f>
        <v/>
      </c>
      <c r="I609" s="22">
        <f>IF(H609=0,IF(G609="중복","제외: 같은 이메일 중복 응답","제외: 3개 넘게 선택"),"")</f>
        <v/>
      </c>
    </row>
    <row r="610">
      <c r="A610" s="15" t="n"/>
      <c r="B610" s="15" t="n"/>
      <c r="C610" s="16" t="n"/>
      <c r="D610" s="16" t="n"/>
      <c r="E610" s="21">
        <f>IF(AND(A610="",B610="",C610="",D610=""),"",IF(TRIM(C610)="",0,LEN(C610)-LEN(SUBSTITUTE(C610,",",""))+1))</f>
        <v/>
      </c>
      <c r="F610" s="21">
        <f>IF(AND(A610="",B610="",C610="",D610=""),"",IF(TRIM(D610)="",0,LEN(D610)-LEN(SUBSTITUTE(D610,",",""))+1))</f>
        <v/>
      </c>
      <c r="G610" s="21">
        <f>IF(B610="","",IF(COUNTIF($B$6:B610,B610)&gt;1,"중복",""))</f>
        <v/>
      </c>
      <c r="H610" s="21">
        <f>IF(AND(A610="",B610="",C610="",D610=""),"",IF(AND(E610&lt;=3,F610&lt;=3,G610=""),1,0))</f>
        <v/>
      </c>
      <c r="I610" s="22">
        <f>IF(H610=0,IF(G610="중복","제외: 같은 이메일 중복 응답","제외: 3개 넘게 선택"),"")</f>
        <v/>
      </c>
    </row>
    <row r="611">
      <c r="A611" s="15" t="n"/>
      <c r="B611" s="15" t="n"/>
      <c r="C611" s="16" t="n"/>
      <c r="D611" s="16" t="n"/>
      <c r="E611" s="21">
        <f>IF(AND(A611="",B611="",C611="",D611=""),"",IF(TRIM(C611)="",0,LEN(C611)-LEN(SUBSTITUTE(C611,",",""))+1))</f>
        <v/>
      </c>
      <c r="F611" s="21">
        <f>IF(AND(A611="",B611="",C611="",D611=""),"",IF(TRIM(D611)="",0,LEN(D611)-LEN(SUBSTITUTE(D611,",",""))+1))</f>
        <v/>
      </c>
      <c r="G611" s="21">
        <f>IF(B611="","",IF(COUNTIF($B$6:B611,B611)&gt;1,"중복",""))</f>
        <v/>
      </c>
      <c r="H611" s="21">
        <f>IF(AND(A611="",B611="",C611="",D611=""),"",IF(AND(E611&lt;=3,F611&lt;=3,G611=""),1,0))</f>
        <v/>
      </c>
      <c r="I611" s="22">
        <f>IF(H611=0,IF(G611="중복","제외: 같은 이메일 중복 응답","제외: 3개 넘게 선택"),"")</f>
        <v/>
      </c>
    </row>
    <row r="612">
      <c r="A612" s="15" t="n"/>
      <c r="B612" s="15" t="n"/>
      <c r="C612" s="16" t="n"/>
      <c r="D612" s="16" t="n"/>
      <c r="E612" s="21">
        <f>IF(AND(A612="",B612="",C612="",D612=""),"",IF(TRIM(C612)="",0,LEN(C612)-LEN(SUBSTITUTE(C612,",",""))+1))</f>
        <v/>
      </c>
      <c r="F612" s="21">
        <f>IF(AND(A612="",B612="",C612="",D612=""),"",IF(TRIM(D612)="",0,LEN(D612)-LEN(SUBSTITUTE(D612,",",""))+1))</f>
        <v/>
      </c>
      <c r="G612" s="21">
        <f>IF(B612="","",IF(COUNTIF($B$6:B612,B612)&gt;1,"중복",""))</f>
        <v/>
      </c>
      <c r="H612" s="21">
        <f>IF(AND(A612="",B612="",C612="",D612=""),"",IF(AND(E612&lt;=3,F612&lt;=3,G612=""),1,0))</f>
        <v/>
      </c>
      <c r="I612" s="22">
        <f>IF(H612=0,IF(G612="중복","제외: 같은 이메일 중복 응답","제외: 3개 넘게 선택"),"")</f>
        <v/>
      </c>
    </row>
    <row r="613">
      <c r="A613" s="15" t="n"/>
      <c r="B613" s="15" t="n"/>
      <c r="C613" s="16" t="n"/>
      <c r="D613" s="16" t="n"/>
      <c r="E613" s="21">
        <f>IF(AND(A613="",B613="",C613="",D613=""),"",IF(TRIM(C613)="",0,LEN(C613)-LEN(SUBSTITUTE(C613,",",""))+1))</f>
        <v/>
      </c>
      <c r="F613" s="21">
        <f>IF(AND(A613="",B613="",C613="",D613=""),"",IF(TRIM(D613)="",0,LEN(D613)-LEN(SUBSTITUTE(D613,",",""))+1))</f>
        <v/>
      </c>
      <c r="G613" s="21">
        <f>IF(B613="","",IF(COUNTIF($B$6:B613,B613)&gt;1,"중복",""))</f>
        <v/>
      </c>
      <c r="H613" s="21">
        <f>IF(AND(A613="",B613="",C613="",D613=""),"",IF(AND(E613&lt;=3,F613&lt;=3,G613=""),1,0))</f>
        <v/>
      </c>
      <c r="I613" s="22">
        <f>IF(H613=0,IF(G613="중복","제외: 같은 이메일 중복 응답","제외: 3개 넘게 선택"),"")</f>
        <v/>
      </c>
    </row>
    <row r="614">
      <c r="A614" s="15" t="n"/>
      <c r="B614" s="15" t="n"/>
      <c r="C614" s="16" t="n"/>
      <c r="D614" s="16" t="n"/>
      <c r="E614" s="21">
        <f>IF(AND(A614="",B614="",C614="",D614=""),"",IF(TRIM(C614)="",0,LEN(C614)-LEN(SUBSTITUTE(C614,",",""))+1))</f>
        <v/>
      </c>
      <c r="F614" s="21">
        <f>IF(AND(A614="",B614="",C614="",D614=""),"",IF(TRIM(D614)="",0,LEN(D614)-LEN(SUBSTITUTE(D614,",",""))+1))</f>
        <v/>
      </c>
      <c r="G614" s="21">
        <f>IF(B614="","",IF(COUNTIF($B$6:B614,B614)&gt;1,"중복",""))</f>
        <v/>
      </c>
      <c r="H614" s="21">
        <f>IF(AND(A614="",B614="",C614="",D614=""),"",IF(AND(E614&lt;=3,F614&lt;=3,G614=""),1,0))</f>
        <v/>
      </c>
      <c r="I614" s="22">
        <f>IF(H614=0,IF(G614="중복","제외: 같은 이메일 중복 응답","제외: 3개 넘게 선택"),"")</f>
        <v/>
      </c>
    </row>
    <row r="615">
      <c r="A615" s="15" t="n"/>
      <c r="B615" s="15" t="n"/>
      <c r="C615" s="16" t="n"/>
      <c r="D615" s="16" t="n"/>
      <c r="E615" s="21">
        <f>IF(AND(A615="",B615="",C615="",D615=""),"",IF(TRIM(C615)="",0,LEN(C615)-LEN(SUBSTITUTE(C615,",",""))+1))</f>
        <v/>
      </c>
      <c r="F615" s="21">
        <f>IF(AND(A615="",B615="",C615="",D615=""),"",IF(TRIM(D615)="",0,LEN(D615)-LEN(SUBSTITUTE(D615,",",""))+1))</f>
        <v/>
      </c>
      <c r="G615" s="21">
        <f>IF(B615="","",IF(COUNTIF($B$6:B615,B615)&gt;1,"중복",""))</f>
        <v/>
      </c>
      <c r="H615" s="21">
        <f>IF(AND(A615="",B615="",C615="",D615=""),"",IF(AND(E615&lt;=3,F615&lt;=3,G615=""),1,0))</f>
        <v/>
      </c>
      <c r="I615" s="22">
        <f>IF(H615=0,IF(G615="중복","제외: 같은 이메일 중복 응답","제외: 3개 넘게 선택"),"")</f>
        <v/>
      </c>
    </row>
    <row r="616">
      <c r="A616" s="15" t="n"/>
      <c r="B616" s="15" t="n"/>
      <c r="C616" s="16" t="n"/>
      <c r="D616" s="16" t="n"/>
      <c r="E616" s="21">
        <f>IF(AND(A616="",B616="",C616="",D616=""),"",IF(TRIM(C616)="",0,LEN(C616)-LEN(SUBSTITUTE(C616,",",""))+1))</f>
        <v/>
      </c>
      <c r="F616" s="21">
        <f>IF(AND(A616="",B616="",C616="",D616=""),"",IF(TRIM(D616)="",0,LEN(D616)-LEN(SUBSTITUTE(D616,",",""))+1))</f>
        <v/>
      </c>
      <c r="G616" s="21">
        <f>IF(B616="","",IF(COUNTIF($B$6:B616,B616)&gt;1,"중복",""))</f>
        <v/>
      </c>
      <c r="H616" s="21">
        <f>IF(AND(A616="",B616="",C616="",D616=""),"",IF(AND(E616&lt;=3,F616&lt;=3,G616=""),1,0))</f>
        <v/>
      </c>
      <c r="I616" s="22">
        <f>IF(H616=0,IF(G616="중복","제외: 같은 이메일 중복 응답","제외: 3개 넘게 선택"),"")</f>
        <v/>
      </c>
    </row>
    <row r="617">
      <c r="A617" s="15" t="n"/>
      <c r="B617" s="15" t="n"/>
      <c r="C617" s="16" t="n"/>
      <c r="D617" s="16" t="n"/>
      <c r="E617" s="21">
        <f>IF(AND(A617="",B617="",C617="",D617=""),"",IF(TRIM(C617)="",0,LEN(C617)-LEN(SUBSTITUTE(C617,",",""))+1))</f>
        <v/>
      </c>
      <c r="F617" s="21">
        <f>IF(AND(A617="",B617="",C617="",D617=""),"",IF(TRIM(D617)="",0,LEN(D617)-LEN(SUBSTITUTE(D617,",",""))+1))</f>
        <v/>
      </c>
      <c r="G617" s="21">
        <f>IF(B617="","",IF(COUNTIF($B$6:B617,B617)&gt;1,"중복",""))</f>
        <v/>
      </c>
      <c r="H617" s="21">
        <f>IF(AND(A617="",B617="",C617="",D617=""),"",IF(AND(E617&lt;=3,F617&lt;=3,G617=""),1,0))</f>
        <v/>
      </c>
      <c r="I617" s="22">
        <f>IF(H617=0,IF(G617="중복","제외: 같은 이메일 중복 응답","제외: 3개 넘게 선택"),"")</f>
        <v/>
      </c>
    </row>
    <row r="618">
      <c r="A618" s="15" t="n"/>
      <c r="B618" s="15" t="n"/>
      <c r="C618" s="16" t="n"/>
      <c r="D618" s="16" t="n"/>
      <c r="E618" s="21">
        <f>IF(AND(A618="",B618="",C618="",D618=""),"",IF(TRIM(C618)="",0,LEN(C618)-LEN(SUBSTITUTE(C618,",",""))+1))</f>
        <v/>
      </c>
      <c r="F618" s="21">
        <f>IF(AND(A618="",B618="",C618="",D618=""),"",IF(TRIM(D618)="",0,LEN(D618)-LEN(SUBSTITUTE(D618,",",""))+1))</f>
        <v/>
      </c>
      <c r="G618" s="21">
        <f>IF(B618="","",IF(COUNTIF($B$6:B618,B618)&gt;1,"중복",""))</f>
        <v/>
      </c>
      <c r="H618" s="21">
        <f>IF(AND(A618="",B618="",C618="",D618=""),"",IF(AND(E618&lt;=3,F618&lt;=3,G618=""),1,0))</f>
        <v/>
      </c>
      <c r="I618" s="22">
        <f>IF(H618=0,IF(G618="중복","제외: 같은 이메일 중복 응답","제외: 3개 넘게 선택"),"")</f>
        <v/>
      </c>
    </row>
    <row r="619">
      <c r="A619" s="15" t="n"/>
      <c r="B619" s="15" t="n"/>
      <c r="C619" s="16" t="n"/>
      <c r="D619" s="16" t="n"/>
      <c r="E619" s="21">
        <f>IF(AND(A619="",B619="",C619="",D619=""),"",IF(TRIM(C619)="",0,LEN(C619)-LEN(SUBSTITUTE(C619,",",""))+1))</f>
        <v/>
      </c>
      <c r="F619" s="21">
        <f>IF(AND(A619="",B619="",C619="",D619=""),"",IF(TRIM(D619)="",0,LEN(D619)-LEN(SUBSTITUTE(D619,",",""))+1))</f>
        <v/>
      </c>
      <c r="G619" s="21">
        <f>IF(B619="","",IF(COUNTIF($B$6:B619,B619)&gt;1,"중복",""))</f>
        <v/>
      </c>
      <c r="H619" s="21">
        <f>IF(AND(A619="",B619="",C619="",D619=""),"",IF(AND(E619&lt;=3,F619&lt;=3,G619=""),1,0))</f>
        <v/>
      </c>
      <c r="I619" s="22">
        <f>IF(H619=0,IF(G619="중복","제외: 같은 이메일 중복 응답","제외: 3개 넘게 선택"),"")</f>
        <v/>
      </c>
    </row>
    <row r="620">
      <c r="A620" s="15" t="n"/>
      <c r="B620" s="15" t="n"/>
      <c r="C620" s="16" t="n"/>
      <c r="D620" s="16" t="n"/>
      <c r="E620" s="21">
        <f>IF(AND(A620="",B620="",C620="",D620=""),"",IF(TRIM(C620)="",0,LEN(C620)-LEN(SUBSTITUTE(C620,",",""))+1))</f>
        <v/>
      </c>
      <c r="F620" s="21">
        <f>IF(AND(A620="",B620="",C620="",D620=""),"",IF(TRIM(D620)="",0,LEN(D620)-LEN(SUBSTITUTE(D620,",",""))+1))</f>
        <v/>
      </c>
      <c r="G620" s="21">
        <f>IF(B620="","",IF(COUNTIF($B$6:B620,B620)&gt;1,"중복",""))</f>
        <v/>
      </c>
      <c r="H620" s="21">
        <f>IF(AND(A620="",B620="",C620="",D620=""),"",IF(AND(E620&lt;=3,F620&lt;=3,G620=""),1,0))</f>
        <v/>
      </c>
      <c r="I620" s="22">
        <f>IF(H620=0,IF(G620="중복","제외: 같은 이메일 중복 응답","제외: 3개 넘게 선택"),"")</f>
        <v/>
      </c>
    </row>
    <row r="621">
      <c r="A621" s="15" t="n"/>
      <c r="B621" s="15" t="n"/>
      <c r="C621" s="16" t="n"/>
      <c r="D621" s="16" t="n"/>
      <c r="E621" s="21">
        <f>IF(AND(A621="",B621="",C621="",D621=""),"",IF(TRIM(C621)="",0,LEN(C621)-LEN(SUBSTITUTE(C621,",",""))+1))</f>
        <v/>
      </c>
      <c r="F621" s="21">
        <f>IF(AND(A621="",B621="",C621="",D621=""),"",IF(TRIM(D621)="",0,LEN(D621)-LEN(SUBSTITUTE(D621,",",""))+1))</f>
        <v/>
      </c>
      <c r="G621" s="21">
        <f>IF(B621="","",IF(COUNTIF($B$6:B621,B621)&gt;1,"중복",""))</f>
        <v/>
      </c>
      <c r="H621" s="21">
        <f>IF(AND(A621="",B621="",C621="",D621=""),"",IF(AND(E621&lt;=3,F621&lt;=3,G621=""),1,0))</f>
        <v/>
      </c>
      <c r="I621" s="22">
        <f>IF(H621=0,IF(G621="중복","제외: 같은 이메일 중복 응답","제외: 3개 넘게 선택"),"")</f>
        <v/>
      </c>
    </row>
    <row r="622">
      <c r="A622" s="15" t="n"/>
      <c r="B622" s="15" t="n"/>
      <c r="C622" s="16" t="n"/>
      <c r="D622" s="16" t="n"/>
      <c r="E622" s="21">
        <f>IF(AND(A622="",B622="",C622="",D622=""),"",IF(TRIM(C622)="",0,LEN(C622)-LEN(SUBSTITUTE(C622,",",""))+1))</f>
        <v/>
      </c>
      <c r="F622" s="21">
        <f>IF(AND(A622="",B622="",C622="",D622=""),"",IF(TRIM(D622)="",0,LEN(D622)-LEN(SUBSTITUTE(D622,",",""))+1))</f>
        <v/>
      </c>
      <c r="G622" s="21">
        <f>IF(B622="","",IF(COUNTIF($B$6:B622,B622)&gt;1,"중복",""))</f>
        <v/>
      </c>
      <c r="H622" s="21">
        <f>IF(AND(A622="",B622="",C622="",D622=""),"",IF(AND(E622&lt;=3,F622&lt;=3,G622=""),1,0))</f>
        <v/>
      </c>
      <c r="I622" s="22">
        <f>IF(H622=0,IF(G622="중복","제외: 같은 이메일 중복 응답","제외: 3개 넘게 선택"),"")</f>
        <v/>
      </c>
    </row>
    <row r="623">
      <c r="A623" s="15" t="n"/>
      <c r="B623" s="15" t="n"/>
      <c r="C623" s="16" t="n"/>
      <c r="D623" s="16" t="n"/>
      <c r="E623" s="21">
        <f>IF(AND(A623="",B623="",C623="",D623=""),"",IF(TRIM(C623)="",0,LEN(C623)-LEN(SUBSTITUTE(C623,",",""))+1))</f>
        <v/>
      </c>
      <c r="F623" s="21">
        <f>IF(AND(A623="",B623="",C623="",D623=""),"",IF(TRIM(D623)="",0,LEN(D623)-LEN(SUBSTITUTE(D623,",",""))+1))</f>
        <v/>
      </c>
      <c r="G623" s="21">
        <f>IF(B623="","",IF(COUNTIF($B$6:B623,B623)&gt;1,"중복",""))</f>
        <v/>
      </c>
      <c r="H623" s="21">
        <f>IF(AND(A623="",B623="",C623="",D623=""),"",IF(AND(E623&lt;=3,F623&lt;=3,G623=""),1,0))</f>
        <v/>
      </c>
      <c r="I623" s="22">
        <f>IF(H623=0,IF(G623="중복","제외: 같은 이메일 중복 응답","제외: 3개 넘게 선택"),"")</f>
        <v/>
      </c>
    </row>
    <row r="624">
      <c r="A624" s="15" t="n"/>
      <c r="B624" s="15" t="n"/>
      <c r="C624" s="16" t="n"/>
      <c r="D624" s="16" t="n"/>
      <c r="E624" s="21">
        <f>IF(AND(A624="",B624="",C624="",D624=""),"",IF(TRIM(C624)="",0,LEN(C624)-LEN(SUBSTITUTE(C624,",",""))+1))</f>
        <v/>
      </c>
      <c r="F624" s="21">
        <f>IF(AND(A624="",B624="",C624="",D624=""),"",IF(TRIM(D624)="",0,LEN(D624)-LEN(SUBSTITUTE(D624,",",""))+1))</f>
        <v/>
      </c>
      <c r="G624" s="21">
        <f>IF(B624="","",IF(COUNTIF($B$6:B624,B624)&gt;1,"중복",""))</f>
        <v/>
      </c>
      <c r="H624" s="21">
        <f>IF(AND(A624="",B624="",C624="",D624=""),"",IF(AND(E624&lt;=3,F624&lt;=3,G624=""),1,0))</f>
        <v/>
      </c>
      <c r="I624" s="22">
        <f>IF(H624=0,IF(G624="중복","제외: 같은 이메일 중복 응답","제외: 3개 넘게 선택"),"")</f>
        <v/>
      </c>
    </row>
    <row r="625">
      <c r="A625" s="15" t="n"/>
      <c r="B625" s="15" t="n"/>
      <c r="C625" s="16" t="n"/>
      <c r="D625" s="16" t="n"/>
      <c r="E625" s="21">
        <f>IF(AND(A625="",B625="",C625="",D625=""),"",IF(TRIM(C625)="",0,LEN(C625)-LEN(SUBSTITUTE(C625,",",""))+1))</f>
        <v/>
      </c>
      <c r="F625" s="21">
        <f>IF(AND(A625="",B625="",C625="",D625=""),"",IF(TRIM(D625)="",0,LEN(D625)-LEN(SUBSTITUTE(D625,",",""))+1))</f>
        <v/>
      </c>
      <c r="G625" s="21">
        <f>IF(B625="","",IF(COUNTIF($B$6:B625,B625)&gt;1,"중복",""))</f>
        <v/>
      </c>
      <c r="H625" s="21">
        <f>IF(AND(A625="",B625="",C625="",D625=""),"",IF(AND(E625&lt;=3,F625&lt;=3,G625=""),1,0))</f>
        <v/>
      </c>
      <c r="I625" s="22">
        <f>IF(H625=0,IF(G625="중복","제외: 같은 이메일 중복 응답","제외: 3개 넘게 선택"),"")</f>
        <v/>
      </c>
    </row>
    <row r="626">
      <c r="A626" s="15" t="n"/>
      <c r="B626" s="15" t="n"/>
      <c r="C626" s="16" t="n"/>
      <c r="D626" s="16" t="n"/>
      <c r="E626" s="21">
        <f>IF(AND(A626="",B626="",C626="",D626=""),"",IF(TRIM(C626)="",0,LEN(C626)-LEN(SUBSTITUTE(C626,",",""))+1))</f>
        <v/>
      </c>
      <c r="F626" s="21">
        <f>IF(AND(A626="",B626="",C626="",D626=""),"",IF(TRIM(D626)="",0,LEN(D626)-LEN(SUBSTITUTE(D626,",",""))+1))</f>
        <v/>
      </c>
      <c r="G626" s="21">
        <f>IF(B626="","",IF(COUNTIF($B$6:B626,B626)&gt;1,"중복",""))</f>
        <v/>
      </c>
      <c r="H626" s="21">
        <f>IF(AND(A626="",B626="",C626="",D626=""),"",IF(AND(E626&lt;=3,F626&lt;=3,G626=""),1,0))</f>
        <v/>
      </c>
      <c r="I626" s="22">
        <f>IF(H626=0,IF(G626="중복","제외: 같은 이메일 중복 응답","제외: 3개 넘게 선택"),"")</f>
        <v/>
      </c>
    </row>
    <row r="627">
      <c r="A627" s="15" t="n"/>
      <c r="B627" s="15" t="n"/>
      <c r="C627" s="16" t="n"/>
      <c r="D627" s="16" t="n"/>
      <c r="E627" s="21">
        <f>IF(AND(A627="",B627="",C627="",D627=""),"",IF(TRIM(C627)="",0,LEN(C627)-LEN(SUBSTITUTE(C627,",",""))+1))</f>
        <v/>
      </c>
      <c r="F627" s="21">
        <f>IF(AND(A627="",B627="",C627="",D627=""),"",IF(TRIM(D627)="",0,LEN(D627)-LEN(SUBSTITUTE(D627,",",""))+1))</f>
        <v/>
      </c>
      <c r="G627" s="21">
        <f>IF(B627="","",IF(COUNTIF($B$6:B627,B627)&gt;1,"중복",""))</f>
        <v/>
      </c>
      <c r="H627" s="21">
        <f>IF(AND(A627="",B627="",C627="",D627=""),"",IF(AND(E627&lt;=3,F627&lt;=3,G627=""),1,0))</f>
        <v/>
      </c>
      <c r="I627" s="22">
        <f>IF(H627=0,IF(G627="중복","제외: 같은 이메일 중복 응답","제외: 3개 넘게 선택"),"")</f>
        <v/>
      </c>
    </row>
    <row r="628">
      <c r="A628" s="15" t="n"/>
      <c r="B628" s="15" t="n"/>
      <c r="C628" s="16" t="n"/>
      <c r="D628" s="16" t="n"/>
      <c r="E628" s="21">
        <f>IF(AND(A628="",B628="",C628="",D628=""),"",IF(TRIM(C628)="",0,LEN(C628)-LEN(SUBSTITUTE(C628,",",""))+1))</f>
        <v/>
      </c>
      <c r="F628" s="21">
        <f>IF(AND(A628="",B628="",C628="",D628=""),"",IF(TRIM(D628)="",0,LEN(D628)-LEN(SUBSTITUTE(D628,",",""))+1))</f>
        <v/>
      </c>
      <c r="G628" s="21">
        <f>IF(B628="","",IF(COUNTIF($B$6:B628,B628)&gt;1,"중복",""))</f>
        <v/>
      </c>
      <c r="H628" s="21">
        <f>IF(AND(A628="",B628="",C628="",D628=""),"",IF(AND(E628&lt;=3,F628&lt;=3,G628=""),1,0))</f>
        <v/>
      </c>
      <c r="I628" s="22">
        <f>IF(H628=0,IF(G628="중복","제외: 같은 이메일 중복 응답","제외: 3개 넘게 선택"),"")</f>
        <v/>
      </c>
    </row>
    <row r="629">
      <c r="A629" s="15" t="n"/>
      <c r="B629" s="15" t="n"/>
      <c r="C629" s="16" t="n"/>
      <c r="D629" s="16" t="n"/>
      <c r="E629" s="21">
        <f>IF(AND(A629="",B629="",C629="",D629=""),"",IF(TRIM(C629)="",0,LEN(C629)-LEN(SUBSTITUTE(C629,",",""))+1))</f>
        <v/>
      </c>
      <c r="F629" s="21">
        <f>IF(AND(A629="",B629="",C629="",D629=""),"",IF(TRIM(D629)="",0,LEN(D629)-LEN(SUBSTITUTE(D629,",",""))+1))</f>
        <v/>
      </c>
      <c r="G629" s="21">
        <f>IF(B629="","",IF(COUNTIF($B$6:B629,B629)&gt;1,"중복",""))</f>
        <v/>
      </c>
      <c r="H629" s="21">
        <f>IF(AND(A629="",B629="",C629="",D629=""),"",IF(AND(E629&lt;=3,F629&lt;=3,G629=""),1,0))</f>
        <v/>
      </c>
      <c r="I629" s="22">
        <f>IF(H629=0,IF(G629="중복","제외: 같은 이메일 중복 응답","제외: 3개 넘게 선택"),"")</f>
        <v/>
      </c>
    </row>
    <row r="630">
      <c r="A630" s="15" t="n"/>
      <c r="B630" s="15" t="n"/>
      <c r="C630" s="16" t="n"/>
      <c r="D630" s="16" t="n"/>
      <c r="E630" s="21">
        <f>IF(AND(A630="",B630="",C630="",D630=""),"",IF(TRIM(C630)="",0,LEN(C630)-LEN(SUBSTITUTE(C630,",",""))+1))</f>
        <v/>
      </c>
      <c r="F630" s="21">
        <f>IF(AND(A630="",B630="",C630="",D630=""),"",IF(TRIM(D630)="",0,LEN(D630)-LEN(SUBSTITUTE(D630,",",""))+1))</f>
        <v/>
      </c>
      <c r="G630" s="21">
        <f>IF(B630="","",IF(COUNTIF($B$6:B630,B630)&gt;1,"중복",""))</f>
        <v/>
      </c>
      <c r="H630" s="21">
        <f>IF(AND(A630="",B630="",C630="",D630=""),"",IF(AND(E630&lt;=3,F630&lt;=3,G630=""),1,0))</f>
        <v/>
      </c>
      <c r="I630" s="22">
        <f>IF(H630=0,IF(G630="중복","제외: 같은 이메일 중복 응답","제외: 3개 넘게 선택"),"")</f>
        <v/>
      </c>
    </row>
    <row r="631">
      <c r="A631" s="15" t="n"/>
      <c r="B631" s="15" t="n"/>
      <c r="C631" s="16" t="n"/>
      <c r="D631" s="16" t="n"/>
      <c r="E631" s="21">
        <f>IF(AND(A631="",B631="",C631="",D631=""),"",IF(TRIM(C631)="",0,LEN(C631)-LEN(SUBSTITUTE(C631,",",""))+1))</f>
        <v/>
      </c>
      <c r="F631" s="21">
        <f>IF(AND(A631="",B631="",C631="",D631=""),"",IF(TRIM(D631)="",0,LEN(D631)-LEN(SUBSTITUTE(D631,",",""))+1))</f>
        <v/>
      </c>
      <c r="G631" s="21">
        <f>IF(B631="","",IF(COUNTIF($B$6:B631,B631)&gt;1,"중복",""))</f>
        <v/>
      </c>
      <c r="H631" s="21">
        <f>IF(AND(A631="",B631="",C631="",D631=""),"",IF(AND(E631&lt;=3,F631&lt;=3,G631=""),1,0))</f>
        <v/>
      </c>
      <c r="I631" s="22">
        <f>IF(H631=0,IF(G631="중복","제외: 같은 이메일 중복 응답","제외: 3개 넘게 선택"),"")</f>
        <v/>
      </c>
    </row>
    <row r="632">
      <c r="A632" s="15" t="n"/>
      <c r="B632" s="15" t="n"/>
      <c r="C632" s="16" t="n"/>
      <c r="D632" s="16" t="n"/>
      <c r="E632" s="21">
        <f>IF(AND(A632="",B632="",C632="",D632=""),"",IF(TRIM(C632)="",0,LEN(C632)-LEN(SUBSTITUTE(C632,",",""))+1))</f>
        <v/>
      </c>
      <c r="F632" s="21">
        <f>IF(AND(A632="",B632="",C632="",D632=""),"",IF(TRIM(D632)="",0,LEN(D632)-LEN(SUBSTITUTE(D632,",",""))+1))</f>
        <v/>
      </c>
      <c r="G632" s="21">
        <f>IF(B632="","",IF(COUNTIF($B$6:B632,B632)&gt;1,"중복",""))</f>
        <v/>
      </c>
      <c r="H632" s="21">
        <f>IF(AND(A632="",B632="",C632="",D632=""),"",IF(AND(E632&lt;=3,F632&lt;=3,G632=""),1,0))</f>
        <v/>
      </c>
      <c r="I632" s="22">
        <f>IF(H632=0,IF(G632="중복","제외: 같은 이메일 중복 응답","제외: 3개 넘게 선택"),"")</f>
        <v/>
      </c>
    </row>
    <row r="633">
      <c r="A633" s="15" t="n"/>
      <c r="B633" s="15" t="n"/>
      <c r="C633" s="16" t="n"/>
      <c r="D633" s="16" t="n"/>
      <c r="E633" s="21">
        <f>IF(AND(A633="",B633="",C633="",D633=""),"",IF(TRIM(C633)="",0,LEN(C633)-LEN(SUBSTITUTE(C633,",",""))+1))</f>
        <v/>
      </c>
      <c r="F633" s="21">
        <f>IF(AND(A633="",B633="",C633="",D633=""),"",IF(TRIM(D633)="",0,LEN(D633)-LEN(SUBSTITUTE(D633,",",""))+1))</f>
        <v/>
      </c>
      <c r="G633" s="21">
        <f>IF(B633="","",IF(COUNTIF($B$6:B633,B633)&gt;1,"중복",""))</f>
        <v/>
      </c>
      <c r="H633" s="21">
        <f>IF(AND(A633="",B633="",C633="",D633=""),"",IF(AND(E633&lt;=3,F633&lt;=3,G633=""),1,0))</f>
        <v/>
      </c>
      <c r="I633" s="22">
        <f>IF(H633=0,IF(G633="중복","제외: 같은 이메일 중복 응답","제외: 3개 넘게 선택"),"")</f>
        <v/>
      </c>
    </row>
    <row r="634">
      <c r="A634" s="15" t="n"/>
      <c r="B634" s="15" t="n"/>
      <c r="C634" s="16" t="n"/>
      <c r="D634" s="16" t="n"/>
      <c r="E634" s="21">
        <f>IF(AND(A634="",B634="",C634="",D634=""),"",IF(TRIM(C634)="",0,LEN(C634)-LEN(SUBSTITUTE(C634,",",""))+1))</f>
        <v/>
      </c>
      <c r="F634" s="21">
        <f>IF(AND(A634="",B634="",C634="",D634=""),"",IF(TRIM(D634)="",0,LEN(D634)-LEN(SUBSTITUTE(D634,",",""))+1))</f>
        <v/>
      </c>
      <c r="G634" s="21">
        <f>IF(B634="","",IF(COUNTIF($B$6:B634,B634)&gt;1,"중복",""))</f>
        <v/>
      </c>
      <c r="H634" s="21">
        <f>IF(AND(A634="",B634="",C634="",D634=""),"",IF(AND(E634&lt;=3,F634&lt;=3,G634=""),1,0))</f>
        <v/>
      </c>
      <c r="I634" s="22">
        <f>IF(H634=0,IF(G634="중복","제외: 같은 이메일 중복 응답","제외: 3개 넘게 선택"),"")</f>
        <v/>
      </c>
    </row>
    <row r="635">
      <c r="A635" s="15" t="n"/>
      <c r="B635" s="15" t="n"/>
      <c r="C635" s="16" t="n"/>
      <c r="D635" s="16" t="n"/>
      <c r="E635" s="21">
        <f>IF(AND(A635="",B635="",C635="",D635=""),"",IF(TRIM(C635)="",0,LEN(C635)-LEN(SUBSTITUTE(C635,",",""))+1))</f>
        <v/>
      </c>
      <c r="F635" s="21">
        <f>IF(AND(A635="",B635="",C635="",D635=""),"",IF(TRIM(D635)="",0,LEN(D635)-LEN(SUBSTITUTE(D635,",",""))+1))</f>
        <v/>
      </c>
      <c r="G635" s="21">
        <f>IF(B635="","",IF(COUNTIF($B$6:B635,B635)&gt;1,"중복",""))</f>
        <v/>
      </c>
      <c r="H635" s="21">
        <f>IF(AND(A635="",B635="",C635="",D635=""),"",IF(AND(E635&lt;=3,F635&lt;=3,G635=""),1,0))</f>
        <v/>
      </c>
      <c r="I635" s="22">
        <f>IF(H635=0,IF(G635="중복","제외: 같은 이메일 중복 응답","제외: 3개 넘게 선택"),"")</f>
        <v/>
      </c>
    </row>
    <row r="636">
      <c r="A636" s="15" t="n"/>
      <c r="B636" s="15" t="n"/>
      <c r="C636" s="16" t="n"/>
      <c r="D636" s="16" t="n"/>
      <c r="E636" s="21">
        <f>IF(AND(A636="",B636="",C636="",D636=""),"",IF(TRIM(C636)="",0,LEN(C636)-LEN(SUBSTITUTE(C636,",",""))+1))</f>
        <v/>
      </c>
      <c r="F636" s="21">
        <f>IF(AND(A636="",B636="",C636="",D636=""),"",IF(TRIM(D636)="",0,LEN(D636)-LEN(SUBSTITUTE(D636,",",""))+1))</f>
        <v/>
      </c>
      <c r="G636" s="21">
        <f>IF(B636="","",IF(COUNTIF($B$6:B636,B636)&gt;1,"중복",""))</f>
        <v/>
      </c>
      <c r="H636" s="21">
        <f>IF(AND(A636="",B636="",C636="",D636=""),"",IF(AND(E636&lt;=3,F636&lt;=3,G636=""),1,0))</f>
        <v/>
      </c>
      <c r="I636" s="22">
        <f>IF(H636=0,IF(G636="중복","제외: 같은 이메일 중복 응답","제외: 3개 넘게 선택"),"")</f>
        <v/>
      </c>
    </row>
    <row r="637">
      <c r="A637" s="15" t="n"/>
      <c r="B637" s="15" t="n"/>
      <c r="C637" s="16" t="n"/>
      <c r="D637" s="16" t="n"/>
      <c r="E637" s="21">
        <f>IF(AND(A637="",B637="",C637="",D637=""),"",IF(TRIM(C637)="",0,LEN(C637)-LEN(SUBSTITUTE(C637,",",""))+1))</f>
        <v/>
      </c>
      <c r="F637" s="21">
        <f>IF(AND(A637="",B637="",C637="",D637=""),"",IF(TRIM(D637)="",0,LEN(D637)-LEN(SUBSTITUTE(D637,",",""))+1))</f>
        <v/>
      </c>
      <c r="G637" s="21">
        <f>IF(B637="","",IF(COUNTIF($B$6:B637,B637)&gt;1,"중복",""))</f>
        <v/>
      </c>
      <c r="H637" s="21">
        <f>IF(AND(A637="",B637="",C637="",D637=""),"",IF(AND(E637&lt;=3,F637&lt;=3,G637=""),1,0))</f>
        <v/>
      </c>
      <c r="I637" s="22">
        <f>IF(H637=0,IF(G637="중복","제외: 같은 이메일 중복 응답","제외: 3개 넘게 선택"),"")</f>
        <v/>
      </c>
    </row>
    <row r="638">
      <c r="A638" s="15" t="n"/>
      <c r="B638" s="15" t="n"/>
      <c r="C638" s="16" t="n"/>
      <c r="D638" s="16" t="n"/>
      <c r="E638" s="21">
        <f>IF(AND(A638="",B638="",C638="",D638=""),"",IF(TRIM(C638)="",0,LEN(C638)-LEN(SUBSTITUTE(C638,",",""))+1))</f>
        <v/>
      </c>
      <c r="F638" s="21">
        <f>IF(AND(A638="",B638="",C638="",D638=""),"",IF(TRIM(D638)="",0,LEN(D638)-LEN(SUBSTITUTE(D638,",",""))+1))</f>
        <v/>
      </c>
      <c r="G638" s="21">
        <f>IF(B638="","",IF(COUNTIF($B$6:B638,B638)&gt;1,"중복",""))</f>
        <v/>
      </c>
      <c r="H638" s="21">
        <f>IF(AND(A638="",B638="",C638="",D638=""),"",IF(AND(E638&lt;=3,F638&lt;=3,G638=""),1,0))</f>
        <v/>
      </c>
      <c r="I638" s="22">
        <f>IF(H638=0,IF(G638="중복","제외: 같은 이메일 중복 응답","제외: 3개 넘게 선택"),"")</f>
        <v/>
      </c>
    </row>
    <row r="639">
      <c r="A639" s="15" t="n"/>
      <c r="B639" s="15" t="n"/>
      <c r="C639" s="16" t="n"/>
      <c r="D639" s="16" t="n"/>
      <c r="E639" s="21">
        <f>IF(AND(A639="",B639="",C639="",D639=""),"",IF(TRIM(C639)="",0,LEN(C639)-LEN(SUBSTITUTE(C639,",",""))+1))</f>
        <v/>
      </c>
      <c r="F639" s="21">
        <f>IF(AND(A639="",B639="",C639="",D639=""),"",IF(TRIM(D639)="",0,LEN(D639)-LEN(SUBSTITUTE(D639,",",""))+1))</f>
        <v/>
      </c>
      <c r="G639" s="21">
        <f>IF(B639="","",IF(COUNTIF($B$6:B639,B639)&gt;1,"중복",""))</f>
        <v/>
      </c>
      <c r="H639" s="21">
        <f>IF(AND(A639="",B639="",C639="",D639=""),"",IF(AND(E639&lt;=3,F639&lt;=3,G639=""),1,0))</f>
        <v/>
      </c>
      <c r="I639" s="22">
        <f>IF(H639=0,IF(G639="중복","제외: 같은 이메일 중복 응답","제외: 3개 넘게 선택"),"")</f>
        <v/>
      </c>
    </row>
    <row r="640">
      <c r="A640" s="15" t="n"/>
      <c r="B640" s="15" t="n"/>
      <c r="C640" s="16" t="n"/>
      <c r="D640" s="16" t="n"/>
      <c r="E640" s="21">
        <f>IF(AND(A640="",B640="",C640="",D640=""),"",IF(TRIM(C640)="",0,LEN(C640)-LEN(SUBSTITUTE(C640,",",""))+1))</f>
        <v/>
      </c>
      <c r="F640" s="21">
        <f>IF(AND(A640="",B640="",C640="",D640=""),"",IF(TRIM(D640)="",0,LEN(D640)-LEN(SUBSTITUTE(D640,",",""))+1))</f>
        <v/>
      </c>
      <c r="G640" s="21">
        <f>IF(B640="","",IF(COUNTIF($B$6:B640,B640)&gt;1,"중복",""))</f>
        <v/>
      </c>
      <c r="H640" s="21">
        <f>IF(AND(A640="",B640="",C640="",D640=""),"",IF(AND(E640&lt;=3,F640&lt;=3,G640=""),1,0))</f>
        <v/>
      </c>
      <c r="I640" s="22">
        <f>IF(H640=0,IF(G640="중복","제외: 같은 이메일 중복 응답","제외: 3개 넘게 선택"),"")</f>
        <v/>
      </c>
    </row>
    <row r="641">
      <c r="A641" s="15" t="n"/>
      <c r="B641" s="15" t="n"/>
      <c r="C641" s="16" t="n"/>
      <c r="D641" s="16" t="n"/>
      <c r="E641" s="21">
        <f>IF(AND(A641="",B641="",C641="",D641=""),"",IF(TRIM(C641)="",0,LEN(C641)-LEN(SUBSTITUTE(C641,",",""))+1))</f>
        <v/>
      </c>
      <c r="F641" s="21">
        <f>IF(AND(A641="",B641="",C641="",D641=""),"",IF(TRIM(D641)="",0,LEN(D641)-LEN(SUBSTITUTE(D641,",",""))+1))</f>
        <v/>
      </c>
      <c r="G641" s="21">
        <f>IF(B641="","",IF(COUNTIF($B$6:B641,B641)&gt;1,"중복",""))</f>
        <v/>
      </c>
      <c r="H641" s="21">
        <f>IF(AND(A641="",B641="",C641="",D641=""),"",IF(AND(E641&lt;=3,F641&lt;=3,G641=""),1,0))</f>
        <v/>
      </c>
      <c r="I641" s="22">
        <f>IF(H641=0,IF(G641="중복","제외: 같은 이메일 중복 응답","제외: 3개 넘게 선택"),"")</f>
        <v/>
      </c>
    </row>
    <row r="642">
      <c r="A642" s="15" t="n"/>
      <c r="B642" s="15" t="n"/>
      <c r="C642" s="16" t="n"/>
      <c r="D642" s="16" t="n"/>
      <c r="E642" s="21">
        <f>IF(AND(A642="",B642="",C642="",D642=""),"",IF(TRIM(C642)="",0,LEN(C642)-LEN(SUBSTITUTE(C642,",",""))+1))</f>
        <v/>
      </c>
      <c r="F642" s="21">
        <f>IF(AND(A642="",B642="",C642="",D642=""),"",IF(TRIM(D642)="",0,LEN(D642)-LEN(SUBSTITUTE(D642,",",""))+1))</f>
        <v/>
      </c>
      <c r="G642" s="21">
        <f>IF(B642="","",IF(COUNTIF($B$6:B642,B642)&gt;1,"중복",""))</f>
        <v/>
      </c>
      <c r="H642" s="21">
        <f>IF(AND(A642="",B642="",C642="",D642=""),"",IF(AND(E642&lt;=3,F642&lt;=3,G642=""),1,0))</f>
        <v/>
      </c>
      <c r="I642" s="22">
        <f>IF(H642=0,IF(G642="중복","제외: 같은 이메일 중복 응답","제외: 3개 넘게 선택"),"")</f>
        <v/>
      </c>
    </row>
    <row r="643">
      <c r="A643" s="15" t="n"/>
      <c r="B643" s="15" t="n"/>
      <c r="C643" s="16" t="n"/>
      <c r="D643" s="16" t="n"/>
      <c r="E643" s="21">
        <f>IF(AND(A643="",B643="",C643="",D643=""),"",IF(TRIM(C643)="",0,LEN(C643)-LEN(SUBSTITUTE(C643,",",""))+1))</f>
        <v/>
      </c>
      <c r="F643" s="21">
        <f>IF(AND(A643="",B643="",C643="",D643=""),"",IF(TRIM(D643)="",0,LEN(D643)-LEN(SUBSTITUTE(D643,",",""))+1))</f>
        <v/>
      </c>
      <c r="G643" s="21">
        <f>IF(B643="","",IF(COUNTIF($B$6:B643,B643)&gt;1,"중복",""))</f>
        <v/>
      </c>
      <c r="H643" s="21">
        <f>IF(AND(A643="",B643="",C643="",D643=""),"",IF(AND(E643&lt;=3,F643&lt;=3,G643=""),1,0))</f>
        <v/>
      </c>
      <c r="I643" s="22">
        <f>IF(H643=0,IF(G643="중복","제외: 같은 이메일 중복 응답","제외: 3개 넘게 선택"),"")</f>
        <v/>
      </c>
    </row>
    <row r="644">
      <c r="A644" s="15" t="n"/>
      <c r="B644" s="15" t="n"/>
      <c r="C644" s="16" t="n"/>
      <c r="D644" s="16" t="n"/>
      <c r="E644" s="21">
        <f>IF(AND(A644="",B644="",C644="",D644=""),"",IF(TRIM(C644)="",0,LEN(C644)-LEN(SUBSTITUTE(C644,",",""))+1))</f>
        <v/>
      </c>
      <c r="F644" s="21">
        <f>IF(AND(A644="",B644="",C644="",D644=""),"",IF(TRIM(D644)="",0,LEN(D644)-LEN(SUBSTITUTE(D644,",",""))+1))</f>
        <v/>
      </c>
      <c r="G644" s="21">
        <f>IF(B644="","",IF(COUNTIF($B$6:B644,B644)&gt;1,"중복",""))</f>
        <v/>
      </c>
      <c r="H644" s="21">
        <f>IF(AND(A644="",B644="",C644="",D644=""),"",IF(AND(E644&lt;=3,F644&lt;=3,G644=""),1,0))</f>
        <v/>
      </c>
      <c r="I644" s="22">
        <f>IF(H644=0,IF(G644="중복","제외: 같은 이메일 중복 응답","제외: 3개 넘게 선택"),"")</f>
        <v/>
      </c>
    </row>
    <row r="645">
      <c r="A645" s="15" t="n"/>
      <c r="B645" s="15" t="n"/>
      <c r="C645" s="16" t="n"/>
      <c r="D645" s="16" t="n"/>
      <c r="E645" s="21">
        <f>IF(AND(A645="",B645="",C645="",D645=""),"",IF(TRIM(C645)="",0,LEN(C645)-LEN(SUBSTITUTE(C645,",",""))+1))</f>
        <v/>
      </c>
      <c r="F645" s="21">
        <f>IF(AND(A645="",B645="",C645="",D645=""),"",IF(TRIM(D645)="",0,LEN(D645)-LEN(SUBSTITUTE(D645,",",""))+1))</f>
        <v/>
      </c>
      <c r="G645" s="21">
        <f>IF(B645="","",IF(COUNTIF($B$6:B645,B645)&gt;1,"중복",""))</f>
        <v/>
      </c>
      <c r="H645" s="21">
        <f>IF(AND(A645="",B645="",C645="",D645=""),"",IF(AND(E645&lt;=3,F645&lt;=3,G645=""),1,0))</f>
        <v/>
      </c>
      <c r="I645" s="22">
        <f>IF(H645=0,IF(G645="중복","제외: 같은 이메일 중복 응답","제외: 3개 넘게 선택"),"")</f>
        <v/>
      </c>
    </row>
    <row r="646">
      <c r="A646" s="15" t="n"/>
      <c r="B646" s="15" t="n"/>
      <c r="C646" s="16" t="n"/>
      <c r="D646" s="16" t="n"/>
      <c r="E646" s="21">
        <f>IF(AND(A646="",B646="",C646="",D646=""),"",IF(TRIM(C646)="",0,LEN(C646)-LEN(SUBSTITUTE(C646,",",""))+1))</f>
        <v/>
      </c>
      <c r="F646" s="21">
        <f>IF(AND(A646="",B646="",C646="",D646=""),"",IF(TRIM(D646)="",0,LEN(D646)-LEN(SUBSTITUTE(D646,",",""))+1))</f>
        <v/>
      </c>
      <c r="G646" s="21">
        <f>IF(B646="","",IF(COUNTIF($B$6:B646,B646)&gt;1,"중복",""))</f>
        <v/>
      </c>
      <c r="H646" s="21">
        <f>IF(AND(A646="",B646="",C646="",D646=""),"",IF(AND(E646&lt;=3,F646&lt;=3,G646=""),1,0))</f>
        <v/>
      </c>
      <c r="I646" s="22">
        <f>IF(H646=0,IF(G646="중복","제외: 같은 이메일 중복 응답","제외: 3개 넘게 선택"),"")</f>
        <v/>
      </c>
    </row>
    <row r="647">
      <c r="A647" s="15" t="n"/>
      <c r="B647" s="15" t="n"/>
      <c r="C647" s="16" t="n"/>
      <c r="D647" s="16" t="n"/>
      <c r="E647" s="21">
        <f>IF(AND(A647="",B647="",C647="",D647=""),"",IF(TRIM(C647)="",0,LEN(C647)-LEN(SUBSTITUTE(C647,",",""))+1))</f>
        <v/>
      </c>
      <c r="F647" s="21">
        <f>IF(AND(A647="",B647="",C647="",D647=""),"",IF(TRIM(D647)="",0,LEN(D647)-LEN(SUBSTITUTE(D647,",",""))+1))</f>
        <v/>
      </c>
      <c r="G647" s="21">
        <f>IF(B647="","",IF(COUNTIF($B$6:B647,B647)&gt;1,"중복",""))</f>
        <v/>
      </c>
      <c r="H647" s="21">
        <f>IF(AND(A647="",B647="",C647="",D647=""),"",IF(AND(E647&lt;=3,F647&lt;=3,G647=""),1,0))</f>
        <v/>
      </c>
      <c r="I647" s="22">
        <f>IF(H647=0,IF(G647="중복","제외: 같은 이메일 중복 응답","제외: 3개 넘게 선택"),"")</f>
        <v/>
      </c>
    </row>
    <row r="648">
      <c r="A648" s="15" t="n"/>
      <c r="B648" s="15" t="n"/>
      <c r="C648" s="16" t="n"/>
      <c r="D648" s="16" t="n"/>
      <c r="E648" s="21">
        <f>IF(AND(A648="",B648="",C648="",D648=""),"",IF(TRIM(C648)="",0,LEN(C648)-LEN(SUBSTITUTE(C648,",",""))+1))</f>
        <v/>
      </c>
      <c r="F648" s="21">
        <f>IF(AND(A648="",B648="",C648="",D648=""),"",IF(TRIM(D648)="",0,LEN(D648)-LEN(SUBSTITUTE(D648,",",""))+1))</f>
        <v/>
      </c>
      <c r="G648" s="21">
        <f>IF(B648="","",IF(COUNTIF($B$6:B648,B648)&gt;1,"중복",""))</f>
        <v/>
      </c>
      <c r="H648" s="21">
        <f>IF(AND(A648="",B648="",C648="",D648=""),"",IF(AND(E648&lt;=3,F648&lt;=3,G648=""),1,0))</f>
        <v/>
      </c>
      <c r="I648" s="22">
        <f>IF(H648=0,IF(G648="중복","제외: 같은 이메일 중복 응답","제외: 3개 넘게 선택"),"")</f>
        <v/>
      </c>
    </row>
    <row r="649">
      <c r="A649" s="15" t="n"/>
      <c r="B649" s="15" t="n"/>
      <c r="C649" s="16" t="n"/>
      <c r="D649" s="16" t="n"/>
      <c r="E649" s="21">
        <f>IF(AND(A649="",B649="",C649="",D649=""),"",IF(TRIM(C649)="",0,LEN(C649)-LEN(SUBSTITUTE(C649,",",""))+1))</f>
        <v/>
      </c>
      <c r="F649" s="21">
        <f>IF(AND(A649="",B649="",C649="",D649=""),"",IF(TRIM(D649)="",0,LEN(D649)-LEN(SUBSTITUTE(D649,",",""))+1))</f>
        <v/>
      </c>
      <c r="G649" s="21">
        <f>IF(B649="","",IF(COUNTIF($B$6:B649,B649)&gt;1,"중복",""))</f>
        <v/>
      </c>
      <c r="H649" s="21">
        <f>IF(AND(A649="",B649="",C649="",D649=""),"",IF(AND(E649&lt;=3,F649&lt;=3,G649=""),1,0))</f>
        <v/>
      </c>
      <c r="I649" s="22">
        <f>IF(H649=0,IF(G649="중복","제외: 같은 이메일 중복 응답","제외: 3개 넘게 선택"),"")</f>
        <v/>
      </c>
    </row>
    <row r="650">
      <c r="A650" s="15" t="n"/>
      <c r="B650" s="15" t="n"/>
      <c r="C650" s="16" t="n"/>
      <c r="D650" s="16" t="n"/>
      <c r="E650" s="21">
        <f>IF(AND(A650="",B650="",C650="",D650=""),"",IF(TRIM(C650)="",0,LEN(C650)-LEN(SUBSTITUTE(C650,",",""))+1))</f>
        <v/>
      </c>
      <c r="F650" s="21">
        <f>IF(AND(A650="",B650="",C650="",D650=""),"",IF(TRIM(D650)="",0,LEN(D650)-LEN(SUBSTITUTE(D650,",",""))+1))</f>
        <v/>
      </c>
      <c r="G650" s="21">
        <f>IF(B650="","",IF(COUNTIF($B$6:B650,B650)&gt;1,"중복",""))</f>
        <v/>
      </c>
      <c r="H650" s="21">
        <f>IF(AND(A650="",B650="",C650="",D650=""),"",IF(AND(E650&lt;=3,F650&lt;=3,G650=""),1,0))</f>
        <v/>
      </c>
      <c r="I650" s="22">
        <f>IF(H650=0,IF(G650="중복","제외: 같은 이메일 중복 응답","제외: 3개 넘게 선택"),"")</f>
        <v/>
      </c>
    </row>
    <row r="651">
      <c r="A651" s="15" t="n"/>
      <c r="B651" s="15" t="n"/>
      <c r="C651" s="16" t="n"/>
      <c r="D651" s="16" t="n"/>
      <c r="E651" s="21">
        <f>IF(AND(A651="",B651="",C651="",D651=""),"",IF(TRIM(C651)="",0,LEN(C651)-LEN(SUBSTITUTE(C651,",",""))+1))</f>
        <v/>
      </c>
      <c r="F651" s="21">
        <f>IF(AND(A651="",B651="",C651="",D651=""),"",IF(TRIM(D651)="",0,LEN(D651)-LEN(SUBSTITUTE(D651,",",""))+1))</f>
        <v/>
      </c>
      <c r="G651" s="21">
        <f>IF(B651="","",IF(COUNTIF($B$6:B651,B651)&gt;1,"중복",""))</f>
        <v/>
      </c>
      <c r="H651" s="21">
        <f>IF(AND(A651="",B651="",C651="",D651=""),"",IF(AND(E651&lt;=3,F651&lt;=3,G651=""),1,0))</f>
        <v/>
      </c>
      <c r="I651" s="22">
        <f>IF(H651=0,IF(G651="중복","제외: 같은 이메일 중복 응답","제외: 3개 넘게 선택"),"")</f>
        <v/>
      </c>
    </row>
    <row r="652">
      <c r="A652" s="15" t="n"/>
      <c r="B652" s="15" t="n"/>
      <c r="C652" s="16" t="n"/>
      <c r="D652" s="16" t="n"/>
      <c r="E652" s="21">
        <f>IF(AND(A652="",B652="",C652="",D652=""),"",IF(TRIM(C652)="",0,LEN(C652)-LEN(SUBSTITUTE(C652,",",""))+1))</f>
        <v/>
      </c>
      <c r="F652" s="21">
        <f>IF(AND(A652="",B652="",C652="",D652=""),"",IF(TRIM(D652)="",0,LEN(D652)-LEN(SUBSTITUTE(D652,",",""))+1))</f>
        <v/>
      </c>
      <c r="G652" s="21">
        <f>IF(B652="","",IF(COUNTIF($B$6:B652,B652)&gt;1,"중복",""))</f>
        <v/>
      </c>
      <c r="H652" s="21">
        <f>IF(AND(A652="",B652="",C652="",D652=""),"",IF(AND(E652&lt;=3,F652&lt;=3,G652=""),1,0))</f>
        <v/>
      </c>
      <c r="I652" s="22">
        <f>IF(H652=0,IF(G652="중복","제외: 같은 이메일 중복 응답","제외: 3개 넘게 선택"),"")</f>
        <v/>
      </c>
    </row>
    <row r="653">
      <c r="A653" s="15" t="n"/>
      <c r="B653" s="15" t="n"/>
      <c r="C653" s="16" t="n"/>
      <c r="D653" s="16" t="n"/>
      <c r="E653" s="21">
        <f>IF(AND(A653="",B653="",C653="",D653=""),"",IF(TRIM(C653)="",0,LEN(C653)-LEN(SUBSTITUTE(C653,",",""))+1))</f>
        <v/>
      </c>
      <c r="F653" s="21">
        <f>IF(AND(A653="",B653="",C653="",D653=""),"",IF(TRIM(D653)="",0,LEN(D653)-LEN(SUBSTITUTE(D653,",",""))+1))</f>
        <v/>
      </c>
      <c r="G653" s="21">
        <f>IF(B653="","",IF(COUNTIF($B$6:B653,B653)&gt;1,"중복",""))</f>
        <v/>
      </c>
      <c r="H653" s="21">
        <f>IF(AND(A653="",B653="",C653="",D653=""),"",IF(AND(E653&lt;=3,F653&lt;=3,G653=""),1,0))</f>
        <v/>
      </c>
      <c r="I653" s="22">
        <f>IF(H653=0,IF(G653="중복","제외: 같은 이메일 중복 응답","제외: 3개 넘게 선택"),"")</f>
        <v/>
      </c>
    </row>
    <row r="654">
      <c r="A654" s="15" t="n"/>
      <c r="B654" s="15" t="n"/>
      <c r="C654" s="16" t="n"/>
      <c r="D654" s="16" t="n"/>
      <c r="E654" s="21">
        <f>IF(AND(A654="",B654="",C654="",D654=""),"",IF(TRIM(C654)="",0,LEN(C654)-LEN(SUBSTITUTE(C654,",",""))+1))</f>
        <v/>
      </c>
      <c r="F654" s="21">
        <f>IF(AND(A654="",B654="",C654="",D654=""),"",IF(TRIM(D654)="",0,LEN(D654)-LEN(SUBSTITUTE(D654,",",""))+1))</f>
        <v/>
      </c>
      <c r="G654" s="21">
        <f>IF(B654="","",IF(COUNTIF($B$6:B654,B654)&gt;1,"중복",""))</f>
        <v/>
      </c>
      <c r="H654" s="21">
        <f>IF(AND(A654="",B654="",C654="",D654=""),"",IF(AND(E654&lt;=3,F654&lt;=3,G654=""),1,0))</f>
        <v/>
      </c>
      <c r="I654" s="22">
        <f>IF(H654=0,IF(G654="중복","제외: 같은 이메일 중복 응답","제외: 3개 넘게 선택"),"")</f>
        <v/>
      </c>
    </row>
    <row r="655">
      <c r="A655" s="15" t="n"/>
      <c r="B655" s="15" t="n"/>
      <c r="C655" s="16" t="n"/>
      <c r="D655" s="16" t="n"/>
      <c r="E655" s="21">
        <f>IF(AND(A655="",B655="",C655="",D655=""),"",IF(TRIM(C655)="",0,LEN(C655)-LEN(SUBSTITUTE(C655,",",""))+1))</f>
        <v/>
      </c>
      <c r="F655" s="21">
        <f>IF(AND(A655="",B655="",C655="",D655=""),"",IF(TRIM(D655)="",0,LEN(D655)-LEN(SUBSTITUTE(D655,",",""))+1))</f>
        <v/>
      </c>
      <c r="G655" s="21">
        <f>IF(B655="","",IF(COUNTIF($B$6:B655,B655)&gt;1,"중복",""))</f>
        <v/>
      </c>
      <c r="H655" s="21">
        <f>IF(AND(A655="",B655="",C655="",D655=""),"",IF(AND(E655&lt;=3,F655&lt;=3,G655=""),1,0))</f>
        <v/>
      </c>
      <c r="I655" s="22">
        <f>IF(H655=0,IF(G655="중복","제외: 같은 이메일 중복 응답","제외: 3개 넘게 선택"),"")</f>
        <v/>
      </c>
    </row>
    <row r="656">
      <c r="A656" s="15" t="n"/>
      <c r="B656" s="15" t="n"/>
      <c r="C656" s="16" t="n"/>
      <c r="D656" s="16" t="n"/>
      <c r="E656" s="21">
        <f>IF(AND(A656="",B656="",C656="",D656=""),"",IF(TRIM(C656)="",0,LEN(C656)-LEN(SUBSTITUTE(C656,",",""))+1))</f>
        <v/>
      </c>
      <c r="F656" s="21">
        <f>IF(AND(A656="",B656="",C656="",D656=""),"",IF(TRIM(D656)="",0,LEN(D656)-LEN(SUBSTITUTE(D656,",",""))+1))</f>
        <v/>
      </c>
      <c r="G656" s="21">
        <f>IF(B656="","",IF(COUNTIF($B$6:B656,B656)&gt;1,"중복",""))</f>
        <v/>
      </c>
      <c r="H656" s="21">
        <f>IF(AND(A656="",B656="",C656="",D656=""),"",IF(AND(E656&lt;=3,F656&lt;=3,G656=""),1,0))</f>
        <v/>
      </c>
      <c r="I656" s="22">
        <f>IF(H656=0,IF(G656="중복","제외: 같은 이메일 중복 응답","제외: 3개 넘게 선택"),"")</f>
        <v/>
      </c>
    </row>
    <row r="657">
      <c r="A657" s="15" t="n"/>
      <c r="B657" s="15" t="n"/>
      <c r="C657" s="16" t="n"/>
      <c r="D657" s="16" t="n"/>
      <c r="E657" s="21">
        <f>IF(AND(A657="",B657="",C657="",D657=""),"",IF(TRIM(C657)="",0,LEN(C657)-LEN(SUBSTITUTE(C657,",",""))+1))</f>
        <v/>
      </c>
      <c r="F657" s="21">
        <f>IF(AND(A657="",B657="",C657="",D657=""),"",IF(TRIM(D657)="",0,LEN(D657)-LEN(SUBSTITUTE(D657,",",""))+1))</f>
        <v/>
      </c>
      <c r="G657" s="21">
        <f>IF(B657="","",IF(COUNTIF($B$6:B657,B657)&gt;1,"중복",""))</f>
        <v/>
      </c>
      <c r="H657" s="21">
        <f>IF(AND(A657="",B657="",C657="",D657=""),"",IF(AND(E657&lt;=3,F657&lt;=3,G657=""),1,0))</f>
        <v/>
      </c>
      <c r="I657" s="22">
        <f>IF(H657=0,IF(G657="중복","제외: 같은 이메일 중복 응답","제외: 3개 넘게 선택"),"")</f>
        <v/>
      </c>
    </row>
    <row r="658">
      <c r="A658" s="15" t="n"/>
      <c r="B658" s="15" t="n"/>
      <c r="C658" s="16" t="n"/>
      <c r="D658" s="16" t="n"/>
      <c r="E658" s="21">
        <f>IF(AND(A658="",B658="",C658="",D658=""),"",IF(TRIM(C658)="",0,LEN(C658)-LEN(SUBSTITUTE(C658,",",""))+1))</f>
        <v/>
      </c>
      <c r="F658" s="21">
        <f>IF(AND(A658="",B658="",C658="",D658=""),"",IF(TRIM(D658)="",0,LEN(D658)-LEN(SUBSTITUTE(D658,",",""))+1))</f>
        <v/>
      </c>
      <c r="G658" s="21">
        <f>IF(B658="","",IF(COUNTIF($B$6:B658,B658)&gt;1,"중복",""))</f>
        <v/>
      </c>
      <c r="H658" s="21">
        <f>IF(AND(A658="",B658="",C658="",D658=""),"",IF(AND(E658&lt;=3,F658&lt;=3,G658=""),1,0))</f>
        <v/>
      </c>
      <c r="I658" s="22">
        <f>IF(H658=0,IF(G658="중복","제외: 같은 이메일 중복 응답","제외: 3개 넘게 선택"),"")</f>
        <v/>
      </c>
    </row>
    <row r="659">
      <c r="A659" s="15" t="n"/>
      <c r="B659" s="15" t="n"/>
      <c r="C659" s="16" t="n"/>
      <c r="D659" s="16" t="n"/>
      <c r="E659" s="21">
        <f>IF(AND(A659="",B659="",C659="",D659=""),"",IF(TRIM(C659)="",0,LEN(C659)-LEN(SUBSTITUTE(C659,",",""))+1))</f>
        <v/>
      </c>
      <c r="F659" s="21">
        <f>IF(AND(A659="",B659="",C659="",D659=""),"",IF(TRIM(D659)="",0,LEN(D659)-LEN(SUBSTITUTE(D659,",",""))+1))</f>
        <v/>
      </c>
      <c r="G659" s="21">
        <f>IF(B659="","",IF(COUNTIF($B$6:B659,B659)&gt;1,"중복",""))</f>
        <v/>
      </c>
      <c r="H659" s="21">
        <f>IF(AND(A659="",B659="",C659="",D659=""),"",IF(AND(E659&lt;=3,F659&lt;=3,G659=""),1,0))</f>
        <v/>
      </c>
      <c r="I659" s="22">
        <f>IF(H659=0,IF(G659="중복","제외: 같은 이메일 중복 응답","제외: 3개 넘게 선택"),"")</f>
        <v/>
      </c>
    </row>
    <row r="660">
      <c r="A660" s="15" t="n"/>
      <c r="B660" s="15" t="n"/>
      <c r="C660" s="16" t="n"/>
      <c r="D660" s="16" t="n"/>
      <c r="E660" s="21">
        <f>IF(AND(A660="",B660="",C660="",D660=""),"",IF(TRIM(C660)="",0,LEN(C660)-LEN(SUBSTITUTE(C660,",",""))+1))</f>
        <v/>
      </c>
      <c r="F660" s="21">
        <f>IF(AND(A660="",B660="",C660="",D660=""),"",IF(TRIM(D660)="",0,LEN(D660)-LEN(SUBSTITUTE(D660,",",""))+1))</f>
        <v/>
      </c>
      <c r="G660" s="21">
        <f>IF(B660="","",IF(COUNTIF($B$6:B660,B660)&gt;1,"중복",""))</f>
        <v/>
      </c>
      <c r="H660" s="21">
        <f>IF(AND(A660="",B660="",C660="",D660=""),"",IF(AND(E660&lt;=3,F660&lt;=3,G660=""),1,0))</f>
        <v/>
      </c>
      <c r="I660" s="22">
        <f>IF(H660=0,IF(G660="중복","제외: 같은 이메일 중복 응답","제외: 3개 넘게 선택"),"")</f>
        <v/>
      </c>
    </row>
    <row r="661">
      <c r="A661" s="15" t="n"/>
      <c r="B661" s="15" t="n"/>
      <c r="C661" s="16" t="n"/>
      <c r="D661" s="16" t="n"/>
      <c r="E661" s="21">
        <f>IF(AND(A661="",B661="",C661="",D661=""),"",IF(TRIM(C661)="",0,LEN(C661)-LEN(SUBSTITUTE(C661,",",""))+1))</f>
        <v/>
      </c>
      <c r="F661" s="21">
        <f>IF(AND(A661="",B661="",C661="",D661=""),"",IF(TRIM(D661)="",0,LEN(D661)-LEN(SUBSTITUTE(D661,",",""))+1))</f>
        <v/>
      </c>
      <c r="G661" s="21">
        <f>IF(B661="","",IF(COUNTIF($B$6:B661,B661)&gt;1,"중복",""))</f>
        <v/>
      </c>
      <c r="H661" s="21">
        <f>IF(AND(A661="",B661="",C661="",D661=""),"",IF(AND(E661&lt;=3,F661&lt;=3,G661=""),1,0))</f>
        <v/>
      </c>
      <c r="I661" s="22">
        <f>IF(H661=0,IF(G661="중복","제외: 같은 이메일 중복 응답","제외: 3개 넘게 선택"),"")</f>
        <v/>
      </c>
    </row>
    <row r="662">
      <c r="A662" s="15" t="n"/>
      <c r="B662" s="15" t="n"/>
      <c r="C662" s="16" t="n"/>
      <c r="D662" s="16" t="n"/>
      <c r="E662" s="21">
        <f>IF(AND(A662="",B662="",C662="",D662=""),"",IF(TRIM(C662)="",0,LEN(C662)-LEN(SUBSTITUTE(C662,",",""))+1))</f>
        <v/>
      </c>
      <c r="F662" s="21">
        <f>IF(AND(A662="",B662="",C662="",D662=""),"",IF(TRIM(D662)="",0,LEN(D662)-LEN(SUBSTITUTE(D662,",",""))+1))</f>
        <v/>
      </c>
      <c r="G662" s="21">
        <f>IF(B662="","",IF(COUNTIF($B$6:B662,B662)&gt;1,"중복",""))</f>
        <v/>
      </c>
      <c r="H662" s="21">
        <f>IF(AND(A662="",B662="",C662="",D662=""),"",IF(AND(E662&lt;=3,F662&lt;=3,G662=""),1,0))</f>
        <v/>
      </c>
      <c r="I662" s="22">
        <f>IF(H662=0,IF(G662="중복","제외: 같은 이메일 중복 응답","제외: 3개 넘게 선택"),"")</f>
        <v/>
      </c>
    </row>
    <row r="663">
      <c r="A663" s="15" t="n"/>
      <c r="B663" s="15" t="n"/>
      <c r="C663" s="16" t="n"/>
      <c r="D663" s="16" t="n"/>
      <c r="E663" s="21">
        <f>IF(AND(A663="",B663="",C663="",D663=""),"",IF(TRIM(C663)="",0,LEN(C663)-LEN(SUBSTITUTE(C663,",",""))+1))</f>
        <v/>
      </c>
      <c r="F663" s="21">
        <f>IF(AND(A663="",B663="",C663="",D663=""),"",IF(TRIM(D663)="",0,LEN(D663)-LEN(SUBSTITUTE(D663,",",""))+1))</f>
        <v/>
      </c>
      <c r="G663" s="21">
        <f>IF(B663="","",IF(COUNTIF($B$6:B663,B663)&gt;1,"중복",""))</f>
        <v/>
      </c>
      <c r="H663" s="21">
        <f>IF(AND(A663="",B663="",C663="",D663=""),"",IF(AND(E663&lt;=3,F663&lt;=3,G663=""),1,0))</f>
        <v/>
      </c>
      <c r="I663" s="22">
        <f>IF(H663=0,IF(G663="중복","제외: 같은 이메일 중복 응답","제외: 3개 넘게 선택"),"")</f>
        <v/>
      </c>
    </row>
    <row r="664">
      <c r="A664" s="15" t="n"/>
      <c r="B664" s="15" t="n"/>
      <c r="C664" s="16" t="n"/>
      <c r="D664" s="16" t="n"/>
      <c r="E664" s="21">
        <f>IF(AND(A664="",B664="",C664="",D664=""),"",IF(TRIM(C664)="",0,LEN(C664)-LEN(SUBSTITUTE(C664,",",""))+1))</f>
        <v/>
      </c>
      <c r="F664" s="21">
        <f>IF(AND(A664="",B664="",C664="",D664=""),"",IF(TRIM(D664)="",0,LEN(D664)-LEN(SUBSTITUTE(D664,",",""))+1))</f>
        <v/>
      </c>
      <c r="G664" s="21">
        <f>IF(B664="","",IF(COUNTIF($B$6:B664,B664)&gt;1,"중복",""))</f>
        <v/>
      </c>
      <c r="H664" s="21">
        <f>IF(AND(A664="",B664="",C664="",D664=""),"",IF(AND(E664&lt;=3,F664&lt;=3,G664=""),1,0))</f>
        <v/>
      </c>
      <c r="I664" s="22">
        <f>IF(H664=0,IF(G664="중복","제외: 같은 이메일 중복 응답","제외: 3개 넘게 선택"),"")</f>
        <v/>
      </c>
    </row>
    <row r="665">
      <c r="A665" s="15" t="n"/>
      <c r="B665" s="15" t="n"/>
      <c r="C665" s="16" t="n"/>
      <c r="D665" s="16" t="n"/>
      <c r="E665" s="21">
        <f>IF(AND(A665="",B665="",C665="",D665=""),"",IF(TRIM(C665)="",0,LEN(C665)-LEN(SUBSTITUTE(C665,",",""))+1))</f>
        <v/>
      </c>
      <c r="F665" s="21">
        <f>IF(AND(A665="",B665="",C665="",D665=""),"",IF(TRIM(D665)="",0,LEN(D665)-LEN(SUBSTITUTE(D665,",",""))+1))</f>
        <v/>
      </c>
      <c r="G665" s="21">
        <f>IF(B665="","",IF(COUNTIF($B$6:B665,B665)&gt;1,"중복",""))</f>
        <v/>
      </c>
      <c r="H665" s="21">
        <f>IF(AND(A665="",B665="",C665="",D665=""),"",IF(AND(E665&lt;=3,F665&lt;=3,G665=""),1,0))</f>
        <v/>
      </c>
      <c r="I665" s="22">
        <f>IF(H665=0,IF(G665="중복","제외: 같은 이메일 중복 응답","제외: 3개 넘게 선택"),"")</f>
        <v/>
      </c>
    </row>
    <row r="666">
      <c r="A666" s="15" t="n"/>
      <c r="B666" s="15" t="n"/>
      <c r="C666" s="16" t="n"/>
      <c r="D666" s="16" t="n"/>
      <c r="E666" s="21">
        <f>IF(AND(A666="",B666="",C666="",D666=""),"",IF(TRIM(C666)="",0,LEN(C666)-LEN(SUBSTITUTE(C666,",",""))+1))</f>
        <v/>
      </c>
      <c r="F666" s="21">
        <f>IF(AND(A666="",B666="",C666="",D666=""),"",IF(TRIM(D666)="",0,LEN(D666)-LEN(SUBSTITUTE(D666,",",""))+1))</f>
        <v/>
      </c>
      <c r="G666" s="21">
        <f>IF(B666="","",IF(COUNTIF($B$6:B666,B666)&gt;1,"중복",""))</f>
        <v/>
      </c>
      <c r="H666" s="21">
        <f>IF(AND(A666="",B666="",C666="",D666=""),"",IF(AND(E666&lt;=3,F666&lt;=3,G666=""),1,0))</f>
        <v/>
      </c>
      <c r="I666" s="22">
        <f>IF(H666=0,IF(G666="중복","제외: 같은 이메일 중복 응답","제외: 3개 넘게 선택"),"")</f>
        <v/>
      </c>
    </row>
    <row r="667">
      <c r="A667" s="15" t="n"/>
      <c r="B667" s="15" t="n"/>
      <c r="C667" s="16" t="n"/>
      <c r="D667" s="16" t="n"/>
      <c r="E667" s="21">
        <f>IF(AND(A667="",B667="",C667="",D667=""),"",IF(TRIM(C667)="",0,LEN(C667)-LEN(SUBSTITUTE(C667,",",""))+1))</f>
        <v/>
      </c>
      <c r="F667" s="21">
        <f>IF(AND(A667="",B667="",C667="",D667=""),"",IF(TRIM(D667)="",0,LEN(D667)-LEN(SUBSTITUTE(D667,",",""))+1))</f>
        <v/>
      </c>
      <c r="G667" s="21">
        <f>IF(B667="","",IF(COUNTIF($B$6:B667,B667)&gt;1,"중복",""))</f>
        <v/>
      </c>
      <c r="H667" s="21">
        <f>IF(AND(A667="",B667="",C667="",D667=""),"",IF(AND(E667&lt;=3,F667&lt;=3,G667=""),1,0))</f>
        <v/>
      </c>
      <c r="I667" s="22">
        <f>IF(H667=0,IF(G667="중복","제외: 같은 이메일 중복 응답","제외: 3개 넘게 선택"),"")</f>
        <v/>
      </c>
    </row>
    <row r="668">
      <c r="A668" s="15" t="n"/>
      <c r="B668" s="15" t="n"/>
      <c r="C668" s="16" t="n"/>
      <c r="D668" s="16" t="n"/>
      <c r="E668" s="21">
        <f>IF(AND(A668="",B668="",C668="",D668=""),"",IF(TRIM(C668)="",0,LEN(C668)-LEN(SUBSTITUTE(C668,",",""))+1))</f>
        <v/>
      </c>
      <c r="F668" s="21">
        <f>IF(AND(A668="",B668="",C668="",D668=""),"",IF(TRIM(D668)="",0,LEN(D668)-LEN(SUBSTITUTE(D668,",",""))+1))</f>
        <v/>
      </c>
      <c r="G668" s="21">
        <f>IF(B668="","",IF(COUNTIF($B$6:B668,B668)&gt;1,"중복",""))</f>
        <v/>
      </c>
      <c r="H668" s="21">
        <f>IF(AND(A668="",B668="",C668="",D668=""),"",IF(AND(E668&lt;=3,F668&lt;=3,G668=""),1,0))</f>
        <v/>
      </c>
      <c r="I668" s="22">
        <f>IF(H668=0,IF(G668="중복","제외: 같은 이메일 중복 응답","제외: 3개 넘게 선택"),"")</f>
        <v/>
      </c>
    </row>
    <row r="669">
      <c r="A669" s="15" t="n"/>
      <c r="B669" s="15" t="n"/>
      <c r="C669" s="16" t="n"/>
      <c r="D669" s="16" t="n"/>
      <c r="E669" s="21">
        <f>IF(AND(A669="",B669="",C669="",D669=""),"",IF(TRIM(C669)="",0,LEN(C669)-LEN(SUBSTITUTE(C669,",",""))+1))</f>
        <v/>
      </c>
      <c r="F669" s="21">
        <f>IF(AND(A669="",B669="",C669="",D669=""),"",IF(TRIM(D669)="",0,LEN(D669)-LEN(SUBSTITUTE(D669,",",""))+1))</f>
        <v/>
      </c>
      <c r="G669" s="21">
        <f>IF(B669="","",IF(COUNTIF($B$6:B669,B669)&gt;1,"중복",""))</f>
        <v/>
      </c>
      <c r="H669" s="21">
        <f>IF(AND(A669="",B669="",C669="",D669=""),"",IF(AND(E669&lt;=3,F669&lt;=3,G669=""),1,0))</f>
        <v/>
      </c>
      <c r="I669" s="22">
        <f>IF(H669=0,IF(G669="중복","제외: 같은 이메일 중복 응답","제외: 3개 넘게 선택"),"")</f>
        <v/>
      </c>
    </row>
    <row r="670">
      <c r="A670" s="15" t="n"/>
      <c r="B670" s="15" t="n"/>
      <c r="C670" s="16" t="n"/>
      <c r="D670" s="16" t="n"/>
      <c r="E670" s="21">
        <f>IF(AND(A670="",B670="",C670="",D670=""),"",IF(TRIM(C670)="",0,LEN(C670)-LEN(SUBSTITUTE(C670,",",""))+1))</f>
        <v/>
      </c>
      <c r="F670" s="21">
        <f>IF(AND(A670="",B670="",C670="",D670=""),"",IF(TRIM(D670)="",0,LEN(D670)-LEN(SUBSTITUTE(D670,",",""))+1))</f>
        <v/>
      </c>
      <c r="G670" s="21">
        <f>IF(B670="","",IF(COUNTIF($B$6:B670,B670)&gt;1,"중복",""))</f>
        <v/>
      </c>
      <c r="H670" s="21">
        <f>IF(AND(A670="",B670="",C670="",D670=""),"",IF(AND(E670&lt;=3,F670&lt;=3,G670=""),1,0))</f>
        <v/>
      </c>
      <c r="I670" s="22">
        <f>IF(H670=0,IF(G670="중복","제외: 같은 이메일 중복 응답","제외: 3개 넘게 선택"),"")</f>
        <v/>
      </c>
    </row>
    <row r="671">
      <c r="A671" s="15" t="n"/>
      <c r="B671" s="15" t="n"/>
      <c r="C671" s="16" t="n"/>
      <c r="D671" s="16" t="n"/>
      <c r="E671" s="21">
        <f>IF(AND(A671="",B671="",C671="",D671=""),"",IF(TRIM(C671)="",0,LEN(C671)-LEN(SUBSTITUTE(C671,",",""))+1))</f>
        <v/>
      </c>
      <c r="F671" s="21">
        <f>IF(AND(A671="",B671="",C671="",D671=""),"",IF(TRIM(D671)="",0,LEN(D671)-LEN(SUBSTITUTE(D671,",",""))+1))</f>
        <v/>
      </c>
      <c r="G671" s="21">
        <f>IF(B671="","",IF(COUNTIF($B$6:B671,B671)&gt;1,"중복",""))</f>
        <v/>
      </c>
      <c r="H671" s="21">
        <f>IF(AND(A671="",B671="",C671="",D671=""),"",IF(AND(E671&lt;=3,F671&lt;=3,G671=""),1,0))</f>
        <v/>
      </c>
      <c r="I671" s="22">
        <f>IF(H671=0,IF(G671="중복","제외: 같은 이메일 중복 응답","제외: 3개 넘게 선택"),"")</f>
        <v/>
      </c>
    </row>
    <row r="672">
      <c r="A672" s="15" t="n"/>
      <c r="B672" s="15" t="n"/>
      <c r="C672" s="16" t="n"/>
      <c r="D672" s="16" t="n"/>
      <c r="E672" s="21">
        <f>IF(AND(A672="",B672="",C672="",D672=""),"",IF(TRIM(C672)="",0,LEN(C672)-LEN(SUBSTITUTE(C672,",",""))+1))</f>
        <v/>
      </c>
      <c r="F672" s="21">
        <f>IF(AND(A672="",B672="",C672="",D672=""),"",IF(TRIM(D672)="",0,LEN(D672)-LEN(SUBSTITUTE(D672,",",""))+1))</f>
        <v/>
      </c>
      <c r="G672" s="21">
        <f>IF(B672="","",IF(COUNTIF($B$6:B672,B672)&gt;1,"중복",""))</f>
        <v/>
      </c>
      <c r="H672" s="21">
        <f>IF(AND(A672="",B672="",C672="",D672=""),"",IF(AND(E672&lt;=3,F672&lt;=3,G672=""),1,0))</f>
        <v/>
      </c>
      <c r="I672" s="22">
        <f>IF(H672=0,IF(G672="중복","제외: 같은 이메일 중복 응답","제외: 3개 넘게 선택"),"")</f>
        <v/>
      </c>
    </row>
    <row r="673">
      <c r="A673" s="15" t="n"/>
      <c r="B673" s="15" t="n"/>
      <c r="C673" s="16" t="n"/>
      <c r="D673" s="16" t="n"/>
      <c r="E673" s="21">
        <f>IF(AND(A673="",B673="",C673="",D673=""),"",IF(TRIM(C673)="",0,LEN(C673)-LEN(SUBSTITUTE(C673,",",""))+1))</f>
        <v/>
      </c>
      <c r="F673" s="21">
        <f>IF(AND(A673="",B673="",C673="",D673=""),"",IF(TRIM(D673)="",0,LEN(D673)-LEN(SUBSTITUTE(D673,",",""))+1))</f>
        <v/>
      </c>
      <c r="G673" s="21">
        <f>IF(B673="","",IF(COUNTIF($B$6:B673,B673)&gt;1,"중복",""))</f>
        <v/>
      </c>
      <c r="H673" s="21">
        <f>IF(AND(A673="",B673="",C673="",D673=""),"",IF(AND(E673&lt;=3,F673&lt;=3,G673=""),1,0))</f>
        <v/>
      </c>
      <c r="I673" s="22">
        <f>IF(H673=0,IF(G673="중복","제외: 같은 이메일 중복 응답","제외: 3개 넘게 선택"),"")</f>
        <v/>
      </c>
    </row>
    <row r="674">
      <c r="A674" s="15" t="n"/>
      <c r="B674" s="15" t="n"/>
      <c r="C674" s="16" t="n"/>
      <c r="D674" s="16" t="n"/>
      <c r="E674" s="21">
        <f>IF(AND(A674="",B674="",C674="",D674=""),"",IF(TRIM(C674)="",0,LEN(C674)-LEN(SUBSTITUTE(C674,",",""))+1))</f>
        <v/>
      </c>
      <c r="F674" s="21">
        <f>IF(AND(A674="",B674="",C674="",D674=""),"",IF(TRIM(D674)="",0,LEN(D674)-LEN(SUBSTITUTE(D674,",",""))+1))</f>
        <v/>
      </c>
      <c r="G674" s="21">
        <f>IF(B674="","",IF(COUNTIF($B$6:B674,B674)&gt;1,"중복",""))</f>
        <v/>
      </c>
      <c r="H674" s="21">
        <f>IF(AND(A674="",B674="",C674="",D674=""),"",IF(AND(E674&lt;=3,F674&lt;=3,G674=""),1,0))</f>
        <v/>
      </c>
      <c r="I674" s="22">
        <f>IF(H674=0,IF(G674="중복","제외: 같은 이메일 중복 응답","제외: 3개 넘게 선택"),"")</f>
        <v/>
      </c>
    </row>
    <row r="675">
      <c r="A675" s="15" t="n"/>
      <c r="B675" s="15" t="n"/>
      <c r="C675" s="16" t="n"/>
      <c r="D675" s="16" t="n"/>
      <c r="E675" s="21">
        <f>IF(AND(A675="",B675="",C675="",D675=""),"",IF(TRIM(C675)="",0,LEN(C675)-LEN(SUBSTITUTE(C675,",",""))+1))</f>
        <v/>
      </c>
      <c r="F675" s="21">
        <f>IF(AND(A675="",B675="",C675="",D675=""),"",IF(TRIM(D675)="",0,LEN(D675)-LEN(SUBSTITUTE(D675,",",""))+1))</f>
        <v/>
      </c>
      <c r="G675" s="21">
        <f>IF(B675="","",IF(COUNTIF($B$6:B675,B675)&gt;1,"중복",""))</f>
        <v/>
      </c>
      <c r="H675" s="21">
        <f>IF(AND(A675="",B675="",C675="",D675=""),"",IF(AND(E675&lt;=3,F675&lt;=3,G675=""),1,0))</f>
        <v/>
      </c>
      <c r="I675" s="22">
        <f>IF(H675=0,IF(G675="중복","제외: 같은 이메일 중복 응답","제외: 3개 넘게 선택"),"")</f>
        <v/>
      </c>
    </row>
    <row r="676">
      <c r="A676" s="15" t="n"/>
      <c r="B676" s="15" t="n"/>
      <c r="C676" s="16" t="n"/>
      <c r="D676" s="16" t="n"/>
      <c r="E676" s="21">
        <f>IF(AND(A676="",B676="",C676="",D676=""),"",IF(TRIM(C676)="",0,LEN(C676)-LEN(SUBSTITUTE(C676,",",""))+1))</f>
        <v/>
      </c>
      <c r="F676" s="21">
        <f>IF(AND(A676="",B676="",C676="",D676=""),"",IF(TRIM(D676)="",0,LEN(D676)-LEN(SUBSTITUTE(D676,",",""))+1))</f>
        <v/>
      </c>
      <c r="G676" s="21">
        <f>IF(B676="","",IF(COUNTIF($B$6:B676,B676)&gt;1,"중복",""))</f>
        <v/>
      </c>
      <c r="H676" s="21">
        <f>IF(AND(A676="",B676="",C676="",D676=""),"",IF(AND(E676&lt;=3,F676&lt;=3,G676=""),1,0))</f>
        <v/>
      </c>
      <c r="I676" s="22">
        <f>IF(H676=0,IF(G676="중복","제외: 같은 이메일 중복 응답","제외: 3개 넘게 선택"),"")</f>
        <v/>
      </c>
    </row>
    <row r="677">
      <c r="A677" s="15" t="n"/>
      <c r="B677" s="15" t="n"/>
      <c r="C677" s="16" t="n"/>
      <c r="D677" s="16" t="n"/>
      <c r="E677" s="21">
        <f>IF(AND(A677="",B677="",C677="",D677=""),"",IF(TRIM(C677)="",0,LEN(C677)-LEN(SUBSTITUTE(C677,",",""))+1))</f>
        <v/>
      </c>
      <c r="F677" s="21">
        <f>IF(AND(A677="",B677="",C677="",D677=""),"",IF(TRIM(D677)="",0,LEN(D677)-LEN(SUBSTITUTE(D677,",",""))+1))</f>
        <v/>
      </c>
      <c r="G677" s="21">
        <f>IF(B677="","",IF(COUNTIF($B$6:B677,B677)&gt;1,"중복",""))</f>
        <v/>
      </c>
      <c r="H677" s="21">
        <f>IF(AND(A677="",B677="",C677="",D677=""),"",IF(AND(E677&lt;=3,F677&lt;=3,G677=""),1,0))</f>
        <v/>
      </c>
      <c r="I677" s="22">
        <f>IF(H677=0,IF(G677="중복","제외: 같은 이메일 중복 응답","제외: 3개 넘게 선택"),"")</f>
        <v/>
      </c>
    </row>
    <row r="678">
      <c r="A678" s="15" t="n"/>
      <c r="B678" s="15" t="n"/>
      <c r="C678" s="16" t="n"/>
      <c r="D678" s="16" t="n"/>
      <c r="E678" s="21">
        <f>IF(AND(A678="",B678="",C678="",D678=""),"",IF(TRIM(C678)="",0,LEN(C678)-LEN(SUBSTITUTE(C678,",",""))+1))</f>
        <v/>
      </c>
      <c r="F678" s="21">
        <f>IF(AND(A678="",B678="",C678="",D678=""),"",IF(TRIM(D678)="",0,LEN(D678)-LEN(SUBSTITUTE(D678,",",""))+1))</f>
        <v/>
      </c>
      <c r="G678" s="21">
        <f>IF(B678="","",IF(COUNTIF($B$6:B678,B678)&gt;1,"중복",""))</f>
        <v/>
      </c>
      <c r="H678" s="21">
        <f>IF(AND(A678="",B678="",C678="",D678=""),"",IF(AND(E678&lt;=3,F678&lt;=3,G678=""),1,0))</f>
        <v/>
      </c>
      <c r="I678" s="22">
        <f>IF(H678=0,IF(G678="중복","제외: 같은 이메일 중복 응답","제외: 3개 넘게 선택"),"")</f>
        <v/>
      </c>
    </row>
    <row r="679">
      <c r="A679" s="15" t="n"/>
      <c r="B679" s="15" t="n"/>
      <c r="C679" s="16" t="n"/>
      <c r="D679" s="16" t="n"/>
      <c r="E679" s="21">
        <f>IF(AND(A679="",B679="",C679="",D679=""),"",IF(TRIM(C679)="",0,LEN(C679)-LEN(SUBSTITUTE(C679,",",""))+1))</f>
        <v/>
      </c>
      <c r="F679" s="21">
        <f>IF(AND(A679="",B679="",C679="",D679=""),"",IF(TRIM(D679)="",0,LEN(D679)-LEN(SUBSTITUTE(D679,",",""))+1))</f>
        <v/>
      </c>
      <c r="G679" s="21">
        <f>IF(B679="","",IF(COUNTIF($B$6:B679,B679)&gt;1,"중복",""))</f>
        <v/>
      </c>
      <c r="H679" s="21">
        <f>IF(AND(A679="",B679="",C679="",D679=""),"",IF(AND(E679&lt;=3,F679&lt;=3,G679=""),1,0))</f>
        <v/>
      </c>
      <c r="I679" s="22">
        <f>IF(H679=0,IF(G679="중복","제외: 같은 이메일 중복 응답","제외: 3개 넘게 선택"),"")</f>
        <v/>
      </c>
    </row>
    <row r="680">
      <c r="A680" s="15" t="n"/>
      <c r="B680" s="15" t="n"/>
      <c r="C680" s="16" t="n"/>
      <c r="D680" s="16" t="n"/>
      <c r="E680" s="21">
        <f>IF(AND(A680="",B680="",C680="",D680=""),"",IF(TRIM(C680)="",0,LEN(C680)-LEN(SUBSTITUTE(C680,",",""))+1))</f>
        <v/>
      </c>
      <c r="F680" s="21">
        <f>IF(AND(A680="",B680="",C680="",D680=""),"",IF(TRIM(D680)="",0,LEN(D680)-LEN(SUBSTITUTE(D680,",",""))+1))</f>
        <v/>
      </c>
      <c r="G680" s="21">
        <f>IF(B680="","",IF(COUNTIF($B$6:B680,B680)&gt;1,"중복",""))</f>
        <v/>
      </c>
      <c r="H680" s="21">
        <f>IF(AND(A680="",B680="",C680="",D680=""),"",IF(AND(E680&lt;=3,F680&lt;=3,G680=""),1,0))</f>
        <v/>
      </c>
      <c r="I680" s="22">
        <f>IF(H680=0,IF(G680="중복","제외: 같은 이메일 중복 응답","제외: 3개 넘게 선택"),"")</f>
        <v/>
      </c>
    </row>
    <row r="681">
      <c r="A681" s="15" t="n"/>
      <c r="B681" s="15" t="n"/>
      <c r="C681" s="16" t="n"/>
      <c r="D681" s="16" t="n"/>
      <c r="E681" s="21">
        <f>IF(AND(A681="",B681="",C681="",D681=""),"",IF(TRIM(C681)="",0,LEN(C681)-LEN(SUBSTITUTE(C681,",",""))+1))</f>
        <v/>
      </c>
      <c r="F681" s="21">
        <f>IF(AND(A681="",B681="",C681="",D681=""),"",IF(TRIM(D681)="",0,LEN(D681)-LEN(SUBSTITUTE(D681,",",""))+1))</f>
        <v/>
      </c>
      <c r="G681" s="21">
        <f>IF(B681="","",IF(COUNTIF($B$6:B681,B681)&gt;1,"중복",""))</f>
        <v/>
      </c>
      <c r="H681" s="21">
        <f>IF(AND(A681="",B681="",C681="",D681=""),"",IF(AND(E681&lt;=3,F681&lt;=3,G681=""),1,0))</f>
        <v/>
      </c>
      <c r="I681" s="22">
        <f>IF(H681=0,IF(G681="중복","제외: 같은 이메일 중복 응답","제외: 3개 넘게 선택"),"")</f>
        <v/>
      </c>
    </row>
    <row r="682">
      <c r="A682" s="15" t="n"/>
      <c r="B682" s="15" t="n"/>
      <c r="C682" s="16" t="n"/>
      <c r="D682" s="16" t="n"/>
      <c r="E682" s="21">
        <f>IF(AND(A682="",B682="",C682="",D682=""),"",IF(TRIM(C682)="",0,LEN(C682)-LEN(SUBSTITUTE(C682,",",""))+1))</f>
        <v/>
      </c>
      <c r="F682" s="21">
        <f>IF(AND(A682="",B682="",C682="",D682=""),"",IF(TRIM(D682)="",0,LEN(D682)-LEN(SUBSTITUTE(D682,",",""))+1))</f>
        <v/>
      </c>
      <c r="G682" s="21">
        <f>IF(B682="","",IF(COUNTIF($B$6:B682,B682)&gt;1,"중복",""))</f>
        <v/>
      </c>
      <c r="H682" s="21">
        <f>IF(AND(A682="",B682="",C682="",D682=""),"",IF(AND(E682&lt;=3,F682&lt;=3,G682=""),1,0))</f>
        <v/>
      </c>
      <c r="I682" s="22">
        <f>IF(H682=0,IF(G682="중복","제외: 같은 이메일 중복 응답","제외: 3개 넘게 선택"),"")</f>
        <v/>
      </c>
    </row>
    <row r="683">
      <c r="A683" s="15" t="n"/>
      <c r="B683" s="15" t="n"/>
      <c r="C683" s="16" t="n"/>
      <c r="D683" s="16" t="n"/>
      <c r="E683" s="21">
        <f>IF(AND(A683="",B683="",C683="",D683=""),"",IF(TRIM(C683)="",0,LEN(C683)-LEN(SUBSTITUTE(C683,",",""))+1))</f>
        <v/>
      </c>
      <c r="F683" s="21">
        <f>IF(AND(A683="",B683="",C683="",D683=""),"",IF(TRIM(D683)="",0,LEN(D683)-LEN(SUBSTITUTE(D683,",",""))+1))</f>
        <v/>
      </c>
      <c r="G683" s="21">
        <f>IF(B683="","",IF(COUNTIF($B$6:B683,B683)&gt;1,"중복",""))</f>
        <v/>
      </c>
      <c r="H683" s="21">
        <f>IF(AND(A683="",B683="",C683="",D683=""),"",IF(AND(E683&lt;=3,F683&lt;=3,G683=""),1,0))</f>
        <v/>
      </c>
      <c r="I683" s="22">
        <f>IF(H683=0,IF(G683="중복","제외: 같은 이메일 중복 응답","제외: 3개 넘게 선택"),"")</f>
        <v/>
      </c>
    </row>
    <row r="684">
      <c r="A684" s="15" t="n"/>
      <c r="B684" s="15" t="n"/>
      <c r="C684" s="16" t="n"/>
      <c r="D684" s="16" t="n"/>
      <c r="E684" s="21">
        <f>IF(AND(A684="",B684="",C684="",D684=""),"",IF(TRIM(C684)="",0,LEN(C684)-LEN(SUBSTITUTE(C684,",",""))+1))</f>
        <v/>
      </c>
      <c r="F684" s="21">
        <f>IF(AND(A684="",B684="",C684="",D684=""),"",IF(TRIM(D684)="",0,LEN(D684)-LEN(SUBSTITUTE(D684,",",""))+1))</f>
        <v/>
      </c>
      <c r="G684" s="21">
        <f>IF(B684="","",IF(COUNTIF($B$6:B684,B684)&gt;1,"중복",""))</f>
        <v/>
      </c>
      <c r="H684" s="21">
        <f>IF(AND(A684="",B684="",C684="",D684=""),"",IF(AND(E684&lt;=3,F684&lt;=3,G684=""),1,0))</f>
        <v/>
      </c>
      <c r="I684" s="22">
        <f>IF(H684=0,IF(G684="중복","제외: 같은 이메일 중복 응답","제외: 3개 넘게 선택"),"")</f>
        <v/>
      </c>
    </row>
    <row r="685">
      <c r="A685" s="15" t="n"/>
      <c r="B685" s="15" t="n"/>
      <c r="C685" s="16" t="n"/>
      <c r="D685" s="16" t="n"/>
      <c r="E685" s="21">
        <f>IF(AND(A685="",B685="",C685="",D685=""),"",IF(TRIM(C685)="",0,LEN(C685)-LEN(SUBSTITUTE(C685,",",""))+1))</f>
        <v/>
      </c>
      <c r="F685" s="21">
        <f>IF(AND(A685="",B685="",C685="",D685=""),"",IF(TRIM(D685)="",0,LEN(D685)-LEN(SUBSTITUTE(D685,",",""))+1))</f>
        <v/>
      </c>
      <c r="G685" s="21">
        <f>IF(B685="","",IF(COUNTIF($B$6:B685,B685)&gt;1,"중복",""))</f>
        <v/>
      </c>
      <c r="H685" s="21">
        <f>IF(AND(A685="",B685="",C685="",D685=""),"",IF(AND(E685&lt;=3,F685&lt;=3,G685=""),1,0))</f>
        <v/>
      </c>
      <c r="I685" s="22">
        <f>IF(H685=0,IF(G685="중복","제외: 같은 이메일 중복 응답","제외: 3개 넘게 선택"),"")</f>
        <v/>
      </c>
    </row>
    <row r="686">
      <c r="A686" s="15" t="n"/>
      <c r="B686" s="15" t="n"/>
      <c r="C686" s="16" t="n"/>
      <c r="D686" s="16" t="n"/>
      <c r="E686" s="21">
        <f>IF(AND(A686="",B686="",C686="",D686=""),"",IF(TRIM(C686)="",0,LEN(C686)-LEN(SUBSTITUTE(C686,",",""))+1))</f>
        <v/>
      </c>
      <c r="F686" s="21">
        <f>IF(AND(A686="",B686="",C686="",D686=""),"",IF(TRIM(D686)="",0,LEN(D686)-LEN(SUBSTITUTE(D686,",",""))+1))</f>
        <v/>
      </c>
      <c r="G686" s="21">
        <f>IF(B686="","",IF(COUNTIF($B$6:B686,B686)&gt;1,"중복",""))</f>
        <v/>
      </c>
      <c r="H686" s="21">
        <f>IF(AND(A686="",B686="",C686="",D686=""),"",IF(AND(E686&lt;=3,F686&lt;=3,G686=""),1,0))</f>
        <v/>
      </c>
      <c r="I686" s="22">
        <f>IF(H686=0,IF(G686="중복","제외: 같은 이메일 중복 응답","제외: 3개 넘게 선택"),"")</f>
        <v/>
      </c>
    </row>
    <row r="687">
      <c r="A687" s="15" t="n"/>
      <c r="B687" s="15" t="n"/>
      <c r="C687" s="16" t="n"/>
      <c r="D687" s="16" t="n"/>
      <c r="E687" s="21">
        <f>IF(AND(A687="",B687="",C687="",D687=""),"",IF(TRIM(C687)="",0,LEN(C687)-LEN(SUBSTITUTE(C687,",",""))+1))</f>
        <v/>
      </c>
      <c r="F687" s="21">
        <f>IF(AND(A687="",B687="",C687="",D687=""),"",IF(TRIM(D687)="",0,LEN(D687)-LEN(SUBSTITUTE(D687,",",""))+1))</f>
        <v/>
      </c>
      <c r="G687" s="21">
        <f>IF(B687="","",IF(COUNTIF($B$6:B687,B687)&gt;1,"중복",""))</f>
        <v/>
      </c>
      <c r="H687" s="21">
        <f>IF(AND(A687="",B687="",C687="",D687=""),"",IF(AND(E687&lt;=3,F687&lt;=3,G687=""),1,0))</f>
        <v/>
      </c>
      <c r="I687" s="22">
        <f>IF(H687=0,IF(G687="중복","제외: 같은 이메일 중복 응답","제외: 3개 넘게 선택"),"")</f>
        <v/>
      </c>
    </row>
    <row r="688">
      <c r="A688" s="15" t="n"/>
      <c r="B688" s="15" t="n"/>
      <c r="C688" s="16" t="n"/>
      <c r="D688" s="16" t="n"/>
      <c r="E688" s="21">
        <f>IF(AND(A688="",B688="",C688="",D688=""),"",IF(TRIM(C688)="",0,LEN(C688)-LEN(SUBSTITUTE(C688,",",""))+1))</f>
        <v/>
      </c>
      <c r="F688" s="21">
        <f>IF(AND(A688="",B688="",C688="",D688=""),"",IF(TRIM(D688)="",0,LEN(D688)-LEN(SUBSTITUTE(D688,",",""))+1))</f>
        <v/>
      </c>
      <c r="G688" s="21">
        <f>IF(B688="","",IF(COUNTIF($B$6:B688,B688)&gt;1,"중복",""))</f>
        <v/>
      </c>
      <c r="H688" s="21">
        <f>IF(AND(A688="",B688="",C688="",D688=""),"",IF(AND(E688&lt;=3,F688&lt;=3,G688=""),1,0))</f>
        <v/>
      </c>
      <c r="I688" s="22">
        <f>IF(H688=0,IF(G688="중복","제외: 같은 이메일 중복 응답","제외: 3개 넘게 선택"),"")</f>
        <v/>
      </c>
    </row>
    <row r="689">
      <c r="A689" s="15" t="n"/>
      <c r="B689" s="15" t="n"/>
      <c r="C689" s="16" t="n"/>
      <c r="D689" s="16" t="n"/>
      <c r="E689" s="21">
        <f>IF(AND(A689="",B689="",C689="",D689=""),"",IF(TRIM(C689)="",0,LEN(C689)-LEN(SUBSTITUTE(C689,",",""))+1))</f>
        <v/>
      </c>
      <c r="F689" s="21">
        <f>IF(AND(A689="",B689="",C689="",D689=""),"",IF(TRIM(D689)="",0,LEN(D689)-LEN(SUBSTITUTE(D689,",",""))+1))</f>
        <v/>
      </c>
      <c r="G689" s="21">
        <f>IF(B689="","",IF(COUNTIF($B$6:B689,B689)&gt;1,"중복",""))</f>
        <v/>
      </c>
      <c r="H689" s="21">
        <f>IF(AND(A689="",B689="",C689="",D689=""),"",IF(AND(E689&lt;=3,F689&lt;=3,G689=""),1,0))</f>
        <v/>
      </c>
      <c r="I689" s="22">
        <f>IF(H689=0,IF(G689="중복","제외: 같은 이메일 중복 응답","제외: 3개 넘게 선택"),"")</f>
        <v/>
      </c>
    </row>
    <row r="690">
      <c r="A690" s="15" t="n"/>
      <c r="B690" s="15" t="n"/>
      <c r="C690" s="16" t="n"/>
      <c r="D690" s="16" t="n"/>
      <c r="E690" s="21">
        <f>IF(AND(A690="",B690="",C690="",D690=""),"",IF(TRIM(C690)="",0,LEN(C690)-LEN(SUBSTITUTE(C690,",",""))+1))</f>
        <v/>
      </c>
      <c r="F690" s="21">
        <f>IF(AND(A690="",B690="",C690="",D690=""),"",IF(TRIM(D690)="",0,LEN(D690)-LEN(SUBSTITUTE(D690,",",""))+1))</f>
        <v/>
      </c>
      <c r="G690" s="21">
        <f>IF(B690="","",IF(COUNTIF($B$6:B690,B690)&gt;1,"중복",""))</f>
        <v/>
      </c>
      <c r="H690" s="21">
        <f>IF(AND(A690="",B690="",C690="",D690=""),"",IF(AND(E690&lt;=3,F690&lt;=3,G690=""),1,0))</f>
        <v/>
      </c>
      <c r="I690" s="22">
        <f>IF(H690=0,IF(G690="중복","제외: 같은 이메일 중복 응답","제외: 3개 넘게 선택"),"")</f>
        <v/>
      </c>
    </row>
    <row r="691">
      <c r="A691" s="15" t="n"/>
      <c r="B691" s="15" t="n"/>
      <c r="C691" s="16" t="n"/>
      <c r="D691" s="16" t="n"/>
      <c r="E691" s="21">
        <f>IF(AND(A691="",B691="",C691="",D691=""),"",IF(TRIM(C691)="",0,LEN(C691)-LEN(SUBSTITUTE(C691,",",""))+1))</f>
        <v/>
      </c>
      <c r="F691" s="21">
        <f>IF(AND(A691="",B691="",C691="",D691=""),"",IF(TRIM(D691)="",0,LEN(D691)-LEN(SUBSTITUTE(D691,",",""))+1))</f>
        <v/>
      </c>
      <c r="G691" s="21">
        <f>IF(B691="","",IF(COUNTIF($B$6:B691,B691)&gt;1,"중복",""))</f>
        <v/>
      </c>
      <c r="H691" s="21">
        <f>IF(AND(A691="",B691="",C691="",D691=""),"",IF(AND(E691&lt;=3,F691&lt;=3,G691=""),1,0))</f>
        <v/>
      </c>
      <c r="I691" s="22">
        <f>IF(H691=0,IF(G691="중복","제외: 같은 이메일 중복 응답","제외: 3개 넘게 선택"),"")</f>
        <v/>
      </c>
    </row>
    <row r="692">
      <c r="A692" s="15" t="n"/>
      <c r="B692" s="15" t="n"/>
      <c r="C692" s="16" t="n"/>
      <c r="D692" s="16" t="n"/>
      <c r="E692" s="21">
        <f>IF(AND(A692="",B692="",C692="",D692=""),"",IF(TRIM(C692)="",0,LEN(C692)-LEN(SUBSTITUTE(C692,",",""))+1))</f>
        <v/>
      </c>
      <c r="F692" s="21">
        <f>IF(AND(A692="",B692="",C692="",D692=""),"",IF(TRIM(D692)="",0,LEN(D692)-LEN(SUBSTITUTE(D692,",",""))+1))</f>
        <v/>
      </c>
      <c r="G692" s="21">
        <f>IF(B692="","",IF(COUNTIF($B$6:B692,B692)&gt;1,"중복",""))</f>
        <v/>
      </c>
      <c r="H692" s="21">
        <f>IF(AND(A692="",B692="",C692="",D692=""),"",IF(AND(E692&lt;=3,F692&lt;=3,G692=""),1,0))</f>
        <v/>
      </c>
      <c r="I692" s="22">
        <f>IF(H692=0,IF(G692="중복","제외: 같은 이메일 중복 응답","제외: 3개 넘게 선택"),"")</f>
        <v/>
      </c>
    </row>
    <row r="693">
      <c r="A693" s="15" t="n"/>
      <c r="B693" s="15" t="n"/>
      <c r="C693" s="16" t="n"/>
      <c r="D693" s="16" t="n"/>
      <c r="E693" s="21">
        <f>IF(AND(A693="",B693="",C693="",D693=""),"",IF(TRIM(C693)="",0,LEN(C693)-LEN(SUBSTITUTE(C693,",",""))+1))</f>
        <v/>
      </c>
      <c r="F693" s="21">
        <f>IF(AND(A693="",B693="",C693="",D693=""),"",IF(TRIM(D693)="",0,LEN(D693)-LEN(SUBSTITUTE(D693,",",""))+1))</f>
        <v/>
      </c>
      <c r="G693" s="21">
        <f>IF(B693="","",IF(COUNTIF($B$6:B693,B693)&gt;1,"중복",""))</f>
        <v/>
      </c>
      <c r="H693" s="21">
        <f>IF(AND(A693="",B693="",C693="",D693=""),"",IF(AND(E693&lt;=3,F693&lt;=3,G693=""),1,0))</f>
        <v/>
      </c>
      <c r="I693" s="22">
        <f>IF(H693=0,IF(G693="중복","제외: 같은 이메일 중복 응답","제외: 3개 넘게 선택"),"")</f>
        <v/>
      </c>
    </row>
    <row r="694">
      <c r="A694" s="15" t="n"/>
      <c r="B694" s="15" t="n"/>
      <c r="C694" s="16" t="n"/>
      <c r="D694" s="16" t="n"/>
      <c r="E694" s="21">
        <f>IF(AND(A694="",B694="",C694="",D694=""),"",IF(TRIM(C694)="",0,LEN(C694)-LEN(SUBSTITUTE(C694,",",""))+1))</f>
        <v/>
      </c>
      <c r="F694" s="21">
        <f>IF(AND(A694="",B694="",C694="",D694=""),"",IF(TRIM(D694)="",0,LEN(D694)-LEN(SUBSTITUTE(D694,",",""))+1))</f>
        <v/>
      </c>
      <c r="G694" s="21">
        <f>IF(B694="","",IF(COUNTIF($B$6:B694,B694)&gt;1,"중복",""))</f>
        <v/>
      </c>
      <c r="H694" s="21">
        <f>IF(AND(A694="",B694="",C694="",D694=""),"",IF(AND(E694&lt;=3,F694&lt;=3,G694=""),1,0))</f>
        <v/>
      </c>
      <c r="I694" s="22">
        <f>IF(H694=0,IF(G694="중복","제외: 같은 이메일 중복 응답","제외: 3개 넘게 선택"),"")</f>
        <v/>
      </c>
    </row>
    <row r="695">
      <c r="A695" s="15" t="n"/>
      <c r="B695" s="15" t="n"/>
      <c r="C695" s="16" t="n"/>
      <c r="D695" s="16" t="n"/>
      <c r="E695" s="21">
        <f>IF(AND(A695="",B695="",C695="",D695=""),"",IF(TRIM(C695)="",0,LEN(C695)-LEN(SUBSTITUTE(C695,",",""))+1))</f>
        <v/>
      </c>
      <c r="F695" s="21">
        <f>IF(AND(A695="",B695="",C695="",D695=""),"",IF(TRIM(D695)="",0,LEN(D695)-LEN(SUBSTITUTE(D695,",",""))+1))</f>
        <v/>
      </c>
      <c r="G695" s="21">
        <f>IF(B695="","",IF(COUNTIF($B$6:B695,B695)&gt;1,"중복",""))</f>
        <v/>
      </c>
      <c r="H695" s="21">
        <f>IF(AND(A695="",B695="",C695="",D695=""),"",IF(AND(E695&lt;=3,F695&lt;=3,G695=""),1,0))</f>
        <v/>
      </c>
      <c r="I695" s="22">
        <f>IF(H695=0,IF(G695="중복","제외: 같은 이메일 중복 응답","제외: 3개 넘게 선택"),"")</f>
        <v/>
      </c>
    </row>
    <row r="696">
      <c r="A696" s="15" t="n"/>
      <c r="B696" s="15" t="n"/>
      <c r="C696" s="16" t="n"/>
      <c r="D696" s="16" t="n"/>
      <c r="E696" s="21">
        <f>IF(AND(A696="",B696="",C696="",D696=""),"",IF(TRIM(C696)="",0,LEN(C696)-LEN(SUBSTITUTE(C696,",",""))+1))</f>
        <v/>
      </c>
      <c r="F696" s="21">
        <f>IF(AND(A696="",B696="",C696="",D696=""),"",IF(TRIM(D696)="",0,LEN(D696)-LEN(SUBSTITUTE(D696,",",""))+1))</f>
        <v/>
      </c>
      <c r="G696" s="21">
        <f>IF(B696="","",IF(COUNTIF($B$6:B696,B696)&gt;1,"중복",""))</f>
        <v/>
      </c>
      <c r="H696" s="21">
        <f>IF(AND(A696="",B696="",C696="",D696=""),"",IF(AND(E696&lt;=3,F696&lt;=3,G696=""),1,0))</f>
        <v/>
      </c>
      <c r="I696" s="22">
        <f>IF(H696=0,IF(G696="중복","제외: 같은 이메일 중복 응답","제외: 3개 넘게 선택"),"")</f>
        <v/>
      </c>
    </row>
    <row r="697">
      <c r="A697" s="15" t="n"/>
      <c r="B697" s="15" t="n"/>
      <c r="C697" s="16" t="n"/>
      <c r="D697" s="16" t="n"/>
      <c r="E697" s="21">
        <f>IF(AND(A697="",B697="",C697="",D697=""),"",IF(TRIM(C697)="",0,LEN(C697)-LEN(SUBSTITUTE(C697,",",""))+1))</f>
        <v/>
      </c>
      <c r="F697" s="21">
        <f>IF(AND(A697="",B697="",C697="",D697=""),"",IF(TRIM(D697)="",0,LEN(D697)-LEN(SUBSTITUTE(D697,",",""))+1))</f>
        <v/>
      </c>
      <c r="G697" s="21">
        <f>IF(B697="","",IF(COUNTIF($B$6:B697,B697)&gt;1,"중복",""))</f>
        <v/>
      </c>
      <c r="H697" s="21">
        <f>IF(AND(A697="",B697="",C697="",D697=""),"",IF(AND(E697&lt;=3,F697&lt;=3,G697=""),1,0))</f>
        <v/>
      </c>
      <c r="I697" s="22">
        <f>IF(H697=0,IF(G697="중복","제외: 같은 이메일 중복 응답","제외: 3개 넘게 선택"),"")</f>
        <v/>
      </c>
    </row>
    <row r="698">
      <c r="A698" s="15" t="n"/>
      <c r="B698" s="15" t="n"/>
      <c r="C698" s="16" t="n"/>
      <c r="D698" s="16" t="n"/>
      <c r="E698" s="21">
        <f>IF(AND(A698="",B698="",C698="",D698=""),"",IF(TRIM(C698)="",0,LEN(C698)-LEN(SUBSTITUTE(C698,",",""))+1))</f>
        <v/>
      </c>
      <c r="F698" s="21">
        <f>IF(AND(A698="",B698="",C698="",D698=""),"",IF(TRIM(D698)="",0,LEN(D698)-LEN(SUBSTITUTE(D698,",",""))+1))</f>
        <v/>
      </c>
      <c r="G698" s="21">
        <f>IF(B698="","",IF(COUNTIF($B$6:B698,B698)&gt;1,"중복",""))</f>
        <v/>
      </c>
      <c r="H698" s="21">
        <f>IF(AND(A698="",B698="",C698="",D698=""),"",IF(AND(E698&lt;=3,F698&lt;=3,G698=""),1,0))</f>
        <v/>
      </c>
      <c r="I698" s="22">
        <f>IF(H698=0,IF(G698="중복","제외: 같은 이메일 중복 응답","제외: 3개 넘게 선택"),"")</f>
        <v/>
      </c>
    </row>
    <row r="699">
      <c r="A699" s="15" t="n"/>
      <c r="B699" s="15" t="n"/>
      <c r="C699" s="16" t="n"/>
      <c r="D699" s="16" t="n"/>
      <c r="E699" s="21">
        <f>IF(AND(A699="",B699="",C699="",D699=""),"",IF(TRIM(C699)="",0,LEN(C699)-LEN(SUBSTITUTE(C699,",",""))+1))</f>
        <v/>
      </c>
      <c r="F699" s="21">
        <f>IF(AND(A699="",B699="",C699="",D699=""),"",IF(TRIM(D699)="",0,LEN(D699)-LEN(SUBSTITUTE(D699,",",""))+1))</f>
        <v/>
      </c>
      <c r="G699" s="21">
        <f>IF(B699="","",IF(COUNTIF($B$6:B699,B699)&gt;1,"중복",""))</f>
        <v/>
      </c>
      <c r="H699" s="21">
        <f>IF(AND(A699="",B699="",C699="",D699=""),"",IF(AND(E699&lt;=3,F699&lt;=3,G699=""),1,0))</f>
        <v/>
      </c>
      <c r="I699" s="22">
        <f>IF(H699=0,IF(G699="중복","제외: 같은 이메일 중복 응답","제외: 3개 넘게 선택"),"")</f>
        <v/>
      </c>
    </row>
    <row r="700">
      <c r="A700" s="15" t="n"/>
      <c r="B700" s="15" t="n"/>
      <c r="C700" s="16" t="n"/>
      <c r="D700" s="16" t="n"/>
      <c r="E700" s="21">
        <f>IF(AND(A700="",B700="",C700="",D700=""),"",IF(TRIM(C700)="",0,LEN(C700)-LEN(SUBSTITUTE(C700,",",""))+1))</f>
        <v/>
      </c>
      <c r="F700" s="21">
        <f>IF(AND(A700="",B700="",C700="",D700=""),"",IF(TRIM(D700)="",0,LEN(D700)-LEN(SUBSTITUTE(D700,",",""))+1))</f>
        <v/>
      </c>
      <c r="G700" s="21">
        <f>IF(B700="","",IF(COUNTIF($B$6:B700,B700)&gt;1,"중복",""))</f>
        <v/>
      </c>
      <c r="H700" s="21">
        <f>IF(AND(A700="",B700="",C700="",D700=""),"",IF(AND(E700&lt;=3,F700&lt;=3,G700=""),1,0))</f>
        <v/>
      </c>
      <c r="I700" s="22">
        <f>IF(H700=0,IF(G700="중복","제외: 같은 이메일 중복 응답","제외: 3개 넘게 선택"),"")</f>
        <v/>
      </c>
    </row>
    <row r="701">
      <c r="A701" s="15" t="n"/>
      <c r="B701" s="15" t="n"/>
      <c r="C701" s="16" t="n"/>
      <c r="D701" s="16" t="n"/>
      <c r="E701" s="21">
        <f>IF(AND(A701="",B701="",C701="",D701=""),"",IF(TRIM(C701)="",0,LEN(C701)-LEN(SUBSTITUTE(C701,",",""))+1))</f>
        <v/>
      </c>
      <c r="F701" s="21">
        <f>IF(AND(A701="",B701="",C701="",D701=""),"",IF(TRIM(D701)="",0,LEN(D701)-LEN(SUBSTITUTE(D701,",",""))+1))</f>
        <v/>
      </c>
      <c r="G701" s="21">
        <f>IF(B701="","",IF(COUNTIF($B$6:B701,B701)&gt;1,"중복",""))</f>
        <v/>
      </c>
      <c r="H701" s="21">
        <f>IF(AND(A701="",B701="",C701="",D701=""),"",IF(AND(E701&lt;=3,F701&lt;=3,G701=""),1,0))</f>
        <v/>
      </c>
      <c r="I701" s="22">
        <f>IF(H701=0,IF(G701="중복","제외: 같은 이메일 중복 응답","제외: 3개 넘게 선택"),"")</f>
        <v/>
      </c>
    </row>
    <row r="702">
      <c r="A702" s="15" t="n"/>
      <c r="B702" s="15" t="n"/>
      <c r="C702" s="16" t="n"/>
      <c r="D702" s="16" t="n"/>
      <c r="E702" s="21">
        <f>IF(AND(A702="",B702="",C702="",D702=""),"",IF(TRIM(C702)="",0,LEN(C702)-LEN(SUBSTITUTE(C702,",",""))+1))</f>
        <v/>
      </c>
      <c r="F702" s="21">
        <f>IF(AND(A702="",B702="",C702="",D702=""),"",IF(TRIM(D702)="",0,LEN(D702)-LEN(SUBSTITUTE(D702,",",""))+1))</f>
        <v/>
      </c>
      <c r="G702" s="21">
        <f>IF(B702="","",IF(COUNTIF($B$6:B702,B702)&gt;1,"중복",""))</f>
        <v/>
      </c>
      <c r="H702" s="21">
        <f>IF(AND(A702="",B702="",C702="",D702=""),"",IF(AND(E702&lt;=3,F702&lt;=3,G702=""),1,0))</f>
        <v/>
      </c>
      <c r="I702" s="22">
        <f>IF(H702=0,IF(G702="중복","제외: 같은 이메일 중복 응답","제외: 3개 넘게 선택"),"")</f>
        <v/>
      </c>
    </row>
    <row r="703">
      <c r="A703" s="15" t="n"/>
      <c r="B703" s="15" t="n"/>
      <c r="C703" s="16" t="n"/>
      <c r="D703" s="16" t="n"/>
      <c r="E703" s="21">
        <f>IF(AND(A703="",B703="",C703="",D703=""),"",IF(TRIM(C703)="",0,LEN(C703)-LEN(SUBSTITUTE(C703,",",""))+1))</f>
        <v/>
      </c>
      <c r="F703" s="21">
        <f>IF(AND(A703="",B703="",C703="",D703=""),"",IF(TRIM(D703)="",0,LEN(D703)-LEN(SUBSTITUTE(D703,",",""))+1))</f>
        <v/>
      </c>
      <c r="G703" s="21">
        <f>IF(B703="","",IF(COUNTIF($B$6:B703,B703)&gt;1,"중복",""))</f>
        <v/>
      </c>
      <c r="H703" s="21">
        <f>IF(AND(A703="",B703="",C703="",D703=""),"",IF(AND(E703&lt;=3,F703&lt;=3,G703=""),1,0))</f>
        <v/>
      </c>
      <c r="I703" s="22">
        <f>IF(H703=0,IF(G703="중복","제외: 같은 이메일 중복 응답","제외: 3개 넘게 선택"),"")</f>
        <v/>
      </c>
    </row>
    <row r="704">
      <c r="A704" s="15" t="n"/>
      <c r="B704" s="15" t="n"/>
      <c r="C704" s="16" t="n"/>
      <c r="D704" s="16" t="n"/>
      <c r="E704" s="21">
        <f>IF(AND(A704="",B704="",C704="",D704=""),"",IF(TRIM(C704)="",0,LEN(C704)-LEN(SUBSTITUTE(C704,",",""))+1))</f>
        <v/>
      </c>
      <c r="F704" s="21">
        <f>IF(AND(A704="",B704="",C704="",D704=""),"",IF(TRIM(D704)="",0,LEN(D704)-LEN(SUBSTITUTE(D704,",",""))+1))</f>
        <v/>
      </c>
      <c r="G704" s="21">
        <f>IF(B704="","",IF(COUNTIF($B$6:B704,B704)&gt;1,"중복",""))</f>
        <v/>
      </c>
      <c r="H704" s="21">
        <f>IF(AND(A704="",B704="",C704="",D704=""),"",IF(AND(E704&lt;=3,F704&lt;=3,G704=""),1,0))</f>
        <v/>
      </c>
      <c r="I704" s="22">
        <f>IF(H704=0,IF(G704="중복","제외: 같은 이메일 중복 응답","제외: 3개 넘게 선택"),"")</f>
        <v/>
      </c>
    </row>
    <row r="705">
      <c r="A705" s="15" t="n"/>
      <c r="B705" s="15" t="n"/>
      <c r="C705" s="16" t="n"/>
      <c r="D705" s="16" t="n"/>
      <c r="E705" s="21">
        <f>IF(AND(A705="",B705="",C705="",D705=""),"",IF(TRIM(C705)="",0,LEN(C705)-LEN(SUBSTITUTE(C705,",",""))+1))</f>
        <v/>
      </c>
      <c r="F705" s="21">
        <f>IF(AND(A705="",B705="",C705="",D705=""),"",IF(TRIM(D705)="",0,LEN(D705)-LEN(SUBSTITUTE(D705,",",""))+1))</f>
        <v/>
      </c>
      <c r="G705" s="21">
        <f>IF(B705="","",IF(COUNTIF($B$6:B705,B705)&gt;1,"중복",""))</f>
        <v/>
      </c>
      <c r="H705" s="21">
        <f>IF(AND(A705="",B705="",C705="",D705=""),"",IF(AND(E705&lt;=3,F705&lt;=3,G705=""),1,0))</f>
        <v/>
      </c>
      <c r="I705" s="22">
        <f>IF(H705=0,IF(G705="중복","제외: 같은 이메일 중복 응답","제외: 3개 넘게 선택"),"")</f>
        <v/>
      </c>
    </row>
    <row r="706">
      <c r="A706" s="15" t="n"/>
      <c r="B706" s="15" t="n"/>
      <c r="C706" s="16" t="n"/>
      <c r="D706" s="16" t="n"/>
      <c r="E706" s="21">
        <f>IF(AND(A706="",B706="",C706="",D706=""),"",IF(TRIM(C706)="",0,LEN(C706)-LEN(SUBSTITUTE(C706,",",""))+1))</f>
        <v/>
      </c>
      <c r="F706" s="21">
        <f>IF(AND(A706="",B706="",C706="",D706=""),"",IF(TRIM(D706)="",0,LEN(D706)-LEN(SUBSTITUTE(D706,",",""))+1))</f>
        <v/>
      </c>
      <c r="G706" s="21">
        <f>IF(B706="","",IF(COUNTIF($B$6:B706,B706)&gt;1,"중복",""))</f>
        <v/>
      </c>
      <c r="H706" s="21">
        <f>IF(AND(A706="",B706="",C706="",D706=""),"",IF(AND(E706&lt;=3,F706&lt;=3,G706=""),1,0))</f>
        <v/>
      </c>
      <c r="I706" s="22">
        <f>IF(H706=0,IF(G706="중복","제외: 같은 이메일 중복 응답","제외: 3개 넘게 선택"),"")</f>
        <v/>
      </c>
    </row>
    <row r="707">
      <c r="A707" s="15" t="n"/>
      <c r="B707" s="15" t="n"/>
      <c r="C707" s="16" t="n"/>
      <c r="D707" s="16" t="n"/>
      <c r="E707" s="21">
        <f>IF(AND(A707="",B707="",C707="",D707=""),"",IF(TRIM(C707)="",0,LEN(C707)-LEN(SUBSTITUTE(C707,",",""))+1))</f>
        <v/>
      </c>
      <c r="F707" s="21">
        <f>IF(AND(A707="",B707="",C707="",D707=""),"",IF(TRIM(D707)="",0,LEN(D707)-LEN(SUBSTITUTE(D707,",",""))+1))</f>
        <v/>
      </c>
      <c r="G707" s="21">
        <f>IF(B707="","",IF(COUNTIF($B$6:B707,B707)&gt;1,"중복",""))</f>
        <v/>
      </c>
      <c r="H707" s="21">
        <f>IF(AND(A707="",B707="",C707="",D707=""),"",IF(AND(E707&lt;=3,F707&lt;=3,G707=""),1,0))</f>
        <v/>
      </c>
      <c r="I707" s="22">
        <f>IF(H707=0,IF(G707="중복","제외: 같은 이메일 중복 응답","제외: 3개 넘게 선택"),"")</f>
        <v/>
      </c>
    </row>
    <row r="708">
      <c r="A708" s="15" t="n"/>
      <c r="B708" s="15" t="n"/>
      <c r="C708" s="16" t="n"/>
      <c r="D708" s="16" t="n"/>
      <c r="E708" s="21">
        <f>IF(AND(A708="",B708="",C708="",D708=""),"",IF(TRIM(C708)="",0,LEN(C708)-LEN(SUBSTITUTE(C708,",",""))+1))</f>
        <v/>
      </c>
      <c r="F708" s="21">
        <f>IF(AND(A708="",B708="",C708="",D708=""),"",IF(TRIM(D708)="",0,LEN(D708)-LEN(SUBSTITUTE(D708,",",""))+1))</f>
        <v/>
      </c>
      <c r="G708" s="21">
        <f>IF(B708="","",IF(COUNTIF($B$6:B708,B708)&gt;1,"중복",""))</f>
        <v/>
      </c>
      <c r="H708" s="21">
        <f>IF(AND(A708="",B708="",C708="",D708=""),"",IF(AND(E708&lt;=3,F708&lt;=3,G708=""),1,0))</f>
        <v/>
      </c>
      <c r="I708" s="22">
        <f>IF(H708=0,IF(G708="중복","제외: 같은 이메일 중복 응답","제외: 3개 넘게 선택"),"")</f>
        <v/>
      </c>
    </row>
    <row r="709">
      <c r="A709" s="15" t="n"/>
      <c r="B709" s="15" t="n"/>
      <c r="C709" s="16" t="n"/>
      <c r="D709" s="16" t="n"/>
      <c r="E709" s="21">
        <f>IF(AND(A709="",B709="",C709="",D709=""),"",IF(TRIM(C709)="",0,LEN(C709)-LEN(SUBSTITUTE(C709,",",""))+1))</f>
        <v/>
      </c>
      <c r="F709" s="21">
        <f>IF(AND(A709="",B709="",C709="",D709=""),"",IF(TRIM(D709)="",0,LEN(D709)-LEN(SUBSTITUTE(D709,",",""))+1))</f>
        <v/>
      </c>
      <c r="G709" s="21">
        <f>IF(B709="","",IF(COUNTIF($B$6:B709,B709)&gt;1,"중복",""))</f>
        <v/>
      </c>
      <c r="H709" s="21">
        <f>IF(AND(A709="",B709="",C709="",D709=""),"",IF(AND(E709&lt;=3,F709&lt;=3,G709=""),1,0))</f>
        <v/>
      </c>
      <c r="I709" s="22">
        <f>IF(H709=0,IF(G709="중복","제외: 같은 이메일 중복 응답","제외: 3개 넘게 선택"),"")</f>
        <v/>
      </c>
    </row>
    <row r="710">
      <c r="A710" s="15" t="n"/>
      <c r="B710" s="15" t="n"/>
      <c r="C710" s="16" t="n"/>
      <c r="D710" s="16" t="n"/>
      <c r="E710" s="21">
        <f>IF(AND(A710="",B710="",C710="",D710=""),"",IF(TRIM(C710)="",0,LEN(C710)-LEN(SUBSTITUTE(C710,",",""))+1))</f>
        <v/>
      </c>
      <c r="F710" s="21">
        <f>IF(AND(A710="",B710="",C710="",D710=""),"",IF(TRIM(D710)="",0,LEN(D710)-LEN(SUBSTITUTE(D710,",",""))+1))</f>
        <v/>
      </c>
      <c r="G710" s="21">
        <f>IF(B710="","",IF(COUNTIF($B$6:B710,B710)&gt;1,"중복",""))</f>
        <v/>
      </c>
      <c r="H710" s="21">
        <f>IF(AND(A710="",B710="",C710="",D710=""),"",IF(AND(E710&lt;=3,F710&lt;=3,G710=""),1,0))</f>
        <v/>
      </c>
      <c r="I710" s="22">
        <f>IF(H710=0,IF(G710="중복","제외: 같은 이메일 중복 응답","제외: 3개 넘게 선택"),"")</f>
        <v/>
      </c>
    </row>
    <row r="711">
      <c r="A711" s="15" t="n"/>
      <c r="B711" s="15" t="n"/>
      <c r="C711" s="16" t="n"/>
      <c r="D711" s="16" t="n"/>
      <c r="E711" s="21">
        <f>IF(AND(A711="",B711="",C711="",D711=""),"",IF(TRIM(C711)="",0,LEN(C711)-LEN(SUBSTITUTE(C711,",",""))+1))</f>
        <v/>
      </c>
      <c r="F711" s="21">
        <f>IF(AND(A711="",B711="",C711="",D711=""),"",IF(TRIM(D711)="",0,LEN(D711)-LEN(SUBSTITUTE(D711,",",""))+1))</f>
        <v/>
      </c>
      <c r="G711" s="21">
        <f>IF(B711="","",IF(COUNTIF($B$6:B711,B711)&gt;1,"중복",""))</f>
        <v/>
      </c>
      <c r="H711" s="21">
        <f>IF(AND(A711="",B711="",C711="",D711=""),"",IF(AND(E711&lt;=3,F711&lt;=3,G711=""),1,0))</f>
        <v/>
      </c>
      <c r="I711" s="22">
        <f>IF(H711=0,IF(G711="중복","제외: 같은 이메일 중복 응답","제외: 3개 넘게 선택"),"")</f>
        <v/>
      </c>
    </row>
    <row r="712">
      <c r="A712" s="15" t="n"/>
      <c r="B712" s="15" t="n"/>
      <c r="C712" s="16" t="n"/>
      <c r="D712" s="16" t="n"/>
      <c r="E712" s="21">
        <f>IF(AND(A712="",B712="",C712="",D712=""),"",IF(TRIM(C712)="",0,LEN(C712)-LEN(SUBSTITUTE(C712,",",""))+1))</f>
        <v/>
      </c>
      <c r="F712" s="21">
        <f>IF(AND(A712="",B712="",C712="",D712=""),"",IF(TRIM(D712)="",0,LEN(D712)-LEN(SUBSTITUTE(D712,",",""))+1))</f>
        <v/>
      </c>
      <c r="G712" s="21">
        <f>IF(B712="","",IF(COUNTIF($B$6:B712,B712)&gt;1,"중복",""))</f>
        <v/>
      </c>
      <c r="H712" s="21">
        <f>IF(AND(A712="",B712="",C712="",D712=""),"",IF(AND(E712&lt;=3,F712&lt;=3,G712=""),1,0))</f>
        <v/>
      </c>
      <c r="I712" s="22">
        <f>IF(H712=0,IF(G712="중복","제외: 같은 이메일 중복 응답","제외: 3개 넘게 선택"),"")</f>
        <v/>
      </c>
    </row>
    <row r="713">
      <c r="A713" s="15" t="n"/>
      <c r="B713" s="15" t="n"/>
      <c r="C713" s="16" t="n"/>
      <c r="D713" s="16" t="n"/>
      <c r="E713" s="21">
        <f>IF(AND(A713="",B713="",C713="",D713=""),"",IF(TRIM(C713)="",0,LEN(C713)-LEN(SUBSTITUTE(C713,",",""))+1))</f>
        <v/>
      </c>
      <c r="F713" s="21">
        <f>IF(AND(A713="",B713="",C713="",D713=""),"",IF(TRIM(D713)="",0,LEN(D713)-LEN(SUBSTITUTE(D713,",",""))+1))</f>
        <v/>
      </c>
      <c r="G713" s="21">
        <f>IF(B713="","",IF(COUNTIF($B$6:B713,B713)&gt;1,"중복",""))</f>
        <v/>
      </c>
      <c r="H713" s="21">
        <f>IF(AND(A713="",B713="",C713="",D713=""),"",IF(AND(E713&lt;=3,F713&lt;=3,G713=""),1,0))</f>
        <v/>
      </c>
      <c r="I713" s="22">
        <f>IF(H713=0,IF(G713="중복","제외: 같은 이메일 중복 응답","제외: 3개 넘게 선택"),"")</f>
        <v/>
      </c>
    </row>
    <row r="714">
      <c r="A714" s="15" t="n"/>
      <c r="B714" s="15" t="n"/>
      <c r="C714" s="16" t="n"/>
      <c r="D714" s="16" t="n"/>
      <c r="E714" s="21">
        <f>IF(AND(A714="",B714="",C714="",D714=""),"",IF(TRIM(C714)="",0,LEN(C714)-LEN(SUBSTITUTE(C714,",",""))+1))</f>
        <v/>
      </c>
      <c r="F714" s="21">
        <f>IF(AND(A714="",B714="",C714="",D714=""),"",IF(TRIM(D714)="",0,LEN(D714)-LEN(SUBSTITUTE(D714,",",""))+1))</f>
        <v/>
      </c>
      <c r="G714" s="21">
        <f>IF(B714="","",IF(COUNTIF($B$6:B714,B714)&gt;1,"중복",""))</f>
        <v/>
      </c>
      <c r="H714" s="21">
        <f>IF(AND(A714="",B714="",C714="",D714=""),"",IF(AND(E714&lt;=3,F714&lt;=3,G714=""),1,0))</f>
        <v/>
      </c>
      <c r="I714" s="22">
        <f>IF(H714=0,IF(G714="중복","제외: 같은 이메일 중복 응답","제외: 3개 넘게 선택"),"")</f>
        <v/>
      </c>
    </row>
    <row r="715">
      <c r="A715" s="15" t="n"/>
      <c r="B715" s="15" t="n"/>
      <c r="C715" s="16" t="n"/>
      <c r="D715" s="16" t="n"/>
      <c r="E715" s="21">
        <f>IF(AND(A715="",B715="",C715="",D715=""),"",IF(TRIM(C715)="",0,LEN(C715)-LEN(SUBSTITUTE(C715,",",""))+1))</f>
        <v/>
      </c>
      <c r="F715" s="21">
        <f>IF(AND(A715="",B715="",C715="",D715=""),"",IF(TRIM(D715)="",0,LEN(D715)-LEN(SUBSTITUTE(D715,",",""))+1))</f>
        <v/>
      </c>
      <c r="G715" s="21">
        <f>IF(B715="","",IF(COUNTIF($B$6:B715,B715)&gt;1,"중복",""))</f>
        <v/>
      </c>
      <c r="H715" s="21">
        <f>IF(AND(A715="",B715="",C715="",D715=""),"",IF(AND(E715&lt;=3,F715&lt;=3,G715=""),1,0))</f>
        <v/>
      </c>
      <c r="I715" s="22">
        <f>IF(H715=0,IF(G715="중복","제외: 같은 이메일 중복 응답","제외: 3개 넘게 선택"),"")</f>
        <v/>
      </c>
    </row>
    <row r="716">
      <c r="A716" s="15" t="n"/>
      <c r="B716" s="15" t="n"/>
      <c r="C716" s="16" t="n"/>
      <c r="D716" s="16" t="n"/>
      <c r="E716" s="21">
        <f>IF(AND(A716="",B716="",C716="",D716=""),"",IF(TRIM(C716)="",0,LEN(C716)-LEN(SUBSTITUTE(C716,",",""))+1))</f>
        <v/>
      </c>
      <c r="F716" s="21">
        <f>IF(AND(A716="",B716="",C716="",D716=""),"",IF(TRIM(D716)="",0,LEN(D716)-LEN(SUBSTITUTE(D716,",",""))+1))</f>
        <v/>
      </c>
      <c r="G716" s="21">
        <f>IF(B716="","",IF(COUNTIF($B$6:B716,B716)&gt;1,"중복",""))</f>
        <v/>
      </c>
      <c r="H716" s="21">
        <f>IF(AND(A716="",B716="",C716="",D716=""),"",IF(AND(E716&lt;=3,F716&lt;=3,G716=""),1,0))</f>
        <v/>
      </c>
      <c r="I716" s="22">
        <f>IF(H716=0,IF(G716="중복","제외: 같은 이메일 중복 응답","제외: 3개 넘게 선택"),"")</f>
        <v/>
      </c>
    </row>
    <row r="717">
      <c r="A717" s="15" t="n"/>
      <c r="B717" s="15" t="n"/>
      <c r="C717" s="16" t="n"/>
      <c r="D717" s="16" t="n"/>
      <c r="E717" s="21">
        <f>IF(AND(A717="",B717="",C717="",D717=""),"",IF(TRIM(C717)="",0,LEN(C717)-LEN(SUBSTITUTE(C717,",",""))+1))</f>
        <v/>
      </c>
      <c r="F717" s="21">
        <f>IF(AND(A717="",B717="",C717="",D717=""),"",IF(TRIM(D717)="",0,LEN(D717)-LEN(SUBSTITUTE(D717,",",""))+1))</f>
        <v/>
      </c>
      <c r="G717" s="21">
        <f>IF(B717="","",IF(COUNTIF($B$6:B717,B717)&gt;1,"중복",""))</f>
        <v/>
      </c>
      <c r="H717" s="21">
        <f>IF(AND(A717="",B717="",C717="",D717=""),"",IF(AND(E717&lt;=3,F717&lt;=3,G717=""),1,0))</f>
        <v/>
      </c>
      <c r="I717" s="22">
        <f>IF(H717=0,IF(G717="중복","제외: 같은 이메일 중복 응답","제외: 3개 넘게 선택"),"")</f>
        <v/>
      </c>
    </row>
    <row r="718">
      <c r="A718" s="15" t="n"/>
      <c r="B718" s="15" t="n"/>
      <c r="C718" s="16" t="n"/>
      <c r="D718" s="16" t="n"/>
      <c r="E718" s="21">
        <f>IF(AND(A718="",B718="",C718="",D718=""),"",IF(TRIM(C718)="",0,LEN(C718)-LEN(SUBSTITUTE(C718,",",""))+1))</f>
        <v/>
      </c>
      <c r="F718" s="21">
        <f>IF(AND(A718="",B718="",C718="",D718=""),"",IF(TRIM(D718)="",0,LEN(D718)-LEN(SUBSTITUTE(D718,",",""))+1))</f>
        <v/>
      </c>
      <c r="G718" s="21">
        <f>IF(B718="","",IF(COUNTIF($B$6:B718,B718)&gt;1,"중복",""))</f>
        <v/>
      </c>
      <c r="H718" s="21">
        <f>IF(AND(A718="",B718="",C718="",D718=""),"",IF(AND(E718&lt;=3,F718&lt;=3,G718=""),1,0))</f>
        <v/>
      </c>
      <c r="I718" s="22">
        <f>IF(H718=0,IF(G718="중복","제외: 같은 이메일 중복 응답","제외: 3개 넘게 선택"),"")</f>
        <v/>
      </c>
    </row>
    <row r="719">
      <c r="A719" s="15" t="n"/>
      <c r="B719" s="15" t="n"/>
      <c r="C719" s="16" t="n"/>
      <c r="D719" s="16" t="n"/>
      <c r="E719" s="21">
        <f>IF(AND(A719="",B719="",C719="",D719=""),"",IF(TRIM(C719)="",0,LEN(C719)-LEN(SUBSTITUTE(C719,",",""))+1))</f>
        <v/>
      </c>
      <c r="F719" s="21">
        <f>IF(AND(A719="",B719="",C719="",D719=""),"",IF(TRIM(D719)="",0,LEN(D719)-LEN(SUBSTITUTE(D719,",",""))+1))</f>
        <v/>
      </c>
      <c r="G719" s="21">
        <f>IF(B719="","",IF(COUNTIF($B$6:B719,B719)&gt;1,"중복",""))</f>
        <v/>
      </c>
      <c r="H719" s="21">
        <f>IF(AND(A719="",B719="",C719="",D719=""),"",IF(AND(E719&lt;=3,F719&lt;=3,G719=""),1,0))</f>
        <v/>
      </c>
      <c r="I719" s="22">
        <f>IF(H719=0,IF(G719="중복","제외: 같은 이메일 중복 응답","제외: 3개 넘게 선택"),"")</f>
        <v/>
      </c>
    </row>
    <row r="720">
      <c r="A720" s="15" t="n"/>
      <c r="B720" s="15" t="n"/>
      <c r="C720" s="16" t="n"/>
      <c r="D720" s="16" t="n"/>
      <c r="E720" s="21">
        <f>IF(AND(A720="",B720="",C720="",D720=""),"",IF(TRIM(C720)="",0,LEN(C720)-LEN(SUBSTITUTE(C720,",",""))+1))</f>
        <v/>
      </c>
      <c r="F720" s="21">
        <f>IF(AND(A720="",B720="",C720="",D720=""),"",IF(TRIM(D720)="",0,LEN(D720)-LEN(SUBSTITUTE(D720,",",""))+1))</f>
        <v/>
      </c>
      <c r="G720" s="21">
        <f>IF(B720="","",IF(COUNTIF($B$6:B720,B720)&gt;1,"중복",""))</f>
        <v/>
      </c>
      <c r="H720" s="21">
        <f>IF(AND(A720="",B720="",C720="",D720=""),"",IF(AND(E720&lt;=3,F720&lt;=3,G720=""),1,0))</f>
        <v/>
      </c>
      <c r="I720" s="22">
        <f>IF(H720=0,IF(G720="중복","제외: 같은 이메일 중복 응답","제외: 3개 넘게 선택"),"")</f>
        <v/>
      </c>
    </row>
    <row r="721">
      <c r="A721" s="15" t="n"/>
      <c r="B721" s="15" t="n"/>
      <c r="C721" s="16" t="n"/>
      <c r="D721" s="16" t="n"/>
      <c r="E721" s="21">
        <f>IF(AND(A721="",B721="",C721="",D721=""),"",IF(TRIM(C721)="",0,LEN(C721)-LEN(SUBSTITUTE(C721,",",""))+1))</f>
        <v/>
      </c>
      <c r="F721" s="21">
        <f>IF(AND(A721="",B721="",C721="",D721=""),"",IF(TRIM(D721)="",0,LEN(D721)-LEN(SUBSTITUTE(D721,",",""))+1))</f>
        <v/>
      </c>
      <c r="G721" s="21">
        <f>IF(B721="","",IF(COUNTIF($B$6:B721,B721)&gt;1,"중복",""))</f>
        <v/>
      </c>
      <c r="H721" s="21">
        <f>IF(AND(A721="",B721="",C721="",D721=""),"",IF(AND(E721&lt;=3,F721&lt;=3,G721=""),1,0))</f>
        <v/>
      </c>
      <c r="I721" s="22">
        <f>IF(H721=0,IF(G721="중복","제외: 같은 이메일 중복 응답","제외: 3개 넘게 선택"),"")</f>
        <v/>
      </c>
    </row>
    <row r="722">
      <c r="A722" s="15" t="n"/>
      <c r="B722" s="15" t="n"/>
      <c r="C722" s="16" t="n"/>
      <c r="D722" s="16" t="n"/>
      <c r="E722" s="21">
        <f>IF(AND(A722="",B722="",C722="",D722=""),"",IF(TRIM(C722)="",0,LEN(C722)-LEN(SUBSTITUTE(C722,",",""))+1))</f>
        <v/>
      </c>
      <c r="F722" s="21">
        <f>IF(AND(A722="",B722="",C722="",D722=""),"",IF(TRIM(D722)="",0,LEN(D722)-LEN(SUBSTITUTE(D722,",",""))+1))</f>
        <v/>
      </c>
      <c r="G722" s="21">
        <f>IF(B722="","",IF(COUNTIF($B$6:B722,B722)&gt;1,"중복",""))</f>
        <v/>
      </c>
      <c r="H722" s="21">
        <f>IF(AND(A722="",B722="",C722="",D722=""),"",IF(AND(E722&lt;=3,F722&lt;=3,G722=""),1,0))</f>
        <v/>
      </c>
      <c r="I722" s="22">
        <f>IF(H722=0,IF(G722="중복","제외: 같은 이메일 중복 응답","제외: 3개 넘게 선택"),"")</f>
        <v/>
      </c>
    </row>
    <row r="723">
      <c r="A723" s="15" t="n"/>
      <c r="B723" s="15" t="n"/>
      <c r="C723" s="16" t="n"/>
      <c r="D723" s="16" t="n"/>
      <c r="E723" s="21">
        <f>IF(AND(A723="",B723="",C723="",D723=""),"",IF(TRIM(C723)="",0,LEN(C723)-LEN(SUBSTITUTE(C723,",",""))+1))</f>
        <v/>
      </c>
      <c r="F723" s="21">
        <f>IF(AND(A723="",B723="",C723="",D723=""),"",IF(TRIM(D723)="",0,LEN(D723)-LEN(SUBSTITUTE(D723,",",""))+1))</f>
        <v/>
      </c>
      <c r="G723" s="21">
        <f>IF(B723="","",IF(COUNTIF($B$6:B723,B723)&gt;1,"중복",""))</f>
        <v/>
      </c>
      <c r="H723" s="21">
        <f>IF(AND(A723="",B723="",C723="",D723=""),"",IF(AND(E723&lt;=3,F723&lt;=3,G723=""),1,0))</f>
        <v/>
      </c>
      <c r="I723" s="22">
        <f>IF(H723=0,IF(G723="중복","제외: 같은 이메일 중복 응답","제외: 3개 넘게 선택"),"")</f>
        <v/>
      </c>
    </row>
    <row r="724">
      <c r="A724" s="15" t="n"/>
      <c r="B724" s="15" t="n"/>
      <c r="C724" s="16" t="n"/>
      <c r="D724" s="16" t="n"/>
      <c r="E724" s="21">
        <f>IF(AND(A724="",B724="",C724="",D724=""),"",IF(TRIM(C724)="",0,LEN(C724)-LEN(SUBSTITUTE(C724,",",""))+1))</f>
        <v/>
      </c>
      <c r="F724" s="21">
        <f>IF(AND(A724="",B724="",C724="",D724=""),"",IF(TRIM(D724)="",0,LEN(D724)-LEN(SUBSTITUTE(D724,",",""))+1))</f>
        <v/>
      </c>
      <c r="G724" s="21">
        <f>IF(B724="","",IF(COUNTIF($B$6:B724,B724)&gt;1,"중복",""))</f>
        <v/>
      </c>
      <c r="H724" s="21">
        <f>IF(AND(A724="",B724="",C724="",D724=""),"",IF(AND(E724&lt;=3,F724&lt;=3,G724=""),1,0))</f>
        <v/>
      </c>
      <c r="I724" s="22">
        <f>IF(H724=0,IF(G724="중복","제외: 같은 이메일 중복 응답","제외: 3개 넘게 선택"),"")</f>
        <v/>
      </c>
    </row>
    <row r="725">
      <c r="A725" s="15" t="n"/>
      <c r="B725" s="15" t="n"/>
      <c r="C725" s="16" t="n"/>
      <c r="D725" s="16" t="n"/>
      <c r="E725" s="21">
        <f>IF(AND(A725="",B725="",C725="",D725=""),"",IF(TRIM(C725)="",0,LEN(C725)-LEN(SUBSTITUTE(C725,",",""))+1))</f>
        <v/>
      </c>
      <c r="F725" s="21">
        <f>IF(AND(A725="",B725="",C725="",D725=""),"",IF(TRIM(D725)="",0,LEN(D725)-LEN(SUBSTITUTE(D725,",",""))+1))</f>
        <v/>
      </c>
      <c r="G725" s="21">
        <f>IF(B725="","",IF(COUNTIF($B$6:B725,B725)&gt;1,"중복",""))</f>
        <v/>
      </c>
      <c r="H725" s="21">
        <f>IF(AND(A725="",B725="",C725="",D725=""),"",IF(AND(E725&lt;=3,F725&lt;=3,G725=""),1,0))</f>
        <v/>
      </c>
      <c r="I725" s="22">
        <f>IF(H725=0,IF(G725="중복","제외: 같은 이메일 중복 응답","제외: 3개 넘게 선택"),"")</f>
        <v/>
      </c>
    </row>
    <row r="726">
      <c r="A726" s="15" t="n"/>
      <c r="B726" s="15" t="n"/>
      <c r="C726" s="16" t="n"/>
      <c r="D726" s="16" t="n"/>
      <c r="E726" s="21">
        <f>IF(AND(A726="",B726="",C726="",D726=""),"",IF(TRIM(C726)="",0,LEN(C726)-LEN(SUBSTITUTE(C726,",",""))+1))</f>
        <v/>
      </c>
      <c r="F726" s="21">
        <f>IF(AND(A726="",B726="",C726="",D726=""),"",IF(TRIM(D726)="",0,LEN(D726)-LEN(SUBSTITUTE(D726,",",""))+1))</f>
        <v/>
      </c>
      <c r="G726" s="21">
        <f>IF(B726="","",IF(COUNTIF($B$6:B726,B726)&gt;1,"중복",""))</f>
        <v/>
      </c>
      <c r="H726" s="21">
        <f>IF(AND(A726="",B726="",C726="",D726=""),"",IF(AND(E726&lt;=3,F726&lt;=3,G726=""),1,0))</f>
        <v/>
      </c>
      <c r="I726" s="22">
        <f>IF(H726=0,IF(G726="중복","제외: 같은 이메일 중복 응답","제외: 3개 넘게 선택"),"")</f>
        <v/>
      </c>
    </row>
    <row r="727">
      <c r="A727" s="15" t="n"/>
      <c r="B727" s="15" t="n"/>
      <c r="C727" s="16" t="n"/>
      <c r="D727" s="16" t="n"/>
      <c r="E727" s="21">
        <f>IF(AND(A727="",B727="",C727="",D727=""),"",IF(TRIM(C727)="",0,LEN(C727)-LEN(SUBSTITUTE(C727,",",""))+1))</f>
        <v/>
      </c>
      <c r="F727" s="21">
        <f>IF(AND(A727="",B727="",C727="",D727=""),"",IF(TRIM(D727)="",0,LEN(D727)-LEN(SUBSTITUTE(D727,",",""))+1))</f>
        <v/>
      </c>
      <c r="G727" s="21">
        <f>IF(B727="","",IF(COUNTIF($B$6:B727,B727)&gt;1,"중복",""))</f>
        <v/>
      </c>
      <c r="H727" s="21">
        <f>IF(AND(A727="",B727="",C727="",D727=""),"",IF(AND(E727&lt;=3,F727&lt;=3,G727=""),1,0))</f>
        <v/>
      </c>
      <c r="I727" s="22">
        <f>IF(H727=0,IF(G727="중복","제외: 같은 이메일 중복 응답","제외: 3개 넘게 선택"),"")</f>
        <v/>
      </c>
    </row>
    <row r="728">
      <c r="A728" s="15" t="n"/>
      <c r="B728" s="15" t="n"/>
      <c r="C728" s="16" t="n"/>
      <c r="D728" s="16" t="n"/>
      <c r="E728" s="21">
        <f>IF(AND(A728="",B728="",C728="",D728=""),"",IF(TRIM(C728)="",0,LEN(C728)-LEN(SUBSTITUTE(C728,",",""))+1))</f>
        <v/>
      </c>
      <c r="F728" s="21">
        <f>IF(AND(A728="",B728="",C728="",D728=""),"",IF(TRIM(D728)="",0,LEN(D728)-LEN(SUBSTITUTE(D728,",",""))+1))</f>
        <v/>
      </c>
      <c r="G728" s="21">
        <f>IF(B728="","",IF(COUNTIF($B$6:B728,B728)&gt;1,"중복",""))</f>
        <v/>
      </c>
      <c r="H728" s="21">
        <f>IF(AND(A728="",B728="",C728="",D728=""),"",IF(AND(E728&lt;=3,F728&lt;=3,G728=""),1,0))</f>
        <v/>
      </c>
      <c r="I728" s="22">
        <f>IF(H728=0,IF(G728="중복","제외: 같은 이메일 중복 응답","제외: 3개 넘게 선택"),"")</f>
        <v/>
      </c>
    </row>
    <row r="729">
      <c r="A729" s="15" t="n"/>
      <c r="B729" s="15" t="n"/>
      <c r="C729" s="16" t="n"/>
      <c r="D729" s="16" t="n"/>
      <c r="E729" s="21">
        <f>IF(AND(A729="",B729="",C729="",D729=""),"",IF(TRIM(C729)="",0,LEN(C729)-LEN(SUBSTITUTE(C729,",",""))+1))</f>
        <v/>
      </c>
      <c r="F729" s="21">
        <f>IF(AND(A729="",B729="",C729="",D729=""),"",IF(TRIM(D729)="",0,LEN(D729)-LEN(SUBSTITUTE(D729,",",""))+1))</f>
        <v/>
      </c>
      <c r="G729" s="21">
        <f>IF(B729="","",IF(COUNTIF($B$6:B729,B729)&gt;1,"중복",""))</f>
        <v/>
      </c>
      <c r="H729" s="21">
        <f>IF(AND(A729="",B729="",C729="",D729=""),"",IF(AND(E729&lt;=3,F729&lt;=3,G729=""),1,0))</f>
        <v/>
      </c>
      <c r="I729" s="22">
        <f>IF(H729=0,IF(G729="중복","제외: 같은 이메일 중복 응답","제외: 3개 넘게 선택"),"")</f>
        <v/>
      </c>
    </row>
    <row r="730">
      <c r="A730" s="15" t="n"/>
      <c r="B730" s="15" t="n"/>
      <c r="C730" s="16" t="n"/>
      <c r="D730" s="16" t="n"/>
      <c r="E730" s="21">
        <f>IF(AND(A730="",B730="",C730="",D730=""),"",IF(TRIM(C730)="",0,LEN(C730)-LEN(SUBSTITUTE(C730,",",""))+1))</f>
        <v/>
      </c>
      <c r="F730" s="21">
        <f>IF(AND(A730="",B730="",C730="",D730=""),"",IF(TRIM(D730)="",0,LEN(D730)-LEN(SUBSTITUTE(D730,",",""))+1))</f>
        <v/>
      </c>
      <c r="G730" s="21">
        <f>IF(B730="","",IF(COUNTIF($B$6:B730,B730)&gt;1,"중복",""))</f>
        <v/>
      </c>
      <c r="H730" s="21">
        <f>IF(AND(A730="",B730="",C730="",D730=""),"",IF(AND(E730&lt;=3,F730&lt;=3,G730=""),1,0))</f>
        <v/>
      </c>
      <c r="I730" s="22">
        <f>IF(H730=0,IF(G730="중복","제외: 같은 이메일 중복 응답","제외: 3개 넘게 선택"),"")</f>
        <v/>
      </c>
    </row>
    <row r="731">
      <c r="A731" s="15" t="n"/>
      <c r="B731" s="15" t="n"/>
      <c r="C731" s="16" t="n"/>
      <c r="D731" s="16" t="n"/>
      <c r="E731" s="21">
        <f>IF(AND(A731="",B731="",C731="",D731=""),"",IF(TRIM(C731)="",0,LEN(C731)-LEN(SUBSTITUTE(C731,",",""))+1))</f>
        <v/>
      </c>
      <c r="F731" s="21">
        <f>IF(AND(A731="",B731="",C731="",D731=""),"",IF(TRIM(D731)="",0,LEN(D731)-LEN(SUBSTITUTE(D731,",",""))+1))</f>
        <v/>
      </c>
      <c r="G731" s="21">
        <f>IF(B731="","",IF(COUNTIF($B$6:B731,B731)&gt;1,"중복",""))</f>
        <v/>
      </c>
      <c r="H731" s="21">
        <f>IF(AND(A731="",B731="",C731="",D731=""),"",IF(AND(E731&lt;=3,F731&lt;=3,G731=""),1,0))</f>
        <v/>
      </c>
      <c r="I731" s="22">
        <f>IF(H731=0,IF(G731="중복","제외: 같은 이메일 중복 응답","제외: 3개 넘게 선택"),"")</f>
        <v/>
      </c>
    </row>
    <row r="732">
      <c r="A732" s="15" t="n"/>
      <c r="B732" s="15" t="n"/>
      <c r="C732" s="16" t="n"/>
      <c r="D732" s="16" t="n"/>
      <c r="E732" s="21">
        <f>IF(AND(A732="",B732="",C732="",D732=""),"",IF(TRIM(C732)="",0,LEN(C732)-LEN(SUBSTITUTE(C732,",",""))+1))</f>
        <v/>
      </c>
      <c r="F732" s="21">
        <f>IF(AND(A732="",B732="",C732="",D732=""),"",IF(TRIM(D732)="",0,LEN(D732)-LEN(SUBSTITUTE(D732,",",""))+1))</f>
        <v/>
      </c>
      <c r="G732" s="21">
        <f>IF(B732="","",IF(COUNTIF($B$6:B732,B732)&gt;1,"중복",""))</f>
        <v/>
      </c>
      <c r="H732" s="21">
        <f>IF(AND(A732="",B732="",C732="",D732=""),"",IF(AND(E732&lt;=3,F732&lt;=3,G732=""),1,0))</f>
        <v/>
      </c>
      <c r="I732" s="22">
        <f>IF(H732=0,IF(G732="중복","제외: 같은 이메일 중복 응답","제외: 3개 넘게 선택"),"")</f>
        <v/>
      </c>
    </row>
    <row r="733">
      <c r="A733" s="15" t="n"/>
      <c r="B733" s="15" t="n"/>
      <c r="C733" s="16" t="n"/>
      <c r="D733" s="16" t="n"/>
      <c r="E733" s="21">
        <f>IF(AND(A733="",B733="",C733="",D733=""),"",IF(TRIM(C733)="",0,LEN(C733)-LEN(SUBSTITUTE(C733,",",""))+1))</f>
        <v/>
      </c>
      <c r="F733" s="21">
        <f>IF(AND(A733="",B733="",C733="",D733=""),"",IF(TRIM(D733)="",0,LEN(D733)-LEN(SUBSTITUTE(D733,",",""))+1))</f>
        <v/>
      </c>
      <c r="G733" s="21">
        <f>IF(B733="","",IF(COUNTIF($B$6:B733,B733)&gt;1,"중복",""))</f>
        <v/>
      </c>
      <c r="H733" s="21">
        <f>IF(AND(A733="",B733="",C733="",D733=""),"",IF(AND(E733&lt;=3,F733&lt;=3,G733=""),1,0))</f>
        <v/>
      </c>
      <c r="I733" s="22">
        <f>IF(H733=0,IF(G733="중복","제외: 같은 이메일 중복 응답","제외: 3개 넘게 선택"),"")</f>
        <v/>
      </c>
    </row>
    <row r="734">
      <c r="A734" s="15" t="n"/>
      <c r="B734" s="15" t="n"/>
      <c r="C734" s="16" t="n"/>
      <c r="D734" s="16" t="n"/>
      <c r="E734" s="21">
        <f>IF(AND(A734="",B734="",C734="",D734=""),"",IF(TRIM(C734)="",0,LEN(C734)-LEN(SUBSTITUTE(C734,",",""))+1))</f>
        <v/>
      </c>
      <c r="F734" s="21">
        <f>IF(AND(A734="",B734="",C734="",D734=""),"",IF(TRIM(D734)="",0,LEN(D734)-LEN(SUBSTITUTE(D734,",",""))+1))</f>
        <v/>
      </c>
      <c r="G734" s="21">
        <f>IF(B734="","",IF(COUNTIF($B$6:B734,B734)&gt;1,"중복",""))</f>
        <v/>
      </c>
      <c r="H734" s="21">
        <f>IF(AND(A734="",B734="",C734="",D734=""),"",IF(AND(E734&lt;=3,F734&lt;=3,G734=""),1,0))</f>
        <v/>
      </c>
      <c r="I734" s="22">
        <f>IF(H734=0,IF(G734="중복","제외: 같은 이메일 중복 응답","제외: 3개 넘게 선택"),"")</f>
        <v/>
      </c>
    </row>
    <row r="735">
      <c r="A735" s="15" t="n"/>
      <c r="B735" s="15" t="n"/>
      <c r="C735" s="16" t="n"/>
      <c r="D735" s="16" t="n"/>
      <c r="E735" s="21">
        <f>IF(AND(A735="",B735="",C735="",D735=""),"",IF(TRIM(C735)="",0,LEN(C735)-LEN(SUBSTITUTE(C735,",",""))+1))</f>
        <v/>
      </c>
      <c r="F735" s="21">
        <f>IF(AND(A735="",B735="",C735="",D735=""),"",IF(TRIM(D735)="",0,LEN(D735)-LEN(SUBSTITUTE(D735,",",""))+1))</f>
        <v/>
      </c>
      <c r="G735" s="21">
        <f>IF(B735="","",IF(COUNTIF($B$6:B735,B735)&gt;1,"중복",""))</f>
        <v/>
      </c>
      <c r="H735" s="21">
        <f>IF(AND(A735="",B735="",C735="",D735=""),"",IF(AND(E735&lt;=3,F735&lt;=3,G735=""),1,0))</f>
        <v/>
      </c>
      <c r="I735" s="22">
        <f>IF(H735=0,IF(G735="중복","제외: 같은 이메일 중복 응답","제외: 3개 넘게 선택"),"")</f>
        <v/>
      </c>
    </row>
    <row r="736">
      <c r="A736" s="15" t="n"/>
      <c r="B736" s="15" t="n"/>
      <c r="C736" s="16" t="n"/>
      <c r="D736" s="16" t="n"/>
      <c r="E736" s="21">
        <f>IF(AND(A736="",B736="",C736="",D736=""),"",IF(TRIM(C736)="",0,LEN(C736)-LEN(SUBSTITUTE(C736,",",""))+1))</f>
        <v/>
      </c>
      <c r="F736" s="21">
        <f>IF(AND(A736="",B736="",C736="",D736=""),"",IF(TRIM(D736)="",0,LEN(D736)-LEN(SUBSTITUTE(D736,",",""))+1))</f>
        <v/>
      </c>
      <c r="G736" s="21">
        <f>IF(B736="","",IF(COUNTIF($B$6:B736,B736)&gt;1,"중복",""))</f>
        <v/>
      </c>
      <c r="H736" s="21">
        <f>IF(AND(A736="",B736="",C736="",D736=""),"",IF(AND(E736&lt;=3,F736&lt;=3,G736=""),1,0))</f>
        <v/>
      </c>
      <c r="I736" s="22">
        <f>IF(H736=0,IF(G736="중복","제외: 같은 이메일 중복 응답","제외: 3개 넘게 선택"),"")</f>
        <v/>
      </c>
    </row>
    <row r="737">
      <c r="A737" s="15" t="n"/>
      <c r="B737" s="15" t="n"/>
      <c r="C737" s="16" t="n"/>
      <c r="D737" s="16" t="n"/>
      <c r="E737" s="21">
        <f>IF(AND(A737="",B737="",C737="",D737=""),"",IF(TRIM(C737)="",0,LEN(C737)-LEN(SUBSTITUTE(C737,",",""))+1))</f>
        <v/>
      </c>
      <c r="F737" s="21">
        <f>IF(AND(A737="",B737="",C737="",D737=""),"",IF(TRIM(D737)="",0,LEN(D737)-LEN(SUBSTITUTE(D737,",",""))+1))</f>
        <v/>
      </c>
      <c r="G737" s="21">
        <f>IF(B737="","",IF(COUNTIF($B$6:B737,B737)&gt;1,"중복",""))</f>
        <v/>
      </c>
      <c r="H737" s="21">
        <f>IF(AND(A737="",B737="",C737="",D737=""),"",IF(AND(E737&lt;=3,F737&lt;=3,G737=""),1,0))</f>
        <v/>
      </c>
      <c r="I737" s="22">
        <f>IF(H737=0,IF(G737="중복","제외: 같은 이메일 중복 응답","제외: 3개 넘게 선택"),"")</f>
        <v/>
      </c>
    </row>
    <row r="738">
      <c r="A738" s="15" t="n"/>
      <c r="B738" s="15" t="n"/>
      <c r="C738" s="16" t="n"/>
      <c r="D738" s="16" t="n"/>
      <c r="E738" s="21">
        <f>IF(AND(A738="",B738="",C738="",D738=""),"",IF(TRIM(C738)="",0,LEN(C738)-LEN(SUBSTITUTE(C738,",",""))+1))</f>
        <v/>
      </c>
      <c r="F738" s="21">
        <f>IF(AND(A738="",B738="",C738="",D738=""),"",IF(TRIM(D738)="",0,LEN(D738)-LEN(SUBSTITUTE(D738,",",""))+1))</f>
        <v/>
      </c>
      <c r="G738" s="21">
        <f>IF(B738="","",IF(COUNTIF($B$6:B738,B738)&gt;1,"중복",""))</f>
        <v/>
      </c>
      <c r="H738" s="21">
        <f>IF(AND(A738="",B738="",C738="",D738=""),"",IF(AND(E738&lt;=3,F738&lt;=3,G738=""),1,0))</f>
        <v/>
      </c>
      <c r="I738" s="22">
        <f>IF(H738=0,IF(G738="중복","제외: 같은 이메일 중복 응답","제외: 3개 넘게 선택"),"")</f>
        <v/>
      </c>
    </row>
    <row r="739">
      <c r="A739" s="15" t="n"/>
      <c r="B739" s="15" t="n"/>
      <c r="C739" s="16" t="n"/>
      <c r="D739" s="16" t="n"/>
      <c r="E739" s="21">
        <f>IF(AND(A739="",B739="",C739="",D739=""),"",IF(TRIM(C739)="",0,LEN(C739)-LEN(SUBSTITUTE(C739,",",""))+1))</f>
        <v/>
      </c>
      <c r="F739" s="21">
        <f>IF(AND(A739="",B739="",C739="",D739=""),"",IF(TRIM(D739)="",0,LEN(D739)-LEN(SUBSTITUTE(D739,",",""))+1))</f>
        <v/>
      </c>
      <c r="G739" s="21">
        <f>IF(B739="","",IF(COUNTIF($B$6:B739,B739)&gt;1,"중복",""))</f>
        <v/>
      </c>
      <c r="H739" s="21">
        <f>IF(AND(A739="",B739="",C739="",D739=""),"",IF(AND(E739&lt;=3,F739&lt;=3,G739=""),1,0))</f>
        <v/>
      </c>
      <c r="I739" s="22">
        <f>IF(H739=0,IF(G739="중복","제외: 같은 이메일 중복 응답","제외: 3개 넘게 선택"),"")</f>
        <v/>
      </c>
    </row>
    <row r="740">
      <c r="A740" s="15" t="n"/>
      <c r="B740" s="15" t="n"/>
      <c r="C740" s="16" t="n"/>
      <c r="D740" s="16" t="n"/>
      <c r="E740" s="21">
        <f>IF(AND(A740="",B740="",C740="",D740=""),"",IF(TRIM(C740)="",0,LEN(C740)-LEN(SUBSTITUTE(C740,",",""))+1))</f>
        <v/>
      </c>
      <c r="F740" s="21">
        <f>IF(AND(A740="",B740="",C740="",D740=""),"",IF(TRIM(D740)="",0,LEN(D740)-LEN(SUBSTITUTE(D740,",",""))+1))</f>
        <v/>
      </c>
      <c r="G740" s="21">
        <f>IF(B740="","",IF(COUNTIF($B$6:B740,B740)&gt;1,"중복",""))</f>
        <v/>
      </c>
      <c r="H740" s="21">
        <f>IF(AND(A740="",B740="",C740="",D740=""),"",IF(AND(E740&lt;=3,F740&lt;=3,G740=""),1,0))</f>
        <v/>
      </c>
      <c r="I740" s="22">
        <f>IF(H740=0,IF(G740="중복","제외: 같은 이메일 중복 응답","제외: 3개 넘게 선택"),"")</f>
        <v/>
      </c>
    </row>
    <row r="741">
      <c r="A741" s="15" t="n"/>
      <c r="B741" s="15" t="n"/>
      <c r="C741" s="16" t="n"/>
      <c r="D741" s="16" t="n"/>
      <c r="E741" s="21">
        <f>IF(AND(A741="",B741="",C741="",D741=""),"",IF(TRIM(C741)="",0,LEN(C741)-LEN(SUBSTITUTE(C741,",",""))+1))</f>
        <v/>
      </c>
      <c r="F741" s="21">
        <f>IF(AND(A741="",B741="",C741="",D741=""),"",IF(TRIM(D741)="",0,LEN(D741)-LEN(SUBSTITUTE(D741,",",""))+1))</f>
        <v/>
      </c>
      <c r="G741" s="21">
        <f>IF(B741="","",IF(COUNTIF($B$6:B741,B741)&gt;1,"중복",""))</f>
        <v/>
      </c>
      <c r="H741" s="21">
        <f>IF(AND(A741="",B741="",C741="",D741=""),"",IF(AND(E741&lt;=3,F741&lt;=3,G741=""),1,0))</f>
        <v/>
      </c>
      <c r="I741" s="22">
        <f>IF(H741=0,IF(G741="중복","제외: 같은 이메일 중복 응답","제외: 3개 넘게 선택"),"")</f>
        <v/>
      </c>
    </row>
    <row r="742">
      <c r="A742" s="15" t="n"/>
      <c r="B742" s="15" t="n"/>
      <c r="C742" s="16" t="n"/>
      <c r="D742" s="16" t="n"/>
      <c r="E742" s="21">
        <f>IF(AND(A742="",B742="",C742="",D742=""),"",IF(TRIM(C742)="",0,LEN(C742)-LEN(SUBSTITUTE(C742,",",""))+1))</f>
        <v/>
      </c>
      <c r="F742" s="21">
        <f>IF(AND(A742="",B742="",C742="",D742=""),"",IF(TRIM(D742)="",0,LEN(D742)-LEN(SUBSTITUTE(D742,",",""))+1))</f>
        <v/>
      </c>
      <c r="G742" s="21">
        <f>IF(B742="","",IF(COUNTIF($B$6:B742,B742)&gt;1,"중복",""))</f>
        <v/>
      </c>
      <c r="H742" s="21">
        <f>IF(AND(A742="",B742="",C742="",D742=""),"",IF(AND(E742&lt;=3,F742&lt;=3,G742=""),1,0))</f>
        <v/>
      </c>
      <c r="I742" s="22">
        <f>IF(H742=0,IF(G742="중복","제외: 같은 이메일 중복 응답","제외: 3개 넘게 선택"),"")</f>
        <v/>
      </c>
    </row>
    <row r="743">
      <c r="A743" s="15" t="n"/>
      <c r="B743" s="15" t="n"/>
      <c r="C743" s="16" t="n"/>
      <c r="D743" s="16" t="n"/>
      <c r="E743" s="21">
        <f>IF(AND(A743="",B743="",C743="",D743=""),"",IF(TRIM(C743)="",0,LEN(C743)-LEN(SUBSTITUTE(C743,",",""))+1))</f>
        <v/>
      </c>
      <c r="F743" s="21">
        <f>IF(AND(A743="",B743="",C743="",D743=""),"",IF(TRIM(D743)="",0,LEN(D743)-LEN(SUBSTITUTE(D743,",",""))+1))</f>
        <v/>
      </c>
      <c r="G743" s="21">
        <f>IF(B743="","",IF(COUNTIF($B$6:B743,B743)&gt;1,"중복",""))</f>
        <v/>
      </c>
      <c r="H743" s="21">
        <f>IF(AND(A743="",B743="",C743="",D743=""),"",IF(AND(E743&lt;=3,F743&lt;=3,G743=""),1,0))</f>
        <v/>
      </c>
      <c r="I743" s="22">
        <f>IF(H743=0,IF(G743="중복","제외: 같은 이메일 중복 응답","제외: 3개 넘게 선택"),"")</f>
        <v/>
      </c>
    </row>
    <row r="744">
      <c r="A744" s="15" t="n"/>
      <c r="B744" s="15" t="n"/>
      <c r="C744" s="16" t="n"/>
      <c r="D744" s="16" t="n"/>
      <c r="E744" s="21">
        <f>IF(AND(A744="",B744="",C744="",D744=""),"",IF(TRIM(C744)="",0,LEN(C744)-LEN(SUBSTITUTE(C744,",",""))+1))</f>
        <v/>
      </c>
      <c r="F744" s="21">
        <f>IF(AND(A744="",B744="",C744="",D744=""),"",IF(TRIM(D744)="",0,LEN(D744)-LEN(SUBSTITUTE(D744,",",""))+1))</f>
        <v/>
      </c>
      <c r="G744" s="21">
        <f>IF(B744="","",IF(COUNTIF($B$6:B744,B744)&gt;1,"중복",""))</f>
        <v/>
      </c>
      <c r="H744" s="21">
        <f>IF(AND(A744="",B744="",C744="",D744=""),"",IF(AND(E744&lt;=3,F744&lt;=3,G744=""),1,0))</f>
        <v/>
      </c>
      <c r="I744" s="22">
        <f>IF(H744=0,IF(G744="중복","제외: 같은 이메일 중복 응답","제외: 3개 넘게 선택"),"")</f>
        <v/>
      </c>
    </row>
    <row r="745">
      <c r="A745" s="15" t="n"/>
      <c r="B745" s="15" t="n"/>
      <c r="C745" s="16" t="n"/>
      <c r="D745" s="16" t="n"/>
      <c r="E745" s="21">
        <f>IF(AND(A745="",B745="",C745="",D745=""),"",IF(TRIM(C745)="",0,LEN(C745)-LEN(SUBSTITUTE(C745,",",""))+1))</f>
        <v/>
      </c>
      <c r="F745" s="21">
        <f>IF(AND(A745="",B745="",C745="",D745=""),"",IF(TRIM(D745)="",0,LEN(D745)-LEN(SUBSTITUTE(D745,",",""))+1))</f>
        <v/>
      </c>
      <c r="G745" s="21">
        <f>IF(B745="","",IF(COUNTIF($B$6:B745,B745)&gt;1,"중복",""))</f>
        <v/>
      </c>
      <c r="H745" s="21">
        <f>IF(AND(A745="",B745="",C745="",D745=""),"",IF(AND(E745&lt;=3,F745&lt;=3,G745=""),1,0))</f>
        <v/>
      </c>
      <c r="I745" s="22">
        <f>IF(H745=0,IF(G745="중복","제외: 같은 이메일 중복 응답","제외: 3개 넘게 선택"),"")</f>
        <v/>
      </c>
    </row>
    <row r="746">
      <c r="A746" s="15" t="n"/>
      <c r="B746" s="15" t="n"/>
      <c r="C746" s="16" t="n"/>
      <c r="D746" s="16" t="n"/>
      <c r="E746" s="21">
        <f>IF(AND(A746="",B746="",C746="",D746=""),"",IF(TRIM(C746)="",0,LEN(C746)-LEN(SUBSTITUTE(C746,",",""))+1))</f>
        <v/>
      </c>
      <c r="F746" s="21">
        <f>IF(AND(A746="",B746="",C746="",D746=""),"",IF(TRIM(D746)="",0,LEN(D746)-LEN(SUBSTITUTE(D746,",",""))+1))</f>
        <v/>
      </c>
      <c r="G746" s="21">
        <f>IF(B746="","",IF(COUNTIF($B$6:B746,B746)&gt;1,"중복",""))</f>
        <v/>
      </c>
      <c r="H746" s="21">
        <f>IF(AND(A746="",B746="",C746="",D746=""),"",IF(AND(E746&lt;=3,F746&lt;=3,G746=""),1,0))</f>
        <v/>
      </c>
      <c r="I746" s="22">
        <f>IF(H746=0,IF(G746="중복","제외: 같은 이메일 중복 응답","제외: 3개 넘게 선택"),"")</f>
        <v/>
      </c>
    </row>
    <row r="747">
      <c r="A747" s="15" t="n"/>
      <c r="B747" s="15" t="n"/>
      <c r="C747" s="16" t="n"/>
      <c r="D747" s="16" t="n"/>
      <c r="E747" s="21">
        <f>IF(AND(A747="",B747="",C747="",D747=""),"",IF(TRIM(C747)="",0,LEN(C747)-LEN(SUBSTITUTE(C747,",",""))+1))</f>
        <v/>
      </c>
      <c r="F747" s="21">
        <f>IF(AND(A747="",B747="",C747="",D747=""),"",IF(TRIM(D747)="",0,LEN(D747)-LEN(SUBSTITUTE(D747,",",""))+1))</f>
        <v/>
      </c>
      <c r="G747" s="21">
        <f>IF(B747="","",IF(COUNTIF($B$6:B747,B747)&gt;1,"중복",""))</f>
        <v/>
      </c>
      <c r="H747" s="21">
        <f>IF(AND(A747="",B747="",C747="",D747=""),"",IF(AND(E747&lt;=3,F747&lt;=3,G747=""),1,0))</f>
        <v/>
      </c>
      <c r="I747" s="22">
        <f>IF(H747=0,IF(G747="중복","제외: 같은 이메일 중복 응답","제외: 3개 넘게 선택"),"")</f>
        <v/>
      </c>
    </row>
    <row r="748">
      <c r="A748" s="15" t="n"/>
      <c r="B748" s="15" t="n"/>
      <c r="C748" s="16" t="n"/>
      <c r="D748" s="16" t="n"/>
      <c r="E748" s="21">
        <f>IF(AND(A748="",B748="",C748="",D748=""),"",IF(TRIM(C748)="",0,LEN(C748)-LEN(SUBSTITUTE(C748,",",""))+1))</f>
        <v/>
      </c>
      <c r="F748" s="21">
        <f>IF(AND(A748="",B748="",C748="",D748=""),"",IF(TRIM(D748)="",0,LEN(D748)-LEN(SUBSTITUTE(D748,",",""))+1))</f>
        <v/>
      </c>
      <c r="G748" s="21">
        <f>IF(B748="","",IF(COUNTIF($B$6:B748,B748)&gt;1,"중복",""))</f>
        <v/>
      </c>
      <c r="H748" s="21">
        <f>IF(AND(A748="",B748="",C748="",D748=""),"",IF(AND(E748&lt;=3,F748&lt;=3,G748=""),1,0))</f>
        <v/>
      </c>
      <c r="I748" s="22">
        <f>IF(H748=0,IF(G748="중복","제외: 같은 이메일 중복 응답","제외: 3개 넘게 선택"),"")</f>
        <v/>
      </c>
    </row>
    <row r="749">
      <c r="A749" s="15" t="n"/>
      <c r="B749" s="15" t="n"/>
      <c r="C749" s="16" t="n"/>
      <c r="D749" s="16" t="n"/>
      <c r="E749" s="21">
        <f>IF(AND(A749="",B749="",C749="",D749=""),"",IF(TRIM(C749)="",0,LEN(C749)-LEN(SUBSTITUTE(C749,",",""))+1))</f>
        <v/>
      </c>
      <c r="F749" s="21">
        <f>IF(AND(A749="",B749="",C749="",D749=""),"",IF(TRIM(D749)="",0,LEN(D749)-LEN(SUBSTITUTE(D749,",",""))+1))</f>
        <v/>
      </c>
      <c r="G749" s="21">
        <f>IF(B749="","",IF(COUNTIF($B$6:B749,B749)&gt;1,"중복",""))</f>
        <v/>
      </c>
      <c r="H749" s="21">
        <f>IF(AND(A749="",B749="",C749="",D749=""),"",IF(AND(E749&lt;=3,F749&lt;=3,G749=""),1,0))</f>
        <v/>
      </c>
      <c r="I749" s="22">
        <f>IF(H749=0,IF(G749="중복","제외: 같은 이메일 중복 응답","제외: 3개 넘게 선택"),"")</f>
        <v/>
      </c>
    </row>
    <row r="750">
      <c r="A750" s="15" t="n"/>
      <c r="B750" s="15" t="n"/>
      <c r="C750" s="16" t="n"/>
      <c r="D750" s="16" t="n"/>
      <c r="E750" s="21">
        <f>IF(AND(A750="",B750="",C750="",D750=""),"",IF(TRIM(C750)="",0,LEN(C750)-LEN(SUBSTITUTE(C750,",",""))+1))</f>
        <v/>
      </c>
      <c r="F750" s="21">
        <f>IF(AND(A750="",B750="",C750="",D750=""),"",IF(TRIM(D750)="",0,LEN(D750)-LEN(SUBSTITUTE(D750,",",""))+1))</f>
        <v/>
      </c>
      <c r="G750" s="21">
        <f>IF(B750="","",IF(COUNTIF($B$6:B750,B750)&gt;1,"중복",""))</f>
        <v/>
      </c>
      <c r="H750" s="21">
        <f>IF(AND(A750="",B750="",C750="",D750=""),"",IF(AND(E750&lt;=3,F750&lt;=3,G750=""),1,0))</f>
        <v/>
      </c>
      <c r="I750" s="22">
        <f>IF(H750=0,IF(G750="중복","제외: 같은 이메일 중복 응답","제외: 3개 넘게 선택"),"")</f>
        <v/>
      </c>
    </row>
    <row r="751">
      <c r="A751" s="15" t="n"/>
      <c r="B751" s="15" t="n"/>
      <c r="C751" s="16" t="n"/>
      <c r="D751" s="16" t="n"/>
      <c r="E751" s="21">
        <f>IF(AND(A751="",B751="",C751="",D751=""),"",IF(TRIM(C751)="",0,LEN(C751)-LEN(SUBSTITUTE(C751,",",""))+1))</f>
        <v/>
      </c>
      <c r="F751" s="21">
        <f>IF(AND(A751="",B751="",C751="",D751=""),"",IF(TRIM(D751)="",0,LEN(D751)-LEN(SUBSTITUTE(D751,",",""))+1))</f>
        <v/>
      </c>
      <c r="G751" s="21">
        <f>IF(B751="","",IF(COUNTIF($B$6:B751,B751)&gt;1,"중복",""))</f>
        <v/>
      </c>
      <c r="H751" s="21">
        <f>IF(AND(A751="",B751="",C751="",D751=""),"",IF(AND(E751&lt;=3,F751&lt;=3,G751=""),1,0))</f>
        <v/>
      </c>
      <c r="I751" s="22">
        <f>IF(H751=0,IF(G751="중복","제외: 같은 이메일 중복 응답","제외: 3개 넘게 선택"),"")</f>
        <v/>
      </c>
    </row>
    <row r="752">
      <c r="A752" s="15" t="n"/>
      <c r="B752" s="15" t="n"/>
      <c r="C752" s="16" t="n"/>
      <c r="D752" s="16" t="n"/>
      <c r="E752" s="21">
        <f>IF(AND(A752="",B752="",C752="",D752=""),"",IF(TRIM(C752)="",0,LEN(C752)-LEN(SUBSTITUTE(C752,",",""))+1))</f>
        <v/>
      </c>
      <c r="F752" s="21">
        <f>IF(AND(A752="",B752="",C752="",D752=""),"",IF(TRIM(D752)="",0,LEN(D752)-LEN(SUBSTITUTE(D752,",",""))+1))</f>
        <v/>
      </c>
      <c r="G752" s="21">
        <f>IF(B752="","",IF(COUNTIF($B$6:B752,B752)&gt;1,"중복",""))</f>
        <v/>
      </c>
      <c r="H752" s="21">
        <f>IF(AND(A752="",B752="",C752="",D752=""),"",IF(AND(E752&lt;=3,F752&lt;=3,G752=""),1,0))</f>
        <v/>
      </c>
      <c r="I752" s="22">
        <f>IF(H752=0,IF(G752="중복","제외: 같은 이메일 중복 응답","제외: 3개 넘게 선택"),"")</f>
        <v/>
      </c>
    </row>
    <row r="753">
      <c r="A753" s="15" t="n"/>
      <c r="B753" s="15" t="n"/>
      <c r="C753" s="16" t="n"/>
      <c r="D753" s="16" t="n"/>
      <c r="E753" s="21">
        <f>IF(AND(A753="",B753="",C753="",D753=""),"",IF(TRIM(C753)="",0,LEN(C753)-LEN(SUBSTITUTE(C753,",",""))+1))</f>
        <v/>
      </c>
      <c r="F753" s="21">
        <f>IF(AND(A753="",B753="",C753="",D753=""),"",IF(TRIM(D753)="",0,LEN(D753)-LEN(SUBSTITUTE(D753,",",""))+1))</f>
        <v/>
      </c>
      <c r="G753" s="21">
        <f>IF(B753="","",IF(COUNTIF($B$6:B753,B753)&gt;1,"중복",""))</f>
        <v/>
      </c>
      <c r="H753" s="21">
        <f>IF(AND(A753="",B753="",C753="",D753=""),"",IF(AND(E753&lt;=3,F753&lt;=3,G753=""),1,0))</f>
        <v/>
      </c>
      <c r="I753" s="22">
        <f>IF(H753=0,IF(G753="중복","제외: 같은 이메일 중복 응답","제외: 3개 넘게 선택"),"")</f>
        <v/>
      </c>
    </row>
    <row r="754">
      <c r="A754" s="15" t="n"/>
      <c r="B754" s="15" t="n"/>
      <c r="C754" s="16" t="n"/>
      <c r="D754" s="16" t="n"/>
      <c r="E754" s="21">
        <f>IF(AND(A754="",B754="",C754="",D754=""),"",IF(TRIM(C754)="",0,LEN(C754)-LEN(SUBSTITUTE(C754,",",""))+1))</f>
        <v/>
      </c>
      <c r="F754" s="21">
        <f>IF(AND(A754="",B754="",C754="",D754=""),"",IF(TRIM(D754)="",0,LEN(D754)-LEN(SUBSTITUTE(D754,",",""))+1))</f>
        <v/>
      </c>
      <c r="G754" s="21">
        <f>IF(B754="","",IF(COUNTIF($B$6:B754,B754)&gt;1,"중복",""))</f>
        <v/>
      </c>
      <c r="H754" s="21">
        <f>IF(AND(A754="",B754="",C754="",D754=""),"",IF(AND(E754&lt;=3,F754&lt;=3,G754=""),1,0))</f>
        <v/>
      </c>
      <c r="I754" s="22">
        <f>IF(H754=0,IF(G754="중복","제외: 같은 이메일 중복 응답","제외: 3개 넘게 선택"),"")</f>
        <v/>
      </c>
    </row>
    <row r="755">
      <c r="A755" s="15" t="n"/>
      <c r="B755" s="15" t="n"/>
      <c r="C755" s="16" t="n"/>
      <c r="D755" s="16" t="n"/>
      <c r="E755" s="21">
        <f>IF(AND(A755="",B755="",C755="",D755=""),"",IF(TRIM(C755)="",0,LEN(C755)-LEN(SUBSTITUTE(C755,",",""))+1))</f>
        <v/>
      </c>
      <c r="F755" s="21">
        <f>IF(AND(A755="",B755="",C755="",D755=""),"",IF(TRIM(D755)="",0,LEN(D755)-LEN(SUBSTITUTE(D755,",",""))+1))</f>
        <v/>
      </c>
      <c r="G755" s="21">
        <f>IF(B755="","",IF(COUNTIF($B$6:B755,B755)&gt;1,"중복",""))</f>
        <v/>
      </c>
      <c r="H755" s="21">
        <f>IF(AND(A755="",B755="",C755="",D755=""),"",IF(AND(E755&lt;=3,F755&lt;=3,G755=""),1,0))</f>
        <v/>
      </c>
      <c r="I755" s="22">
        <f>IF(H755=0,IF(G755="중복","제외: 같은 이메일 중복 응답","제외: 3개 넘게 선택"),"")</f>
        <v/>
      </c>
    </row>
    <row r="756">
      <c r="A756" s="15" t="n"/>
      <c r="B756" s="15" t="n"/>
      <c r="C756" s="16" t="n"/>
      <c r="D756" s="16" t="n"/>
      <c r="E756" s="21">
        <f>IF(AND(A756="",B756="",C756="",D756=""),"",IF(TRIM(C756)="",0,LEN(C756)-LEN(SUBSTITUTE(C756,",",""))+1))</f>
        <v/>
      </c>
      <c r="F756" s="21">
        <f>IF(AND(A756="",B756="",C756="",D756=""),"",IF(TRIM(D756)="",0,LEN(D756)-LEN(SUBSTITUTE(D756,",",""))+1))</f>
        <v/>
      </c>
      <c r="G756" s="21">
        <f>IF(B756="","",IF(COUNTIF($B$6:B756,B756)&gt;1,"중복",""))</f>
        <v/>
      </c>
      <c r="H756" s="21">
        <f>IF(AND(A756="",B756="",C756="",D756=""),"",IF(AND(E756&lt;=3,F756&lt;=3,G756=""),1,0))</f>
        <v/>
      </c>
      <c r="I756" s="22">
        <f>IF(H756=0,IF(G756="중복","제외: 같은 이메일 중복 응답","제외: 3개 넘게 선택"),"")</f>
        <v/>
      </c>
    </row>
    <row r="757">
      <c r="A757" s="15" t="n"/>
      <c r="B757" s="15" t="n"/>
      <c r="C757" s="16" t="n"/>
      <c r="D757" s="16" t="n"/>
      <c r="E757" s="21">
        <f>IF(AND(A757="",B757="",C757="",D757=""),"",IF(TRIM(C757)="",0,LEN(C757)-LEN(SUBSTITUTE(C757,",",""))+1))</f>
        <v/>
      </c>
      <c r="F757" s="21">
        <f>IF(AND(A757="",B757="",C757="",D757=""),"",IF(TRIM(D757)="",0,LEN(D757)-LEN(SUBSTITUTE(D757,",",""))+1))</f>
        <v/>
      </c>
      <c r="G757" s="21">
        <f>IF(B757="","",IF(COUNTIF($B$6:B757,B757)&gt;1,"중복",""))</f>
        <v/>
      </c>
      <c r="H757" s="21">
        <f>IF(AND(A757="",B757="",C757="",D757=""),"",IF(AND(E757&lt;=3,F757&lt;=3,G757=""),1,0))</f>
        <v/>
      </c>
      <c r="I757" s="22">
        <f>IF(H757=0,IF(G757="중복","제외: 같은 이메일 중복 응답","제외: 3개 넘게 선택"),"")</f>
        <v/>
      </c>
    </row>
    <row r="758">
      <c r="A758" s="15" t="n"/>
      <c r="B758" s="15" t="n"/>
      <c r="C758" s="16" t="n"/>
      <c r="D758" s="16" t="n"/>
      <c r="E758" s="21">
        <f>IF(AND(A758="",B758="",C758="",D758=""),"",IF(TRIM(C758)="",0,LEN(C758)-LEN(SUBSTITUTE(C758,",",""))+1))</f>
        <v/>
      </c>
      <c r="F758" s="21">
        <f>IF(AND(A758="",B758="",C758="",D758=""),"",IF(TRIM(D758)="",0,LEN(D758)-LEN(SUBSTITUTE(D758,",",""))+1))</f>
        <v/>
      </c>
      <c r="G758" s="21">
        <f>IF(B758="","",IF(COUNTIF($B$6:B758,B758)&gt;1,"중복",""))</f>
        <v/>
      </c>
      <c r="H758" s="21">
        <f>IF(AND(A758="",B758="",C758="",D758=""),"",IF(AND(E758&lt;=3,F758&lt;=3,G758=""),1,0))</f>
        <v/>
      </c>
      <c r="I758" s="22">
        <f>IF(H758=0,IF(G758="중복","제외: 같은 이메일 중복 응답","제외: 3개 넘게 선택"),"")</f>
        <v/>
      </c>
    </row>
    <row r="759">
      <c r="A759" s="15" t="n"/>
      <c r="B759" s="15" t="n"/>
      <c r="C759" s="16" t="n"/>
      <c r="D759" s="16" t="n"/>
      <c r="E759" s="21">
        <f>IF(AND(A759="",B759="",C759="",D759=""),"",IF(TRIM(C759)="",0,LEN(C759)-LEN(SUBSTITUTE(C759,",",""))+1))</f>
        <v/>
      </c>
      <c r="F759" s="21">
        <f>IF(AND(A759="",B759="",C759="",D759=""),"",IF(TRIM(D759)="",0,LEN(D759)-LEN(SUBSTITUTE(D759,",",""))+1))</f>
        <v/>
      </c>
      <c r="G759" s="21">
        <f>IF(B759="","",IF(COUNTIF($B$6:B759,B759)&gt;1,"중복",""))</f>
        <v/>
      </c>
      <c r="H759" s="21">
        <f>IF(AND(A759="",B759="",C759="",D759=""),"",IF(AND(E759&lt;=3,F759&lt;=3,G759=""),1,0))</f>
        <v/>
      </c>
      <c r="I759" s="22">
        <f>IF(H759=0,IF(G759="중복","제외: 같은 이메일 중복 응답","제외: 3개 넘게 선택"),"")</f>
        <v/>
      </c>
    </row>
    <row r="760">
      <c r="A760" s="15" t="n"/>
      <c r="B760" s="15" t="n"/>
      <c r="C760" s="16" t="n"/>
      <c r="D760" s="16" t="n"/>
      <c r="E760" s="21">
        <f>IF(AND(A760="",B760="",C760="",D760=""),"",IF(TRIM(C760)="",0,LEN(C760)-LEN(SUBSTITUTE(C760,",",""))+1))</f>
        <v/>
      </c>
      <c r="F760" s="21">
        <f>IF(AND(A760="",B760="",C760="",D760=""),"",IF(TRIM(D760)="",0,LEN(D760)-LEN(SUBSTITUTE(D760,",",""))+1))</f>
        <v/>
      </c>
      <c r="G760" s="21">
        <f>IF(B760="","",IF(COUNTIF($B$6:B760,B760)&gt;1,"중복",""))</f>
        <v/>
      </c>
      <c r="H760" s="21">
        <f>IF(AND(A760="",B760="",C760="",D760=""),"",IF(AND(E760&lt;=3,F760&lt;=3,G760=""),1,0))</f>
        <v/>
      </c>
      <c r="I760" s="22">
        <f>IF(H760=0,IF(G760="중복","제외: 같은 이메일 중복 응답","제외: 3개 넘게 선택"),"")</f>
        <v/>
      </c>
    </row>
    <row r="761">
      <c r="A761" s="15" t="n"/>
      <c r="B761" s="15" t="n"/>
      <c r="C761" s="16" t="n"/>
      <c r="D761" s="16" t="n"/>
      <c r="E761" s="21">
        <f>IF(AND(A761="",B761="",C761="",D761=""),"",IF(TRIM(C761)="",0,LEN(C761)-LEN(SUBSTITUTE(C761,",",""))+1))</f>
        <v/>
      </c>
      <c r="F761" s="21">
        <f>IF(AND(A761="",B761="",C761="",D761=""),"",IF(TRIM(D761)="",0,LEN(D761)-LEN(SUBSTITUTE(D761,",",""))+1))</f>
        <v/>
      </c>
      <c r="G761" s="21">
        <f>IF(B761="","",IF(COUNTIF($B$6:B761,B761)&gt;1,"중복",""))</f>
        <v/>
      </c>
      <c r="H761" s="21">
        <f>IF(AND(A761="",B761="",C761="",D761=""),"",IF(AND(E761&lt;=3,F761&lt;=3,G761=""),1,0))</f>
        <v/>
      </c>
      <c r="I761" s="22">
        <f>IF(H761=0,IF(G761="중복","제외: 같은 이메일 중복 응답","제외: 3개 넘게 선택"),"")</f>
        <v/>
      </c>
    </row>
    <row r="762">
      <c r="A762" s="15" t="n"/>
      <c r="B762" s="15" t="n"/>
      <c r="C762" s="16" t="n"/>
      <c r="D762" s="16" t="n"/>
      <c r="E762" s="21">
        <f>IF(AND(A762="",B762="",C762="",D762=""),"",IF(TRIM(C762)="",0,LEN(C762)-LEN(SUBSTITUTE(C762,",",""))+1))</f>
        <v/>
      </c>
      <c r="F762" s="21">
        <f>IF(AND(A762="",B762="",C762="",D762=""),"",IF(TRIM(D762)="",0,LEN(D762)-LEN(SUBSTITUTE(D762,",",""))+1))</f>
        <v/>
      </c>
      <c r="G762" s="21">
        <f>IF(B762="","",IF(COUNTIF($B$6:B762,B762)&gt;1,"중복",""))</f>
        <v/>
      </c>
      <c r="H762" s="21">
        <f>IF(AND(A762="",B762="",C762="",D762=""),"",IF(AND(E762&lt;=3,F762&lt;=3,G762=""),1,0))</f>
        <v/>
      </c>
      <c r="I762" s="22">
        <f>IF(H762=0,IF(G762="중복","제외: 같은 이메일 중복 응답","제외: 3개 넘게 선택"),"")</f>
        <v/>
      </c>
    </row>
    <row r="763">
      <c r="A763" s="15" t="n"/>
      <c r="B763" s="15" t="n"/>
      <c r="C763" s="16" t="n"/>
      <c r="D763" s="16" t="n"/>
      <c r="E763" s="21">
        <f>IF(AND(A763="",B763="",C763="",D763=""),"",IF(TRIM(C763)="",0,LEN(C763)-LEN(SUBSTITUTE(C763,",",""))+1))</f>
        <v/>
      </c>
      <c r="F763" s="21">
        <f>IF(AND(A763="",B763="",C763="",D763=""),"",IF(TRIM(D763)="",0,LEN(D763)-LEN(SUBSTITUTE(D763,",",""))+1))</f>
        <v/>
      </c>
      <c r="G763" s="21">
        <f>IF(B763="","",IF(COUNTIF($B$6:B763,B763)&gt;1,"중복",""))</f>
        <v/>
      </c>
      <c r="H763" s="21">
        <f>IF(AND(A763="",B763="",C763="",D763=""),"",IF(AND(E763&lt;=3,F763&lt;=3,G763=""),1,0))</f>
        <v/>
      </c>
      <c r="I763" s="22">
        <f>IF(H763=0,IF(G763="중복","제외: 같은 이메일 중복 응답","제외: 3개 넘게 선택"),"")</f>
        <v/>
      </c>
    </row>
    <row r="764">
      <c r="A764" s="15" t="n"/>
      <c r="B764" s="15" t="n"/>
      <c r="C764" s="16" t="n"/>
      <c r="D764" s="16" t="n"/>
      <c r="E764" s="21">
        <f>IF(AND(A764="",B764="",C764="",D764=""),"",IF(TRIM(C764)="",0,LEN(C764)-LEN(SUBSTITUTE(C764,",",""))+1))</f>
        <v/>
      </c>
      <c r="F764" s="21">
        <f>IF(AND(A764="",B764="",C764="",D764=""),"",IF(TRIM(D764)="",0,LEN(D764)-LEN(SUBSTITUTE(D764,",",""))+1))</f>
        <v/>
      </c>
      <c r="G764" s="21">
        <f>IF(B764="","",IF(COUNTIF($B$6:B764,B764)&gt;1,"중복",""))</f>
        <v/>
      </c>
      <c r="H764" s="21">
        <f>IF(AND(A764="",B764="",C764="",D764=""),"",IF(AND(E764&lt;=3,F764&lt;=3,G764=""),1,0))</f>
        <v/>
      </c>
      <c r="I764" s="22">
        <f>IF(H764=0,IF(G764="중복","제외: 같은 이메일 중복 응답","제외: 3개 넘게 선택"),"")</f>
        <v/>
      </c>
    </row>
    <row r="765">
      <c r="A765" s="15" t="n"/>
      <c r="B765" s="15" t="n"/>
      <c r="C765" s="16" t="n"/>
      <c r="D765" s="16" t="n"/>
      <c r="E765" s="21">
        <f>IF(AND(A765="",B765="",C765="",D765=""),"",IF(TRIM(C765)="",0,LEN(C765)-LEN(SUBSTITUTE(C765,",",""))+1))</f>
        <v/>
      </c>
      <c r="F765" s="21">
        <f>IF(AND(A765="",B765="",C765="",D765=""),"",IF(TRIM(D765)="",0,LEN(D765)-LEN(SUBSTITUTE(D765,",",""))+1))</f>
        <v/>
      </c>
      <c r="G765" s="21">
        <f>IF(B765="","",IF(COUNTIF($B$6:B765,B765)&gt;1,"중복",""))</f>
        <v/>
      </c>
      <c r="H765" s="21">
        <f>IF(AND(A765="",B765="",C765="",D765=""),"",IF(AND(E765&lt;=3,F765&lt;=3,G765=""),1,0))</f>
        <v/>
      </c>
      <c r="I765" s="22">
        <f>IF(H765=0,IF(G765="중복","제외: 같은 이메일 중복 응답","제외: 3개 넘게 선택"),"")</f>
        <v/>
      </c>
    </row>
    <row r="766">
      <c r="A766" s="15" t="n"/>
      <c r="B766" s="15" t="n"/>
      <c r="C766" s="16" t="n"/>
      <c r="D766" s="16" t="n"/>
      <c r="E766" s="21">
        <f>IF(AND(A766="",B766="",C766="",D766=""),"",IF(TRIM(C766)="",0,LEN(C766)-LEN(SUBSTITUTE(C766,",",""))+1))</f>
        <v/>
      </c>
      <c r="F766" s="21">
        <f>IF(AND(A766="",B766="",C766="",D766=""),"",IF(TRIM(D766)="",0,LEN(D766)-LEN(SUBSTITUTE(D766,",",""))+1))</f>
        <v/>
      </c>
      <c r="G766" s="21">
        <f>IF(B766="","",IF(COUNTIF($B$6:B766,B766)&gt;1,"중복",""))</f>
        <v/>
      </c>
      <c r="H766" s="21">
        <f>IF(AND(A766="",B766="",C766="",D766=""),"",IF(AND(E766&lt;=3,F766&lt;=3,G766=""),1,0))</f>
        <v/>
      </c>
      <c r="I766" s="22">
        <f>IF(H766=0,IF(G766="중복","제외: 같은 이메일 중복 응답","제외: 3개 넘게 선택"),"")</f>
        <v/>
      </c>
    </row>
    <row r="767">
      <c r="A767" s="15" t="n"/>
      <c r="B767" s="15" t="n"/>
      <c r="C767" s="16" t="n"/>
      <c r="D767" s="16" t="n"/>
      <c r="E767" s="21">
        <f>IF(AND(A767="",B767="",C767="",D767=""),"",IF(TRIM(C767)="",0,LEN(C767)-LEN(SUBSTITUTE(C767,",",""))+1))</f>
        <v/>
      </c>
      <c r="F767" s="21">
        <f>IF(AND(A767="",B767="",C767="",D767=""),"",IF(TRIM(D767)="",0,LEN(D767)-LEN(SUBSTITUTE(D767,",",""))+1))</f>
        <v/>
      </c>
      <c r="G767" s="21">
        <f>IF(B767="","",IF(COUNTIF($B$6:B767,B767)&gt;1,"중복",""))</f>
        <v/>
      </c>
      <c r="H767" s="21">
        <f>IF(AND(A767="",B767="",C767="",D767=""),"",IF(AND(E767&lt;=3,F767&lt;=3,G767=""),1,0))</f>
        <v/>
      </c>
      <c r="I767" s="22">
        <f>IF(H767=0,IF(G767="중복","제외: 같은 이메일 중복 응답","제외: 3개 넘게 선택"),"")</f>
        <v/>
      </c>
    </row>
    <row r="768">
      <c r="A768" s="15" t="n"/>
      <c r="B768" s="15" t="n"/>
      <c r="C768" s="16" t="n"/>
      <c r="D768" s="16" t="n"/>
      <c r="E768" s="21">
        <f>IF(AND(A768="",B768="",C768="",D768=""),"",IF(TRIM(C768)="",0,LEN(C768)-LEN(SUBSTITUTE(C768,",",""))+1))</f>
        <v/>
      </c>
      <c r="F768" s="21">
        <f>IF(AND(A768="",B768="",C768="",D768=""),"",IF(TRIM(D768)="",0,LEN(D768)-LEN(SUBSTITUTE(D768,",",""))+1))</f>
        <v/>
      </c>
      <c r="G768" s="21">
        <f>IF(B768="","",IF(COUNTIF($B$6:B768,B768)&gt;1,"중복",""))</f>
        <v/>
      </c>
      <c r="H768" s="21">
        <f>IF(AND(A768="",B768="",C768="",D768=""),"",IF(AND(E768&lt;=3,F768&lt;=3,G768=""),1,0))</f>
        <v/>
      </c>
      <c r="I768" s="22">
        <f>IF(H768=0,IF(G768="중복","제외: 같은 이메일 중복 응답","제외: 3개 넘게 선택"),"")</f>
        <v/>
      </c>
    </row>
    <row r="769">
      <c r="A769" s="15" t="n"/>
      <c r="B769" s="15" t="n"/>
      <c r="C769" s="16" t="n"/>
      <c r="D769" s="16" t="n"/>
      <c r="E769" s="21">
        <f>IF(AND(A769="",B769="",C769="",D769=""),"",IF(TRIM(C769)="",0,LEN(C769)-LEN(SUBSTITUTE(C769,",",""))+1))</f>
        <v/>
      </c>
      <c r="F769" s="21">
        <f>IF(AND(A769="",B769="",C769="",D769=""),"",IF(TRIM(D769)="",0,LEN(D769)-LEN(SUBSTITUTE(D769,",",""))+1))</f>
        <v/>
      </c>
      <c r="G769" s="21">
        <f>IF(B769="","",IF(COUNTIF($B$6:B769,B769)&gt;1,"중복",""))</f>
        <v/>
      </c>
      <c r="H769" s="21">
        <f>IF(AND(A769="",B769="",C769="",D769=""),"",IF(AND(E769&lt;=3,F769&lt;=3,G769=""),1,0))</f>
        <v/>
      </c>
      <c r="I769" s="22">
        <f>IF(H769=0,IF(G769="중복","제외: 같은 이메일 중복 응답","제외: 3개 넘게 선택"),"")</f>
        <v/>
      </c>
    </row>
    <row r="770">
      <c r="A770" s="15" t="n"/>
      <c r="B770" s="15" t="n"/>
      <c r="C770" s="16" t="n"/>
      <c r="D770" s="16" t="n"/>
      <c r="E770" s="21">
        <f>IF(AND(A770="",B770="",C770="",D770=""),"",IF(TRIM(C770)="",0,LEN(C770)-LEN(SUBSTITUTE(C770,",",""))+1))</f>
        <v/>
      </c>
      <c r="F770" s="21">
        <f>IF(AND(A770="",B770="",C770="",D770=""),"",IF(TRIM(D770)="",0,LEN(D770)-LEN(SUBSTITUTE(D770,",",""))+1))</f>
        <v/>
      </c>
      <c r="G770" s="21">
        <f>IF(B770="","",IF(COUNTIF($B$6:B770,B770)&gt;1,"중복",""))</f>
        <v/>
      </c>
      <c r="H770" s="21">
        <f>IF(AND(A770="",B770="",C770="",D770=""),"",IF(AND(E770&lt;=3,F770&lt;=3,G770=""),1,0))</f>
        <v/>
      </c>
      <c r="I770" s="22">
        <f>IF(H770=0,IF(G770="중복","제외: 같은 이메일 중복 응답","제외: 3개 넘게 선택"),"")</f>
        <v/>
      </c>
    </row>
    <row r="771">
      <c r="A771" s="15" t="n"/>
      <c r="B771" s="15" t="n"/>
      <c r="C771" s="16" t="n"/>
      <c r="D771" s="16" t="n"/>
      <c r="E771" s="21">
        <f>IF(AND(A771="",B771="",C771="",D771=""),"",IF(TRIM(C771)="",0,LEN(C771)-LEN(SUBSTITUTE(C771,",",""))+1))</f>
        <v/>
      </c>
      <c r="F771" s="21">
        <f>IF(AND(A771="",B771="",C771="",D771=""),"",IF(TRIM(D771)="",0,LEN(D771)-LEN(SUBSTITUTE(D771,",",""))+1))</f>
        <v/>
      </c>
      <c r="G771" s="21">
        <f>IF(B771="","",IF(COUNTIF($B$6:B771,B771)&gt;1,"중복",""))</f>
        <v/>
      </c>
      <c r="H771" s="21">
        <f>IF(AND(A771="",B771="",C771="",D771=""),"",IF(AND(E771&lt;=3,F771&lt;=3,G771=""),1,0))</f>
        <v/>
      </c>
      <c r="I771" s="22">
        <f>IF(H771=0,IF(G771="중복","제외: 같은 이메일 중복 응답","제외: 3개 넘게 선택"),"")</f>
        <v/>
      </c>
    </row>
    <row r="772">
      <c r="A772" s="15" t="n"/>
      <c r="B772" s="15" t="n"/>
      <c r="C772" s="16" t="n"/>
      <c r="D772" s="16" t="n"/>
      <c r="E772" s="21">
        <f>IF(AND(A772="",B772="",C772="",D772=""),"",IF(TRIM(C772)="",0,LEN(C772)-LEN(SUBSTITUTE(C772,",",""))+1))</f>
        <v/>
      </c>
      <c r="F772" s="21">
        <f>IF(AND(A772="",B772="",C772="",D772=""),"",IF(TRIM(D772)="",0,LEN(D772)-LEN(SUBSTITUTE(D772,",",""))+1))</f>
        <v/>
      </c>
      <c r="G772" s="21">
        <f>IF(B772="","",IF(COUNTIF($B$6:B772,B772)&gt;1,"중복",""))</f>
        <v/>
      </c>
      <c r="H772" s="21">
        <f>IF(AND(A772="",B772="",C772="",D772=""),"",IF(AND(E772&lt;=3,F772&lt;=3,G772=""),1,0))</f>
        <v/>
      </c>
      <c r="I772" s="22">
        <f>IF(H772=0,IF(G772="중복","제외: 같은 이메일 중복 응답","제외: 3개 넘게 선택"),"")</f>
        <v/>
      </c>
    </row>
    <row r="773">
      <c r="A773" s="15" t="n"/>
      <c r="B773" s="15" t="n"/>
      <c r="C773" s="16" t="n"/>
      <c r="D773" s="16" t="n"/>
      <c r="E773" s="21">
        <f>IF(AND(A773="",B773="",C773="",D773=""),"",IF(TRIM(C773)="",0,LEN(C773)-LEN(SUBSTITUTE(C773,",",""))+1))</f>
        <v/>
      </c>
      <c r="F773" s="21">
        <f>IF(AND(A773="",B773="",C773="",D773=""),"",IF(TRIM(D773)="",0,LEN(D773)-LEN(SUBSTITUTE(D773,",",""))+1))</f>
        <v/>
      </c>
      <c r="G773" s="21">
        <f>IF(B773="","",IF(COUNTIF($B$6:B773,B773)&gt;1,"중복",""))</f>
        <v/>
      </c>
      <c r="H773" s="21">
        <f>IF(AND(A773="",B773="",C773="",D773=""),"",IF(AND(E773&lt;=3,F773&lt;=3,G773=""),1,0))</f>
        <v/>
      </c>
      <c r="I773" s="22">
        <f>IF(H773=0,IF(G773="중복","제외: 같은 이메일 중복 응답","제외: 3개 넘게 선택"),"")</f>
        <v/>
      </c>
    </row>
    <row r="774">
      <c r="A774" s="15" t="n"/>
      <c r="B774" s="15" t="n"/>
      <c r="C774" s="16" t="n"/>
      <c r="D774" s="16" t="n"/>
      <c r="E774" s="21">
        <f>IF(AND(A774="",B774="",C774="",D774=""),"",IF(TRIM(C774)="",0,LEN(C774)-LEN(SUBSTITUTE(C774,",",""))+1))</f>
        <v/>
      </c>
      <c r="F774" s="21">
        <f>IF(AND(A774="",B774="",C774="",D774=""),"",IF(TRIM(D774)="",0,LEN(D774)-LEN(SUBSTITUTE(D774,",",""))+1))</f>
        <v/>
      </c>
      <c r="G774" s="21">
        <f>IF(B774="","",IF(COUNTIF($B$6:B774,B774)&gt;1,"중복",""))</f>
        <v/>
      </c>
      <c r="H774" s="21">
        <f>IF(AND(A774="",B774="",C774="",D774=""),"",IF(AND(E774&lt;=3,F774&lt;=3,G774=""),1,0))</f>
        <v/>
      </c>
      <c r="I774" s="22">
        <f>IF(H774=0,IF(G774="중복","제외: 같은 이메일 중복 응답","제외: 3개 넘게 선택"),"")</f>
        <v/>
      </c>
    </row>
    <row r="775">
      <c r="A775" s="15" t="n"/>
      <c r="B775" s="15" t="n"/>
      <c r="C775" s="16" t="n"/>
      <c r="D775" s="16" t="n"/>
      <c r="E775" s="21">
        <f>IF(AND(A775="",B775="",C775="",D775=""),"",IF(TRIM(C775)="",0,LEN(C775)-LEN(SUBSTITUTE(C775,",",""))+1))</f>
        <v/>
      </c>
      <c r="F775" s="21">
        <f>IF(AND(A775="",B775="",C775="",D775=""),"",IF(TRIM(D775)="",0,LEN(D775)-LEN(SUBSTITUTE(D775,",",""))+1))</f>
        <v/>
      </c>
      <c r="G775" s="21">
        <f>IF(B775="","",IF(COUNTIF($B$6:B775,B775)&gt;1,"중복",""))</f>
        <v/>
      </c>
      <c r="H775" s="21">
        <f>IF(AND(A775="",B775="",C775="",D775=""),"",IF(AND(E775&lt;=3,F775&lt;=3,G775=""),1,0))</f>
        <v/>
      </c>
      <c r="I775" s="22">
        <f>IF(H775=0,IF(G775="중복","제외: 같은 이메일 중복 응답","제외: 3개 넘게 선택"),"")</f>
        <v/>
      </c>
    </row>
    <row r="776">
      <c r="A776" s="15" t="n"/>
      <c r="B776" s="15" t="n"/>
      <c r="C776" s="16" t="n"/>
      <c r="D776" s="16" t="n"/>
      <c r="E776" s="21">
        <f>IF(AND(A776="",B776="",C776="",D776=""),"",IF(TRIM(C776)="",0,LEN(C776)-LEN(SUBSTITUTE(C776,",",""))+1))</f>
        <v/>
      </c>
      <c r="F776" s="21">
        <f>IF(AND(A776="",B776="",C776="",D776=""),"",IF(TRIM(D776)="",0,LEN(D776)-LEN(SUBSTITUTE(D776,",",""))+1))</f>
        <v/>
      </c>
      <c r="G776" s="21">
        <f>IF(B776="","",IF(COUNTIF($B$6:B776,B776)&gt;1,"중복",""))</f>
        <v/>
      </c>
      <c r="H776" s="21">
        <f>IF(AND(A776="",B776="",C776="",D776=""),"",IF(AND(E776&lt;=3,F776&lt;=3,G776=""),1,0))</f>
        <v/>
      </c>
      <c r="I776" s="22">
        <f>IF(H776=0,IF(G776="중복","제외: 같은 이메일 중복 응답","제외: 3개 넘게 선택"),"")</f>
        <v/>
      </c>
    </row>
    <row r="777">
      <c r="A777" s="15" t="n"/>
      <c r="B777" s="15" t="n"/>
      <c r="C777" s="16" t="n"/>
      <c r="D777" s="16" t="n"/>
      <c r="E777" s="21">
        <f>IF(AND(A777="",B777="",C777="",D777=""),"",IF(TRIM(C777)="",0,LEN(C777)-LEN(SUBSTITUTE(C777,",",""))+1))</f>
        <v/>
      </c>
      <c r="F777" s="21">
        <f>IF(AND(A777="",B777="",C777="",D777=""),"",IF(TRIM(D777)="",0,LEN(D777)-LEN(SUBSTITUTE(D777,",",""))+1))</f>
        <v/>
      </c>
      <c r="G777" s="21">
        <f>IF(B777="","",IF(COUNTIF($B$6:B777,B777)&gt;1,"중복",""))</f>
        <v/>
      </c>
      <c r="H777" s="21">
        <f>IF(AND(A777="",B777="",C777="",D777=""),"",IF(AND(E777&lt;=3,F777&lt;=3,G777=""),1,0))</f>
        <v/>
      </c>
      <c r="I777" s="22">
        <f>IF(H777=0,IF(G777="중복","제외: 같은 이메일 중복 응답","제외: 3개 넘게 선택"),"")</f>
        <v/>
      </c>
    </row>
    <row r="778">
      <c r="A778" s="15" t="n"/>
      <c r="B778" s="15" t="n"/>
      <c r="C778" s="16" t="n"/>
      <c r="D778" s="16" t="n"/>
      <c r="E778" s="21">
        <f>IF(AND(A778="",B778="",C778="",D778=""),"",IF(TRIM(C778)="",0,LEN(C778)-LEN(SUBSTITUTE(C778,",",""))+1))</f>
        <v/>
      </c>
      <c r="F778" s="21">
        <f>IF(AND(A778="",B778="",C778="",D778=""),"",IF(TRIM(D778)="",0,LEN(D778)-LEN(SUBSTITUTE(D778,",",""))+1))</f>
        <v/>
      </c>
      <c r="G778" s="21">
        <f>IF(B778="","",IF(COUNTIF($B$6:B778,B778)&gt;1,"중복",""))</f>
        <v/>
      </c>
      <c r="H778" s="21">
        <f>IF(AND(A778="",B778="",C778="",D778=""),"",IF(AND(E778&lt;=3,F778&lt;=3,G778=""),1,0))</f>
        <v/>
      </c>
      <c r="I778" s="22">
        <f>IF(H778=0,IF(G778="중복","제외: 같은 이메일 중복 응답","제외: 3개 넘게 선택"),"")</f>
        <v/>
      </c>
    </row>
    <row r="779">
      <c r="A779" s="15" t="n"/>
      <c r="B779" s="15" t="n"/>
      <c r="C779" s="16" t="n"/>
      <c r="D779" s="16" t="n"/>
      <c r="E779" s="21">
        <f>IF(AND(A779="",B779="",C779="",D779=""),"",IF(TRIM(C779)="",0,LEN(C779)-LEN(SUBSTITUTE(C779,",",""))+1))</f>
        <v/>
      </c>
      <c r="F779" s="21">
        <f>IF(AND(A779="",B779="",C779="",D779=""),"",IF(TRIM(D779)="",0,LEN(D779)-LEN(SUBSTITUTE(D779,",",""))+1))</f>
        <v/>
      </c>
      <c r="G779" s="21">
        <f>IF(B779="","",IF(COUNTIF($B$6:B779,B779)&gt;1,"중복",""))</f>
        <v/>
      </c>
      <c r="H779" s="21">
        <f>IF(AND(A779="",B779="",C779="",D779=""),"",IF(AND(E779&lt;=3,F779&lt;=3,G779=""),1,0))</f>
        <v/>
      </c>
      <c r="I779" s="22">
        <f>IF(H779=0,IF(G779="중복","제외: 같은 이메일 중복 응답","제외: 3개 넘게 선택"),"")</f>
        <v/>
      </c>
    </row>
    <row r="780">
      <c r="A780" s="15" t="n"/>
      <c r="B780" s="15" t="n"/>
      <c r="C780" s="16" t="n"/>
      <c r="D780" s="16" t="n"/>
      <c r="E780" s="21">
        <f>IF(AND(A780="",B780="",C780="",D780=""),"",IF(TRIM(C780)="",0,LEN(C780)-LEN(SUBSTITUTE(C780,",",""))+1))</f>
        <v/>
      </c>
      <c r="F780" s="21">
        <f>IF(AND(A780="",B780="",C780="",D780=""),"",IF(TRIM(D780)="",0,LEN(D780)-LEN(SUBSTITUTE(D780,",",""))+1))</f>
        <v/>
      </c>
      <c r="G780" s="21">
        <f>IF(B780="","",IF(COUNTIF($B$6:B780,B780)&gt;1,"중복",""))</f>
        <v/>
      </c>
      <c r="H780" s="21">
        <f>IF(AND(A780="",B780="",C780="",D780=""),"",IF(AND(E780&lt;=3,F780&lt;=3,G780=""),1,0))</f>
        <v/>
      </c>
      <c r="I780" s="22">
        <f>IF(H780=0,IF(G780="중복","제외: 같은 이메일 중복 응답","제외: 3개 넘게 선택"),"")</f>
        <v/>
      </c>
    </row>
    <row r="781">
      <c r="A781" s="15" t="n"/>
      <c r="B781" s="15" t="n"/>
      <c r="C781" s="16" t="n"/>
      <c r="D781" s="16" t="n"/>
      <c r="E781" s="21">
        <f>IF(AND(A781="",B781="",C781="",D781=""),"",IF(TRIM(C781)="",0,LEN(C781)-LEN(SUBSTITUTE(C781,",",""))+1))</f>
        <v/>
      </c>
      <c r="F781" s="21">
        <f>IF(AND(A781="",B781="",C781="",D781=""),"",IF(TRIM(D781)="",0,LEN(D781)-LEN(SUBSTITUTE(D781,",",""))+1))</f>
        <v/>
      </c>
      <c r="G781" s="21">
        <f>IF(B781="","",IF(COUNTIF($B$6:B781,B781)&gt;1,"중복",""))</f>
        <v/>
      </c>
      <c r="H781" s="21">
        <f>IF(AND(A781="",B781="",C781="",D781=""),"",IF(AND(E781&lt;=3,F781&lt;=3,G781=""),1,0))</f>
        <v/>
      </c>
      <c r="I781" s="22">
        <f>IF(H781=0,IF(G781="중복","제외: 같은 이메일 중복 응답","제외: 3개 넘게 선택"),"")</f>
        <v/>
      </c>
    </row>
    <row r="782">
      <c r="A782" s="15" t="n"/>
      <c r="B782" s="15" t="n"/>
      <c r="C782" s="16" t="n"/>
      <c r="D782" s="16" t="n"/>
      <c r="E782" s="21">
        <f>IF(AND(A782="",B782="",C782="",D782=""),"",IF(TRIM(C782)="",0,LEN(C782)-LEN(SUBSTITUTE(C782,",",""))+1))</f>
        <v/>
      </c>
      <c r="F782" s="21">
        <f>IF(AND(A782="",B782="",C782="",D782=""),"",IF(TRIM(D782)="",0,LEN(D782)-LEN(SUBSTITUTE(D782,",",""))+1))</f>
        <v/>
      </c>
      <c r="G782" s="21">
        <f>IF(B782="","",IF(COUNTIF($B$6:B782,B782)&gt;1,"중복",""))</f>
        <v/>
      </c>
      <c r="H782" s="21">
        <f>IF(AND(A782="",B782="",C782="",D782=""),"",IF(AND(E782&lt;=3,F782&lt;=3,G782=""),1,0))</f>
        <v/>
      </c>
      <c r="I782" s="22">
        <f>IF(H782=0,IF(G782="중복","제외: 같은 이메일 중복 응답","제외: 3개 넘게 선택"),"")</f>
        <v/>
      </c>
    </row>
    <row r="783">
      <c r="A783" s="15" t="n"/>
      <c r="B783" s="15" t="n"/>
      <c r="C783" s="16" t="n"/>
      <c r="D783" s="16" t="n"/>
      <c r="E783" s="21">
        <f>IF(AND(A783="",B783="",C783="",D783=""),"",IF(TRIM(C783)="",0,LEN(C783)-LEN(SUBSTITUTE(C783,",",""))+1))</f>
        <v/>
      </c>
      <c r="F783" s="21">
        <f>IF(AND(A783="",B783="",C783="",D783=""),"",IF(TRIM(D783)="",0,LEN(D783)-LEN(SUBSTITUTE(D783,",",""))+1))</f>
        <v/>
      </c>
      <c r="G783" s="21">
        <f>IF(B783="","",IF(COUNTIF($B$6:B783,B783)&gt;1,"중복",""))</f>
        <v/>
      </c>
      <c r="H783" s="21">
        <f>IF(AND(A783="",B783="",C783="",D783=""),"",IF(AND(E783&lt;=3,F783&lt;=3,G783=""),1,0))</f>
        <v/>
      </c>
      <c r="I783" s="22">
        <f>IF(H783=0,IF(G783="중복","제외: 같은 이메일 중복 응답","제외: 3개 넘게 선택"),"")</f>
        <v/>
      </c>
    </row>
    <row r="784">
      <c r="A784" s="15" t="n"/>
      <c r="B784" s="15" t="n"/>
      <c r="C784" s="16" t="n"/>
      <c r="D784" s="16" t="n"/>
      <c r="E784" s="21">
        <f>IF(AND(A784="",B784="",C784="",D784=""),"",IF(TRIM(C784)="",0,LEN(C784)-LEN(SUBSTITUTE(C784,",",""))+1))</f>
        <v/>
      </c>
      <c r="F784" s="21">
        <f>IF(AND(A784="",B784="",C784="",D784=""),"",IF(TRIM(D784)="",0,LEN(D784)-LEN(SUBSTITUTE(D784,",",""))+1))</f>
        <v/>
      </c>
      <c r="G784" s="21">
        <f>IF(B784="","",IF(COUNTIF($B$6:B784,B784)&gt;1,"중복",""))</f>
        <v/>
      </c>
      <c r="H784" s="21">
        <f>IF(AND(A784="",B784="",C784="",D784=""),"",IF(AND(E784&lt;=3,F784&lt;=3,G784=""),1,0))</f>
        <v/>
      </c>
      <c r="I784" s="22">
        <f>IF(H784=0,IF(G784="중복","제외: 같은 이메일 중복 응답","제외: 3개 넘게 선택"),"")</f>
        <v/>
      </c>
    </row>
    <row r="785">
      <c r="A785" s="15" t="n"/>
      <c r="B785" s="15" t="n"/>
      <c r="C785" s="16" t="n"/>
      <c r="D785" s="16" t="n"/>
      <c r="E785" s="21">
        <f>IF(AND(A785="",B785="",C785="",D785=""),"",IF(TRIM(C785)="",0,LEN(C785)-LEN(SUBSTITUTE(C785,",",""))+1))</f>
        <v/>
      </c>
      <c r="F785" s="21">
        <f>IF(AND(A785="",B785="",C785="",D785=""),"",IF(TRIM(D785)="",0,LEN(D785)-LEN(SUBSTITUTE(D785,",",""))+1))</f>
        <v/>
      </c>
      <c r="G785" s="21">
        <f>IF(B785="","",IF(COUNTIF($B$6:B785,B785)&gt;1,"중복",""))</f>
        <v/>
      </c>
      <c r="H785" s="21">
        <f>IF(AND(A785="",B785="",C785="",D785=""),"",IF(AND(E785&lt;=3,F785&lt;=3,G785=""),1,0))</f>
        <v/>
      </c>
      <c r="I785" s="22">
        <f>IF(H785=0,IF(G785="중복","제외: 같은 이메일 중복 응답","제외: 3개 넘게 선택"),"")</f>
        <v/>
      </c>
    </row>
    <row r="786">
      <c r="A786" s="15" t="n"/>
      <c r="B786" s="15" t="n"/>
      <c r="C786" s="16" t="n"/>
      <c r="D786" s="16" t="n"/>
      <c r="E786" s="21">
        <f>IF(AND(A786="",B786="",C786="",D786=""),"",IF(TRIM(C786)="",0,LEN(C786)-LEN(SUBSTITUTE(C786,",",""))+1))</f>
        <v/>
      </c>
      <c r="F786" s="21">
        <f>IF(AND(A786="",B786="",C786="",D786=""),"",IF(TRIM(D786)="",0,LEN(D786)-LEN(SUBSTITUTE(D786,",",""))+1))</f>
        <v/>
      </c>
      <c r="G786" s="21">
        <f>IF(B786="","",IF(COUNTIF($B$6:B786,B786)&gt;1,"중복",""))</f>
        <v/>
      </c>
      <c r="H786" s="21">
        <f>IF(AND(A786="",B786="",C786="",D786=""),"",IF(AND(E786&lt;=3,F786&lt;=3,G786=""),1,0))</f>
        <v/>
      </c>
      <c r="I786" s="22">
        <f>IF(H786=0,IF(G786="중복","제외: 같은 이메일 중복 응답","제외: 3개 넘게 선택"),"")</f>
        <v/>
      </c>
    </row>
    <row r="787">
      <c r="A787" s="15" t="n"/>
      <c r="B787" s="15" t="n"/>
      <c r="C787" s="16" t="n"/>
      <c r="D787" s="16" t="n"/>
      <c r="E787" s="21">
        <f>IF(AND(A787="",B787="",C787="",D787=""),"",IF(TRIM(C787)="",0,LEN(C787)-LEN(SUBSTITUTE(C787,",",""))+1))</f>
        <v/>
      </c>
      <c r="F787" s="21">
        <f>IF(AND(A787="",B787="",C787="",D787=""),"",IF(TRIM(D787)="",0,LEN(D787)-LEN(SUBSTITUTE(D787,",",""))+1))</f>
        <v/>
      </c>
      <c r="G787" s="21">
        <f>IF(B787="","",IF(COUNTIF($B$6:B787,B787)&gt;1,"중복",""))</f>
        <v/>
      </c>
      <c r="H787" s="21">
        <f>IF(AND(A787="",B787="",C787="",D787=""),"",IF(AND(E787&lt;=3,F787&lt;=3,G787=""),1,0))</f>
        <v/>
      </c>
      <c r="I787" s="22">
        <f>IF(H787=0,IF(G787="중복","제외: 같은 이메일 중복 응답","제외: 3개 넘게 선택"),"")</f>
        <v/>
      </c>
    </row>
    <row r="788">
      <c r="A788" s="15" t="n"/>
      <c r="B788" s="15" t="n"/>
      <c r="C788" s="16" t="n"/>
      <c r="D788" s="16" t="n"/>
      <c r="E788" s="21">
        <f>IF(AND(A788="",B788="",C788="",D788=""),"",IF(TRIM(C788)="",0,LEN(C788)-LEN(SUBSTITUTE(C788,",",""))+1))</f>
        <v/>
      </c>
      <c r="F788" s="21">
        <f>IF(AND(A788="",B788="",C788="",D788=""),"",IF(TRIM(D788)="",0,LEN(D788)-LEN(SUBSTITUTE(D788,",",""))+1))</f>
        <v/>
      </c>
      <c r="G788" s="21">
        <f>IF(B788="","",IF(COUNTIF($B$6:B788,B788)&gt;1,"중복",""))</f>
        <v/>
      </c>
      <c r="H788" s="21">
        <f>IF(AND(A788="",B788="",C788="",D788=""),"",IF(AND(E788&lt;=3,F788&lt;=3,G788=""),1,0))</f>
        <v/>
      </c>
      <c r="I788" s="22">
        <f>IF(H788=0,IF(G788="중복","제외: 같은 이메일 중복 응답","제외: 3개 넘게 선택"),"")</f>
        <v/>
      </c>
    </row>
    <row r="789">
      <c r="A789" s="15" t="n"/>
      <c r="B789" s="15" t="n"/>
      <c r="C789" s="16" t="n"/>
      <c r="D789" s="16" t="n"/>
      <c r="E789" s="21">
        <f>IF(AND(A789="",B789="",C789="",D789=""),"",IF(TRIM(C789)="",0,LEN(C789)-LEN(SUBSTITUTE(C789,",",""))+1))</f>
        <v/>
      </c>
      <c r="F789" s="21">
        <f>IF(AND(A789="",B789="",C789="",D789=""),"",IF(TRIM(D789)="",0,LEN(D789)-LEN(SUBSTITUTE(D789,",",""))+1))</f>
        <v/>
      </c>
      <c r="G789" s="21">
        <f>IF(B789="","",IF(COUNTIF($B$6:B789,B789)&gt;1,"중복",""))</f>
        <v/>
      </c>
      <c r="H789" s="21">
        <f>IF(AND(A789="",B789="",C789="",D789=""),"",IF(AND(E789&lt;=3,F789&lt;=3,G789=""),1,0))</f>
        <v/>
      </c>
      <c r="I789" s="22">
        <f>IF(H789=0,IF(G789="중복","제외: 같은 이메일 중복 응답","제외: 3개 넘게 선택"),"")</f>
        <v/>
      </c>
    </row>
    <row r="790">
      <c r="A790" s="15" t="n"/>
      <c r="B790" s="15" t="n"/>
      <c r="C790" s="16" t="n"/>
      <c r="D790" s="16" t="n"/>
      <c r="E790" s="21">
        <f>IF(AND(A790="",B790="",C790="",D790=""),"",IF(TRIM(C790)="",0,LEN(C790)-LEN(SUBSTITUTE(C790,",",""))+1))</f>
        <v/>
      </c>
      <c r="F790" s="21">
        <f>IF(AND(A790="",B790="",C790="",D790=""),"",IF(TRIM(D790)="",0,LEN(D790)-LEN(SUBSTITUTE(D790,",",""))+1))</f>
        <v/>
      </c>
      <c r="G790" s="21">
        <f>IF(B790="","",IF(COUNTIF($B$6:B790,B790)&gt;1,"중복",""))</f>
        <v/>
      </c>
      <c r="H790" s="21">
        <f>IF(AND(A790="",B790="",C790="",D790=""),"",IF(AND(E790&lt;=3,F790&lt;=3,G790=""),1,0))</f>
        <v/>
      </c>
      <c r="I790" s="22">
        <f>IF(H790=0,IF(G790="중복","제외: 같은 이메일 중복 응답","제외: 3개 넘게 선택"),"")</f>
        <v/>
      </c>
    </row>
    <row r="791">
      <c r="A791" s="15" t="n"/>
      <c r="B791" s="15" t="n"/>
      <c r="C791" s="16" t="n"/>
      <c r="D791" s="16" t="n"/>
      <c r="E791" s="21">
        <f>IF(AND(A791="",B791="",C791="",D791=""),"",IF(TRIM(C791)="",0,LEN(C791)-LEN(SUBSTITUTE(C791,",",""))+1))</f>
        <v/>
      </c>
      <c r="F791" s="21">
        <f>IF(AND(A791="",B791="",C791="",D791=""),"",IF(TRIM(D791)="",0,LEN(D791)-LEN(SUBSTITUTE(D791,",",""))+1))</f>
        <v/>
      </c>
      <c r="G791" s="21">
        <f>IF(B791="","",IF(COUNTIF($B$6:B791,B791)&gt;1,"중복",""))</f>
        <v/>
      </c>
      <c r="H791" s="21">
        <f>IF(AND(A791="",B791="",C791="",D791=""),"",IF(AND(E791&lt;=3,F791&lt;=3,G791=""),1,0))</f>
        <v/>
      </c>
      <c r="I791" s="22">
        <f>IF(H791=0,IF(G791="중복","제외: 같은 이메일 중복 응답","제외: 3개 넘게 선택"),"")</f>
        <v/>
      </c>
    </row>
    <row r="792">
      <c r="A792" s="15" t="n"/>
      <c r="B792" s="15" t="n"/>
      <c r="C792" s="16" t="n"/>
      <c r="D792" s="16" t="n"/>
      <c r="E792" s="21">
        <f>IF(AND(A792="",B792="",C792="",D792=""),"",IF(TRIM(C792)="",0,LEN(C792)-LEN(SUBSTITUTE(C792,",",""))+1))</f>
        <v/>
      </c>
      <c r="F792" s="21">
        <f>IF(AND(A792="",B792="",C792="",D792=""),"",IF(TRIM(D792)="",0,LEN(D792)-LEN(SUBSTITUTE(D792,",",""))+1))</f>
        <v/>
      </c>
      <c r="G792" s="21">
        <f>IF(B792="","",IF(COUNTIF($B$6:B792,B792)&gt;1,"중복",""))</f>
        <v/>
      </c>
      <c r="H792" s="21">
        <f>IF(AND(A792="",B792="",C792="",D792=""),"",IF(AND(E792&lt;=3,F792&lt;=3,G792=""),1,0))</f>
        <v/>
      </c>
      <c r="I792" s="22">
        <f>IF(H792=0,IF(G792="중복","제외: 같은 이메일 중복 응답","제외: 3개 넘게 선택"),"")</f>
        <v/>
      </c>
    </row>
    <row r="793">
      <c r="A793" s="15" t="n"/>
      <c r="B793" s="15" t="n"/>
      <c r="C793" s="16" t="n"/>
      <c r="D793" s="16" t="n"/>
      <c r="E793" s="21">
        <f>IF(AND(A793="",B793="",C793="",D793=""),"",IF(TRIM(C793)="",0,LEN(C793)-LEN(SUBSTITUTE(C793,",",""))+1))</f>
        <v/>
      </c>
      <c r="F793" s="21">
        <f>IF(AND(A793="",B793="",C793="",D793=""),"",IF(TRIM(D793)="",0,LEN(D793)-LEN(SUBSTITUTE(D793,",",""))+1))</f>
        <v/>
      </c>
      <c r="G793" s="21">
        <f>IF(B793="","",IF(COUNTIF($B$6:B793,B793)&gt;1,"중복",""))</f>
        <v/>
      </c>
      <c r="H793" s="21">
        <f>IF(AND(A793="",B793="",C793="",D793=""),"",IF(AND(E793&lt;=3,F793&lt;=3,G793=""),1,0))</f>
        <v/>
      </c>
      <c r="I793" s="22">
        <f>IF(H793=0,IF(G793="중복","제외: 같은 이메일 중복 응답","제외: 3개 넘게 선택"),"")</f>
        <v/>
      </c>
    </row>
    <row r="794">
      <c r="A794" s="15" t="n"/>
      <c r="B794" s="15" t="n"/>
      <c r="C794" s="16" t="n"/>
      <c r="D794" s="16" t="n"/>
      <c r="E794" s="21">
        <f>IF(AND(A794="",B794="",C794="",D794=""),"",IF(TRIM(C794)="",0,LEN(C794)-LEN(SUBSTITUTE(C794,",",""))+1))</f>
        <v/>
      </c>
      <c r="F794" s="21">
        <f>IF(AND(A794="",B794="",C794="",D794=""),"",IF(TRIM(D794)="",0,LEN(D794)-LEN(SUBSTITUTE(D794,",",""))+1))</f>
        <v/>
      </c>
      <c r="G794" s="21">
        <f>IF(B794="","",IF(COUNTIF($B$6:B794,B794)&gt;1,"중복",""))</f>
        <v/>
      </c>
      <c r="H794" s="21">
        <f>IF(AND(A794="",B794="",C794="",D794=""),"",IF(AND(E794&lt;=3,F794&lt;=3,G794=""),1,0))</f>
        <v/>
      </c>
      <c r="I794" s="22">
        <f>IF(H794=0,IF(G794="중복","제외: 같은 이메일 중복 응답","제외: 3개 넘게 선택"),"")</f>
        <v/>
      </c>
    </row>
    <row r="795">
      <c r="A795" s="15" t="n"/>
      <c r="B795" s="15" t="n"/>
      <c r="C795" s="16" t="n"/>
      <c r="D795" s="16" t="n"/>
      <c r="E795" s="21">
        <f>IF(AND(A795="",B795="",C795="",D795=""),"",IF(TRIM(C795)="",0,LEN(C795)-LEN(SUBSTITUTE(C795,",",""))+1))</f>
        <v/>
      </c>
      <c r="F795" s="21">
        <f>IF(AND(A795="",B795="",C795="",D795=""),"",IF(TRIM(D795)="",0,LEN(D795)-LEN(SUBSTITUTE(D795,",",""))+1))</f>
        <v/>
      </c>
      <c r="G795" s="21">
        <f>IF(B795="","",IF(COUNTIF($B$6:B795,B795)&gt;1,"중복",""))</f>
        <v/>
      </c>
      <c r="H795" s="21">
        <f>IF(AND(A795="",B795="",C795="",D795=""),"",IF(AND(E795&lt;=3,F795&lt;=3,G795=""),1,0))</f>
        <v/>
      </c>
      <c r="I795" s="22">
        <f>IF(H795=0,IF(G795="중복","제외: 같은 이메일 중복 응답","제외: 3개 넘게 선택"),"")</f>
        <v/>
      </c>
    </row>
    <row r="796">
      <c r="A796" s="15" t="n"/>
      <c r="B796" s="15" t="n"/>
      <c r="C796" s="16" t="n"/>
      <c r="D796" s="16" t="n"/>
      <c r="E796" s="21">
        <f>IF(AND(A796="",B796="",C796="",D796=""),"",IF(TRIM(C796)="",0,LEN(C796)-LEN(SUBSTITUTE(C796,",",""))+1))</f>
        <v/>
      </c>
      <c r="F796" s="21">
        <f>IF(AND(A796="",B796="",C796="",D796=""),"",IF(TRIM(D796)="",0,LEN(D796)-LEN(SUBSTITUTE(D796,",",""))+1))</f>
        <v/>
      </c>
      <c r="G796" s="21">
        <f>IF(B796="","",IF(COUNTIF($B$6:B796,B796)&gt;1,"중복",""))</f>
        <v/>
      </c>
      <c r="H796" s="21">
        <f>IF(AND(A796="",B796="",C796="",D796=""),"",IF(AND(E796&lt;=3,F796&lt;=3,G796=""),1,0))</f>
        <v/>
      </c>
      <c r="I796" s="22">
        <f>IF(H796=0,IF(G796="중복","제외: 같은 이메일 중복 응답","제외: 3개 넘게 선택"),"")</f>
        <v/>
      </c>
    </row>
    <row r="797">
      <c r="A797" s="15" t="n"/>
      <c r="B797" s="15" t="n"/>
      <c r="C797" s="16" t="n"/>
      <c r="D797" s="16" t="n"/>
      <c r="E797" s="21">
        <f>IF(AND(A797="",B797="",C797="",D797=""),"",IF(TRIM(C797)="",0,LEN(C797)-LEN(SUBSTITUTE(C797,",",""))+1))</f>
        <v/>
      </c>
      <c r="F797" s="21">
        <f>IF(AND(A797="",B797="",C797="",D797=""),"",IF(TRIM(D797)="",0,LEN(D797)-LEN(SUBSTITUTE(D797,",",""))+1))</f>
        <v/>
      </c>
      <c r="G797" s="21">
        <f>IF(B797="","",IF(COUNTIF($B$6:B797,B797)&gt;1,"중복",""))</f>
        <v/>
      </c>
      <c r="H797" s="21">
        <f>IF(AND(A797="",B797="",C797="",D797=""),"",IF(AND(E797&lt;=3,F797&lt;=3,G797=""),1,0))</f>
        <v/>
      </c>
      <c r="I797" s="22">
        <f>IF(H797=0,IF(G797="중복","제외: 같은 이메일 중복 응답","제외: 3개 넘게 선택"),"")</f>
        <v/>
      </c>
    </row>
    <row r="798">
      <c r="A798" s="15" t="n"/>
      <c r="B798" s="15" t="n"/>
      <c r="C798" s="16" t="n"/>
      <c r="D798" s="16" t="n"/>
      <c r="E798" s="21">
        <f>IF(AND(A798="",B798="",C798="",D798=""),"",IF(TRIM(C798)="",0,LEN(C798)-LEN(SUBSTITUTE(C798,",",""))+1))</f>
        <v/>
      </c>
      <c r="F798" s="21">
        <f>IF(AND(A798="",B798="",C798="",D798=""),"",IF(TRIM(D798)="",0,LEN(D798)-LEN(SUBSTITUTE(D798,",",""))+1))</f>
        <v/>
      </c>
      <c r="G798" s="21">
        <f>IF(B798="","",IF(COUNTIF($B$6:B798,B798)&gt;1,"중복",""))</f>
        <v/>
      </c>
      <c r="H798" s="21">
        <f>IF(AND(A798="",B798="",C798="",D798=""),"",IF(AND(E798&lt;=3,F798&lt;=3,G798=""),1,0))</f>
        <v/>
      </c>
      <c r="I798" s="22">
        <f>IF(H798=0,IF(G798="중복","제외: 같은 이메일 중복 응답","제외: 3개 넘게 선택"),"")</f>
        <v/>
      </c>
    </row>
    <row r="799">
      <c r="A799" s="15" t="n"/>
      <c r="B799" s="15" t="n"/>
      <c r="C799" s="16" t="n"/>
      <c r="D799" s="16" t="n"/>
      <c r="E799" s="21">
        <f>IF(AND(A799="",B799="",C799="",D799=""),"",IF(TRIM(C799)="",0,LEN(C799)-LEN(SUBSTITUTE(C799,",",""))+1))</f>
        <v/>
      </c>
      <c r="F799" s="21">
        <f>IF(AND(A799="",B799="",C799="",D799=""),"",IF(TRIM(D799)="",0,LEN(D799)-LEN(SUBSTITUTE(D799,",",""))+1))</f>
        <v/>
      </c>
      <c r="G799" s="21">
        <f>IF(B799="","",IF(COUNTIF($B$6:B799,B799)&gt;1,"중복",""))</f>
        <v/>
      </c>
      <c r="H799" s="21">
        <f>IF(AND(A799="",B799="",C799="",D799=""),"",IF(AND(E799&lt;=3,F799&lt;=3,G799=""),1,0))</f>
        <v/>
      </c>
      <c r="I799" s="22">
        <f>IF(H799=0,IF(G799="중복","제외: 같은 이메일 중복 응답","제외: 3개 넘게 선택"),"")</f>
        <v/>
      </c>
    </row>
    <row r="800">
      <c r="A800" s="15" t="n"/>
      <c r="B800" s="15" t="n"/>
      <c r="C800" s="16" t="n"/>
      <c r="D800" s="16" t="n"/>
      <c r="E800" s="21">
        <f>IF(AND(A800="",B800="",C800="",D800=""),"",IF(TRIM(C800)="",0,LEN(C800)-LEN(SUBSTITUTE(C800,",",""))+1))</f>
        <v/>
      </c>
      <c r="F800" s="21">
        <f>IF(AND(A800="",B800="",C800="",D800=""),"",IF(TRIM(D800)="",0,LEN(D800)-LEN(SUBSTITUTE(D800,",",""))+1))</f>
        <v/>
      </c>
      <c r="G800" s="21">
        <f>IF(B800="","",IF(COUNTIF($B$6:B800,B800)&gt;1,"중복",""))</f>
        <v/>
      </c>
      <c r="H800" s="21">
        <f>IF(AND(A800="",B800="",C800="",D800=""),"",IF(AND(E800&lt;=3,F800&lt;=3,G800=""),1,0))</f>
        <v/>
      </c>
      <c r="I800" s="22">
        <f>IF(H800=0,IF(G800="중복","제외: 같은 이메일 중복 응답","제외: 3개 넘게 선택"),"")</f>
        <v/>
      </c>
    </row>
    <row r="801">
      <c r="A801" s="15" t="n"/>
      <c r="B801" s="15" t="n"/>
      <c r="C801" s="16" t="n"/>
      <c r="D801" s="16" t="n"/>
      <c r="E801" s="21">
        <f>IF(AND(A801="",B801="",C801="",D801=""),"",IF(TRIM(C801)="",0,LEN(C801)-LEN(SUBSTITUTE(C801,",",""))+1))</f>
        <v/>
      </c>
      <c r="F801" s="21">
        <f>IF(AND(A801="",B801="",C801="",D801=""),"",IF(TRIM(D801)="",0,LEN(D801)-LEN(SUBSTITUTE(D801,",",""))+1))</f>
        <v/>
      </c>
      <c r="G801" s="21">
        <f>IF(B801="","",IF(COUNTIF($B$6:B801,B801)&gt;1,"중복",""))</f>
        <v/>
      </c>
      <c r="H801" s="21">
        <f>IF(AND(A801="",B801="",C801="",D801=""),"",IF(AND(E801&lt;=3,F801&lt;=3,G801=""),1,0))</f>
        <v/>
      </c>
      <c r="I801" s="22">
        <f>IF(H801=0,IF(G801="중복","제외: 같은 이메일 중복 응답","제외: 3개 넘게 선택"),"")</f>
        <v/>
      </c>
    </row>
    <row r="802">
      <c r="A802" s="15" t="n"/>
      <c r="B802" s="15" t="n"/>
      <c r="C802" s="16" t="n"/>
      <c r="D802" s="16" t="n"/>
      <c r="E802" s="21">
        <f>IF(AND(A802="",B802="",C802="",D802=""),"",IF(TRIM(C802)="",0,LEN(C802)-LEN(SUBSTITUTE(C802,",",""))+1))</f>
        <v/>
      </c>
      <c r="F802" s="21">
        <f>IF(AND(A802="",B802="",C802="",D802=""),"",IF(TRIM(D802)="",0,LEN(D802)-LEN(SUBSTITUTE(D802,",",""))+1))</f>
        <v/>
      </c>
      <c r="G802" s="21">
        <f>IF(B802="","",IF(COUNTIF($B$6:B802,B802)&gt;1,"중복",""))</f>
        <v/>
      </c>
      <c r="H802" s="21">
        <f>IF(AND(A802="",B802="",C802="",D802=""),"",IF(AND(E802&lt;=3,F802&lt;=3,G802=""),1,0))</f>
        <v/>
      </c>
      <c r="I802" s="22">
        <f>IF(H802=0,IF(G802="중복","제외: 같은 이메일 중복 응답","제외: 3개 넘게 선택"),"")</f>
        <v/>
      </c>
    </row>
    <row r="803">
      <c r="A803" s="15" t="n"/>
      <c r="B803" s="15" t="n"/>
      <c r="C803" s="16" t="n"/>
      <c r="D803" s="16" t="n"/>
      <c r="E803" s="21">
        <f>IF(AND(A803="",B803="",C803="",D803=""),"",IF(TRIM(C803)="",0,LEN(C803)-LEN(SUBSTITUTE(C803,",",""))+1))</f>
        <v/>
      </c>
      <c r="F803" s="21">
        <f>IF(AND(A803="",B803="",C803="",D803=""),"",IF(TRIM(D803)="",0,LEN(D803)-LEN(SUBSTITUTE(D803,",",""))+1))</f>
        <v/>
      </c>
      <c r="G803" s="21">
        <f>IF(B803="","",IF(COUNTIF($B$6:B803,B803)&gt;1,"중복",""))</f>
        <v/>
      </c>
      <c r="H803" s="21">
        <f>IF(AND(A803="",B803="",C803="",D803=""),"",IF(AND(E803&lt;=3,F803&lt;=3,G803=""),1,0))</f>
        <v/>
      </c>
      <c r="I803" s="22">
        <f>IF(H803=0,IF(G803="중복","제외: 같은 이메일 중복 응답","제외: 3개 넘게 선택"),"")</f>
        <v/>
      </c>
    </row>
    <row r="804">
      <c r="A804" s="15" t="n"/>
      <c r="B804" s="15" t="n"/>
      <c r="C804" s="16" t="n"/>
      <c r="D804" s="16" t="n"/>
      <c r="E804" s="21">
        <f>IF(AND(A804="",B804="",C804="",D804=""),"",IF(TRIM(C804)="",0,LEN(C804)-LEN(SUBSTITUTE(C804,",",""))+1))</f>
        <v/>
      </c>
      <c r="F804" s="21">
        <f>IF(AND(A804="",B804="",C804="",D804=""),"",IF(TRIM(D804)="",0,LEN(D804)-LEN(SUBSTITUTE(D804,",",""))+1))</f>
        <v/>
      </c>
      <c r="G804" s="21">
        <f>IF(B804="","",IF(COUNTIF($B$6:B804,B804)&gt;1,"중복",""))</f>
        <v/>
      </c>
      <c r="H804" s="21">
        <f>IF(AND(A804="",B804="",C804="",D804=""),"",IF(AND(E804&lt;=3,F804&lt;=3,G804=""),1,0))</f>
        <v/>
      </c>
      <c r="I804" s="22">
        <f>IF(H804=0,IF(G804="중복","제외: 같은 이메일 중복 응답","제외: 3개 넘게 선택"),"")</f>
        <v/>
      </c>
    </row>
    <row r="805">
      <c r="A805" s="15" t="n"/>
      <c r="B805" s="15" t="n"/>
      <c r="C805" s="16" t="n"/>
      <c r="D805" s="16" t="n"/>
      <c r="E805" s="21">
        <f>IF(AND(A805="",B805="",C805="",D805=""),"",IF(TRIM(C805)="",0,LEN(C805)-LEN(SUBSTITUTE(C805,",",""))+1))</f>
        <v/>
      </c>
      <c r="F805" s="21">
        <f>IF(AND(A805="",B805="",C805="",D805=""),"",IF(TRIM(D805)="",0,LEN(D805)-LEN(SUBSTITUTE(D805,",",""))+1))</f>
        <v/>
      </c>
      <c r="G805" s="21">
        <f>IF(B805="","",IF(COUNTIF($B$6:B805,B805)&gt;1,"중복",""))</f>
        <v/>
      </c>
      <c r="H805" s="21">
        <f>IF(AND(A805="",B805="",C805="",D805=""),"",IF(AND(E805&lt;=3,F805&lt;=3,G805=""),1,0))</f>
        <v/>
      </c>
      <c r="I805" s="22">
        <f>IF(H805=0,IF(G805="중복","제외: 같은 이메일 중복 응답","제외: 3개 넘게 선택"),"")</f>
        <v/>
      </c>
    </row>
    <row r="806">
      <c r="A806" s="15" t="n"/>
      <c r="B806" s="15" t="n"/>
      <c r="C806" s="16" t="n"/>
      <c r="D806" s="16" t="n"/>
      <c r="E806" s="21">
        <f>IF(AND(A806="",B806="",C806="",D806=""),"",IF(TRIM(C806)="",0,LEN(C806)-LEN(SUBSTITUTE(C806,",",""))+1))</f>
        <v/>
      </c>
      <c r="F806" s="21">
        <f>IF(AND(A806="",B806="",C806="",D806=""),"",IF(TRIM(D806)="",0,LEN(D806)-LEN(SUBSTITUTE(D806,",",""))+1))</f>
        <v/>
      </c>
      <c r="G806" s="21">
        <f>IF(B806="","",IF(COUNTIF($B$6:B806,B806)&gt;1,"중복",""))</f>
        <v/>
      </c>
      <c r="H806" s="21">
        <f>IF(AND(A806="",B806="",C806="",D806=""),"",IF(AND(E806&lt;=3,F806&lt;=3,G806=""),1,0))</f>
        <v/>
      </c>
      <c r="I806" s="22">
        <f>IF(H806=0,IF(G806="중복","제외: 같은 이메일 중복 응답","제외: 3개 넘게 선택"),"")</f>
        <v/>
      </c>
    </row>
    <row r="807">
      <c r="A807" s="15" t="n"/>
      <c r="B807" s="15" t="n"/>
      <c r="C807" s="16" t="n"/>
      <c r="D807" s="16" t="n"/>
      <c r="E807" s="21">
        <f>IF(AND(A807="",B807="",C807="",D807=""),"",IF(TRIM(C807)="",0,LEN(C807)-LEN(SUBSTITUTE(C807,",",""))+1))</f>
        <v/>
      </c>
      <c r="F807" s="21">
        <f>IF(AND(A807="",B807="",C807="",D807=""),"",IF(TRIM(D807)="",0,LEN(D807)-LEN(SUBSTITUTE(D807,",",""))+1))</f>
        <v/>
      </c>
      <c r="G807" s="21">
        <f>IF(B807="","",IF(COUNTIF($B$6:B807,B807)&gt;1,"중복",""))</f>
        <v/>
      </c>
      <c r="H807" s="21">
        <f>IF(AND(A807="",B807="",C807="",D807=""),"",IF(AND(E807&lt;=3,F807&lt;=3,G807=""),1,0))</f>
        <v/>
      </c>
      <c r="I807" s="22">
        <f>IF(H807=0,IF(G807="중복","제외: 같은 이메일 중복 응답","제외: 3개 넘게 선택"),"")</f>
        <v/>
      </c>
    </row>
    <row r="808">
      <c r="A808" s="15" t="n"/>
      <c r="B808" s="15" t="n"/>
      <c r="C808" s="16" t="n"/>
      <c r="D808" s="16" t="n"/>
      <c r="E808" s="21">
        <f>IF(AND(A808="",B808="",C808="",D808=""),"",IF(TRIM(C808)="",0,LEN(C808)-LEN(SUBSTITUTE(C808,",",""))+1))</f>
        <v/>
      </c>
      <c r="F808" s="21">
        <f>IF(AND(A808="",B808="",C808="",D808=""),"",IF(TRIM(D808)="",0,LEN(D808)-LEN(SUBSTITUTE(D808,",",""))+1))</f>
        <v/>
      </c>
      <c r="G808" s="21">
        <f>IF(B808="","",IF(COUNTIF($B$6:B808,B808)&gt;1,"중복",""))</f>
        <v/>
      </c>
      <c r="H808" s="21">
        <f>IF(AND(A808="",B808="",C808="",D808=""),"",IF(AND(E808&lt;=3,F808&lt;=3,G808=""),1,0))</f>
        <v/>
      </c>
      <c r="I808" s="22">
        <f>IF(H808=0,IF(G808="중복","제외: 같은 이메일 중복 응답","제외: 3개 넘게 선택"),"")</f>
        <v/>
      </c>
    </row>
    <row r="809">
      <c r="A809" s="15" t="n"/>
      <c r="B809" s="15" t="n"/>
      <c r="C809" s="16" t="n"/>
      <c r="D809" s="16" t="n"/>
      <c r="E809" s="21">
        <f>IF(AND(A809="",B809="",C809="",D809=""),"",IF(TRIM(C809)="",0,LEN(C809)-LEN(SUBSTITUTE(C809,",",""))+1))</f>
        <v/>
      </c>
      <c r="F809" s="21">
        <f>IF(AND(A809="",B809="",C809="",D809=""),"",IF(TRIM(D809)="",0,LEN(D809)-LEN(SUBSTITUTE(D809,",",""))+1))</f>
        <v/>
      </c>
      <c r="G809" s="21">
        <f>IF(B809="","",IF(COUNTIF($B$6:B809,B809)&gt;1,"중복",""))</f>
        <v/>
      </c>
      <c r="H809" s="21">
        <f>IF(AND(A809="",B809="",C809="",D809=""),"",IF(AND(E809&lt;=3,F809&lt;=3,G809=""),1,0))</f>
        <v/>
      </c>
      <c r="I809" s="22">
        <f>IF(H809=0,IF(G809="중복","제외: 같은 이메일 중복 응답","제외: 3개 넘게 선택"),"")</f>
        <v/>
      </c>
    </row>
    <row r="810">
      <c r="A810" s="15" t="n"/>
      <c r="B810" s="15" t="n"/>
      <c r="C810" s="16" t="n"/>
      <c r="D810" s="16" t="n"/>
      <c r="E810" s="21">
        <f>IF(AND(A810="",B810="",C810="",D810=""),"",IF(TRIM(C810)="",0,LEN(C810)-LEN(SUBSTITUTE(C810,",",""))+1))</f>
        <v/>
      </c>
      <c r="F810" s="21">
        <f>IF(AND(A810="",B810="",C810="",D810=""),"",IF(TRIM(D810)="",0,LEN(D810)-LEN(SUBSTITUTE(D810,",",""))+1))</f>
        <v/>
      </c>
      <c r="G810" s="21">
        <f>IF(B810="","",IF(COUNTIF($B$6:B810,B810)&gt;1,"중복",""))</f>
        <v/>
      </c>
      <c r="H810" s="21">
        <f>IF(AND(A810="",B810="",C810="",D810=""),"",IF(AND(E810&lt;=3,F810&lt;=3,G810=""),1,0))</f>
        <v/>
      </c>
      <c r="I810" s="22">
        <f>IF(H810=0,IF(G810="중복","제외: 같은 이메일 중복 응답","제외: 3개 넘게 선택"),"")</f>
        <v/>
      </c>
    </row>
    <row r="811">
      <c r="A811" s="15" t="n"/>
      <c r="B811" s="15" t="n"/>
      <c r="C811" s="16" t="n"/>
      <c r="D811" s="16" t="n"/>
      <c r="E811" s="21">
        <f>IF(AND(A811="",B811="",C811="",D811=""),"",IF(TRIM(C811)="",0,LEN(C811)-LEN(SUBSTITUTE(C811,",",""))+1))</f>
        <v/>
      </c>
      <c r="F811" s="21">
        <f>IF(AND(A811="",B811="",C811="",D811=""),"",IF(TRIM(D811)="",0,LEN(D811)-LEN(SUBSTITUTE(D811,",",""))+1))</f>
        <v/>
      </c>
      <c r="G811" s="21">
        <f>IF(B811="","",IF(COUNTIF($B$6:B811,B811)&gt;1,"중복",""))</f>
        <v/>
      </c>
      <c r="H811" s="21">
        <f>IF(AND(A811="",B811="",C811="",D811=""),"",IF(AND(E811&lt;=3,F811&lt;=3,G811=""),1,0))</f>
        <v/>
      </c>
      <c r="I811" s="22">
        <f>IF(H811=0,IF(G811="중복","제외: 같은 이메일 중복 응답","제외: 3개 넘게 선택"),"")</f>
        <v/>
      </c>
    </row>
    <row r="812">
      <c r="A812" s="15" t="n"/>
      <c r="B812" s="15" t="n"/>
      <c r="C812" s="16" t="n"/>
      <c r="D812" s="16" t="n"/>
      <c r="E812" s="21">
        <f>IF(AND(A812="",B812="",C812="",D812=""),"",IF(TRIM(C812)="",0,LEN(C812)-LEN(SUBSTITUTE(C812,",",""))+1))</f>
        <v/>
      </c>
      <c r="F812" s="21">
        <f>IF(AND(A812="",B812="",C812="",D812=""),"",IF(TRIM(D812)="",0,LEN(D812)-LEN(SUBSTITUTE(D812,",",""))+1))</f>
        <v/>
      </c>
      <c r="G812" s="21">
        <f>IF(B812="","",IF(COUNTIF($B$6:B812,B812)&gt;1,"중복",""))</f>
        <v/>
      </c>
      <c r="H812" s="21">
        <f>IF(AND(A812="",B812="",C812="",D812=""),"",IF(AND(E812&lt;=3,F812&lt;=3,G812=""),1,0))</f>
        <v/>
      </c>
      <c r="I812" s="22">
        <f>IF(H812=0,IF(G812="중복","제외: 같은 이메일 중복 응답","제외: 3개 넘게 선택"),"")</f>
        <v/>
      </c>
    </row>
    <row r="813">
      <c r="A813" s="15" t="n"/>
      <c r="B813" s="15" t="n"/>
      <c r="C813" s="16" t="n"/>
      <c r="D813" s="16" t="n"/>
      <c r="E813" s="21">
        <f>IF(AND(A813="",B813="",C813="",D813=""),"",IF(TRIM(C813)="",0,LEN(C813)-LEN(SUBSTITUTE(C813,",",""))+1))</f>
        <v/>
      </c>
      <c r="F813" s="21">
        <f>IF(AND(A813="",B813="",C813="",D813=""),"",IF(TRIM(D813)="",0,LEN(D813)-LEN(SUBSTITUTE(D813,",",""))+1))</f>
        <v/>
      </c>
      <c r="G813" s="21">
        <f>IF(B813="","",IF(COUNTIF($B$6:B813,B813)&gt;1,"중복",""))</f>
        <v/>
      </c>
      <c r="H813" s="21">
        <f>IF(AND(A813="",B813="",C813="",D813=""),"",IF(AND(E813&lt;=3,F813&lt;=3,G813=""),1,0))</f>
        <v/>
      </c>
      <c r="I813" s="22">
        <f>IF(H813=0,IF(G813="중복","제외: 같은 이메일 중복 응답","제외: 3개 넘게 선택"),"")</f>
        <v/>
      </c>
    </row>
    <row r="814">
      <c r="A814" s="15" t="n"/>
      <c r="B814" s="15" t="n"/>
      <c r="C814" s="16" t="n"/>
      <c r="D814" s="16" t="n"/>
      <c r="E814" s="21">
        <f>IF(AND(A814="",B814="",C814="",D814=""),"",IF(TRIM(C814)="",0,LEN(C814)-LEN(SUBSTITUTE(C814,",",""))+1))</f>
        <v/>
      </c>
      <c r="F814" s="21">
        <f>IF(AND(A814="",B814="",C814="",D814=""),"",IF(TRIM(D814)="",0,LEN(D814)-LEN(SUBSTITUTE(D814,",",""))+1))</f>
        <v/>
      </c>
      <c r="G814" s="21">
        <f>IF(B814="","",IF(COUNTIF($B$6:B814,B814)&gt;1,"중복",""))</f>
        <v/>
      </c>
      <c r="H814" s="21">
        <f>IF(AND(A814="",B814="",C814="",D814=""),"",IF(AND(E814&lt;=3,F814&lt;=3,G814=""),1,0))</f>
        <v/>
      </c>
      <c r="I814" s="22">
        <f>IF(H814=0,IF(G814="중복","제외: 같은 이메일 중복 응답","제외: 3개 넘게 선택"),"")</f>
        <v/>
      </c>
    </row>
    <row r="815">
      <c r="A815" s="15" t="n"/>
      <c r="B815" s="15" t="n"/>
      <c r="C815" s="16" t="n"/>
      <c r="D815" s="16" t="n"/>
      <c r="E815" s="21">
        <f>IF(AND(A815="",B815="",C815="",D815=""),"",IF(TRIM(C815)="",0,LEN(C815)-LEN(SUBSTITUTE(C815,",",""))+1))</f>
        <v/>
      </c>
      <c r="F815" s="21">
        <f>IF(AND(A815="",B815="",C815="",D815=""),"",IF(TRIM(D815)="",0,LEN(D815)-LEN(SUBSTITUTE(D815,",",""))+1))</f>
        <v/>
      </c>
      <c r="G815" s="21">
        <f>IF(B815="","",IF(COUNTIF($B$6:B815,B815)&gt;1,"중복",""))</f>
        <v/>
      </c>
      <c r="H815" s="21">
        <f>IF(AND(A815="",B815="",C815="",D815=""),"",IF(AND(E815&lt;=3,F815&lt;=3,G815=""),1,0))</f>
        <v/>
      </c>
      <c r="I815" s="22">
        <f>IF(H815=0,IF(G815="중복","제외: 같은 이메일 중복 응답","제외: 3개 넘게 선택"),"")</f>
        <v/>
      </c>
    </row>
    <row r="816">
      <c r="A816" s="15" t="n"/>
      <c r="B816" s="15" t="n"/>
      <c r="C816" s="16" t="n"/>
      <c r="D816" s="16" t="n"/>
      <c r="E816" s="21">
        <f>IF(AND(A816="",B816="",C816="",D816=""),"",IF(TRIM(C816)="",0,LEN(C816)-LEN(SUBSTITUTE(C816,",",""))+1))</f>
        <v/>
      </c>
      <c r="F816" s="21">
        <f>IF(AND(A816="",B816="",C816="",D816=""),"",IF(TRIM(D816)="",0,LEN(D816)-LEN(SUBSTITUTE(D816,",",""))+1))</f>
        <v/>
      </c>
      <c r="G816" s="21">
        <f>IF(B816="","",IF(COUNTIF($B$6:B816,B816)&gt;1,"중복",""))</f>
        <v/>
      </c>
      <c r="H816" s="21">
        <f>IF(AND(A816="",B816="",C816="",D816=""),"",IF(AND(E816&lt;=3,F816&lt;=3,G816=""),1,0))</f>
        <v/>
      </c>
      <c r="I816" s="22">
        <f>IF(H816=0,IF(G816="중복","제외: 같은 이메일 중복 응답","제외: 3개 넘게 선택"),"")</f>
        <v/>
      </c>
    </row>
    <row r="817">
      <c r="A817" s="15" t="n"/>
      <c r="B817" s="15" t="n"/>
      <c r="C817" s="16" t="n"/>
      <c r="D817" s="16" t="n"/>
      <c r="E817" s="21">
        <f>IF(AND(A817="",B817="",C817="",D817=""),"",IF(TRIM(C817)="",0,LEN(C817)-LEN(SUBSTITUTE(C817,",",""))+1))</f>
        <v/>
      </c>
      <c r="F817" s="21">
        <f>IF(AND(A817="",B817="",C817="",D817=""),"",IF(TRIM(D817)="",0,LEN(D817)-LEN(SUBSTITUTE(D817,",",""))+1))</f>
        <v/>
      </c>
      <c r="G817" s="21">
        <f>IF(B817="","",IF(COUNTIF($B$6:B817,B817)&gt;1,"중복",""))</f>
        <v/>
      </c>
      <c r="H817" s="21">
        <f>IF(AND(A817="",B817="",C817="",D817=""),"",IF(AND(E817&lt;=3,F817&lt;=3,G817=""),1,0))</f>
        <v/>
      </c>
      <c r="I817" s="22">
        <f>IF(H817=0,IF(G817="중복","제외: 같은 이메일 중복 응답","제외: 3개 넘게 선택"),"")</f>
        <v/>
      </c>
    </row>
    <row r="818">
      <c r="A818" s="15" t="n"/>
      <c r="B818" s="15" t="n"/>
      <c r="C818" s="16" t="n"/>
      <c r="D818" s="16" t="n"/>
      <c r="E818" s="21">
        <f>IF(AND(A818="",B818="",C818="",D818=""),"",IF(TRIM(C818)="",0,LEN(C818)-LEN(SUBSTITUTE(C818,",",""))+1))</f>
        <v/>
      </c>
      <c r="F818" s="21">
        <f>IF(AND(A818="",B818="",C818="",D818=""),"",IF(TRIM(D818)="",0,LEN(D818)-LEN(SUBSTITUTE(D818,",",""))+1))</f>
        <v/>
      </c>
      <c r="G818" s="21">
        <f>IF(B818="","",IF(COUNTIF($B$6:B818,B818)&gt;1,"중복",""))</f>
        <v/>
      </c>
      <c r="H818" s="21">
        <f>IF(AND(A818="",B818="",C818="",D818=""),"",IF(AND(E818&lt;=3,F818&lt;=3,G818=""),1,0))</f>
        <v/>
      </c>
      <c r="I818" s="22">
        <f>IF(H818=0,IF(G818="중복","제외: 같은 이메일 중복 응답","제외: 3개 넘게 선택"),"")</f>
        <v/>
      </c>
    </row>
    <row r="819">
      <c r="A819" s="15" t="n"/>
      <c r="B819" s="15" t="n"/>
      <c r="C819" s="16" t="n"/>
      <c r="D819" s="16" t="n"/>
      <c r="E819" s="21">
        <f>IF(AND(A819="",B819="",C819="",D819=""),"",IF(TRIM(C819)="",0,LEN(C819)-LEN(SUBSTITUTE(C819,",",""))+1))</f>
        <v/>
      </c>
      <c r="F819" s="21">
        <f>IF(AND(A819="",B819="",C819="",D819=""),"",IF(TRIM(D819)="",0,LEN(D819)-LEN(SUBSTITUTE(D819,",",""))+1))</f>
        <v/>
      </c>
      <c r="G819" s="21">
        <f>IF(B819="","",IF(COUNTIF($B$6:B819,B819)&gt;1,"중복",""))</f>
        <v/>
      </c>
      <c r="H819" s="21">
        <f>IF(AND(A819="",B819="",C819="",D819=""),"",IF(AND(E819&lt;=3,F819&lt;=3,G819=""),1,0))</f>
        <v/>
      </c>
      <c r="I819" s="22">
        <f>IF(H819=0,IF(G819="중복","제외: 같은 이메일 중복 응답","제외: 3개 넘게 선택"),"")</f>
        <v/>
      </c>
    </row>
    <row r="820">
      <c r="A820" s="15" t="n"/>
      <c r="B820" s="15" t="n"/>
      <c r="C820" s="16" t="n"/>
      <c r="D820" s="16" t="n"/>
      <c r="E820" s="21">
        <f>IF(AND(A820="",B820="",C820="",D820=""),"",IF(TRIM(C820)="",0,LEN(C820)-LEN(SUBSTITUTE(C820,",",""))+1))</f>
        <v/>
      </c>
      <c r="F820" s="21">
        <f>IF(AND(A820="",B820="",C820="",D820=""),"",IF(TRIM(D820)="",0,LEN(D820)-LEN(SUBSTITUTE(D820,",",""))+1))</f>
        <v/>
      </c>
      <c r="G820" s="21">
        <f>IF(B820="","",IF(COUNTIF($B$6:B820,B820)&gt;1,"중복",""))</f>
        <v/>
      </c>
      <c r="H820" s="21">
        <f>IF(AND(A820="",B820="",C820="",D820=""),"",IF(AND(E820&lt;=3,F820&lt;=3,G820=""),1,0))</f>
        <v/>
      </c>
      <c r="I820" s="22">
        <f>IF(H820=0,IF(G820="중복","제외: 같은 이메일 중복 응답","제외: 3개 넘게 선택"),"")</f>
        <v/>
      </c>
    </row>
    <row r="821">
      <c r="A821" s="15" t="n"/>
      <c r="B821" s="15" t="n"/>
      <c r="C821" s="16" t="n"/>
      <c r="D821" s="16" t="n"/>
      <c r="E821" s="21">
        <f>IF(AND(A821="",B821="",C821="",D821=""),"",IF(TRIM(C821)="",0,LEN(C821)-LEN(SUBSTITUTE(C821,",",""))+1))</f>
        <v/>
      </c>
      <c r="F821" s="21">
        <f>IF(AND(A821="",B821="",C821="",D821=""),"",IF(TRIM(D821)="",0,LEN(D821)-LEN(SUBSTITUTE(D821,",",""))+1))</f>
        <v/>
      </c>
      <c r="G821" s="21">
        <f>IF(B821="","",IF(COUNTIF($B$6:B821,B821)&gt;1,"중복",""))</f>
        <v/>
      </c>
      <c r="H821" s="21">
        <f>IF(AND(A821="",B821="",C821="",D821=""),"",IF(AND(E821&lt;=3,F821&lt;=3,G821=""),1,0))</f>
        <v/>
      </c>
      <c r="I821" s="22">
        <f>IF(H821=0,IF(G821="중복","제외: 같은 이메일 중복 응답","제외: 3개 넘게 선택"),"")</f>
        <v/>
      </c>
    </row>
    <row r="822">
      <c r="A822" s="15" t="n"/>
      <c r="B822" s="15" t="n"/>
      <c r="C822" s="16" t="n"/>
      <c r="D822" s="16" t="n"/>
      <c r="E822" s="21">
        <f>IF(AND(A822="",B822="",C822="",D822=""),"",IF(TRIM(C822)="",0,LEN(C822)-LEN(SUBSTITUTE(C822,",",""))+1))</f>
        <v/>
      </c>
      <c r="F822" s="21">
        <f>IF(AND(A822="",B822="",C822="",D822=""),"",IF(TRIM(D822)="",0,LEN(D822)-LEN(SUBSTITUTE(D822,",",""))+1))</f>
        <v/>
      </c>
      <c r="G822" s="21">
        <f>IF(B822="","",IF(COUNTIF($B$6:B822,B822)&gt;1,"중복",""))</f>
        <v/>
      </c>
      <c r="H822" s="21">
        <f>IF(AND(A822="",B822="",C822="",D822=""),"",IF(AND(E822&lt;=3,F822&lt;=3,G822=""),1,0))</f>
        <v/>
      </c>
      <c r="I822" s="22">
        <f>IF(H822=0,IF(G822="중복","제외: 같은 이메일 중복 응답","제외: 3개 넘게 선택"),"")</f>
        <v/>
      </c>
    </row>
    <row r="823">
      <c r="A823" s="15" t="n"/>
      <c r="B823" s="15" t="n"/>
      <c r="C823" s="16" t="n"/>
      <c r="D823" s="16" t="n"/>
      <c r="E823" s="21">
        <f>IF(AND(A823="",B823="",C823="",D823=""),"",IF(TRIM(C823)="",0,LEN(C823)-LEN(SUBSTITUTE(C823,",",""))+1))</f>
        <v/>
      </c>
      <c r="F823" s="21">
        <f>IF(AND(A823="",B823="",C823="",D823=""),"",IF(TRIM(D823)="",0,LEN(D823)-LEN(SUBSTITUTE(D823,",",""))+1))</f>
        <v/>
      </c>
      <c r="G823" s="21">
        <f>IF(B823="","",IF(COUNTIF($B$6:B823,B823)&gt;1,"중복",""))</f>
        <v/>
      </c>
      <c r="H823" s="21">
        <f>IF(AND(A823="",B823="",C823="",D823=""),"",IF(AND(E823&lt;=3,F823&lt;=3,G823=""),1,0))</f>
        <v/>
      </c>
      <c r="I823" s="22">
        <f>IF(H823=0,IF(G823="중복","제외: 같은 이메일 중복 응답","제외: 3개 넘게 선택"),"")</f>
        <v/>
      </c>
    </row>
    <row r="824">
      <c r="A824" s="15" t="n"/>
      <c r="B824" s="15" t="n"/>
      <c r="C824" s="16" t="n"/>
      <c r="D824" s="16" t="n"/>
      <c r="E824" s="21">
        <f>IF(AND(A824="",B824="",C824="",D824=""),"",IF(TRIM(C824)="",0,LEN(C824)-LEN(SUBSTITUTE(C824,",",""))+1))</f>
        <v/>
      </c>
      <c r="F824" s="21">
        <f>IF(AND(A824="",B824="",C824="",D824=""),"",IF(TRIM(D824)="",0,LEN(D824)-LEN(SUBSTITUTE(D824,",",""))+1))</f>
        <v/>
      </c>
      <c r="G824" s="21">
        <f>IF(B824="","",IF(COUNTIF($B$6:B824,B824)&gt;1,"중복",""))</f>
        <v/>
      </c>
      <c r="H824" s="21">
        <f>IF(AND(A824="",B824="",C824="",D824=""),"",IF(AND(E824&lt;=3,F824&lt;=3,G824=""),1,0))</f>
        <v/>
      </c>
      <c r="I824" s="22">
        <f>IF(H824=0,IF(G824="중복","제외: 같은 이메일 중복 응답","제외: 3개 넘게 선택"),"")</f>
        <v/>
      </c>
    </row>
    <row r="825">
      <c r="A825" s="15" t="n"/>
      <c r="B825" s="15" t="n"/>
      <c r="C825" s="16" t="n"/>
      <c r="D825" s="16" t="n"/>
      <c r="E825" s="21">
        <f>IF(AND(A825="",B825="",C825="",D825=""),"",IF(TRIM(C825)="",0,LEN(C825)-LEN(SUBSTITUTE(C825,",",""))+1))</f>
        <v/>
      </c>
      <c r="F825" s="21">
        <f>IF(AND(A825="",B825="",C825="",D825=""),"",IF(TRIM(D825)="",0,LEN(D825)-LEN(SUBSTITUTE(D825,",",""))+1))</f>
        <v/>
      </c>
      <c r="G825" s="21">
        <f>IF(B825="","",IF(COUNTIF($B$6:B825,B825)&gt;1,"중복",""))</f>
        <v/>
      </c>
      <c r="H825" s="21">
        <f>IF(AND(A825="",B825="",C825="",D825=""),"",IF(AND(E825&lt;=3,F825&lt;=3,G825=""),1,0))</f>
        <v/>
      </c>
      <c r="I825" s="22">
        <f>IF(H825=0,IF(G825="중복","제외: 같은 이메일 중복 응답","제외: 3개 넘게 선택"),"")</f>
        <v/>
      </c>
    </row>
    <row r="826">
      <c r="A826" s="15" t="n"/>
      <c r="B826" s="15" t="n"/>
      <c r="C826" s="16" t="n"/>
      <c r="D826" s="16" t="n"/>
      <c r="E826" s="21">
        <f>IF(AND(A826="",B826="",C826="",D826=""),"",IF(TRIM(C826)="",0,LEN(C826)-LEN(SUBSTITUTE(C826,",",""))+1))</f>
        <v/>
      </c>
      <c r="F826" s="21">
        <f>IF(AND(A826="",B826="",C826="",D826=""),"",IF(TRIM(D826)="",0,LEN(D826)-LEN(SUBSTITUTE(D826,",",""))+1))</f>
        <v/>
      </c>
      <c r="G826" s="21">
        <f>IF(B826="","",IF(COUNTIF($B$6:B826,B826)&gt;1,"중복",""))</f>
        <v/>
      </c>
      <c r="H826" s="21">
        <f>IF(AND(A826="",B826="",C826="",D826=""),"",IF(AND(E826&lt;=3,F826&lt;=3,G826=""),1,0))</f>
        <v/>
      </c>
      <c r="I826" s="22">
        <f>IF(H826=0,IF(G826="중복","제외: 같은 이메일 중복 응답","제외: 3개 넘게 선택"),"")</f>
        <v/>
      </c>
    </row>
    <row r="827">
      <c r="A827" s="15" t="n"/>
      <c r="B827" s="15" t="n"/>
      <c r="C827" s="16" t="n"/>
      <c r="D827" s="16" t="n"/>
      <c r="E827" s="21">
        <f>IF(AND(A827="",B827="",C827="",D827=""),"",IF(TRIM(C827)="",0,LEN(C827)-LEN(SUBSTITUTE(C827,",",""))+1))</f>
        <v/>
      </c>
      <c r="F827" s="21">
        <f>IF(AND(A827="",B827="",C827="",D827=""),"",IF(TRIM(D827)="",0,LEN(D827)-LEN(SUBSTITUTE(D827,",",""))+1))</f>
        <v/>
      </c>
      <c r="G827" s="21">
        <f>IF(B827="","",IF(COUNTIF($B$6:B827,B827)&gt;1,"중복",""))</f>
        <v/>
      </c>
      <c r="H827" s="21">
        <f>IF(AND(A827="",B827="",C827="",D827=""),"",IF(AND(E827&lt;=3,F827&lt;=3,G827=""),1,0))</f>
        <v/>
      </c>
      <c r="I827" s="22">
        <f>IF(H827=0,IF(G827="중복","제외: 같은 이메일 중복 응답","제외: 3개 넘게 선택"),"")</f>
        <v/>
      </c>
    </row>
    <row r="828">
      <c r="A828" s="15" t="n"/>
      <c r="B828" s="15" t="n"/>
      <c r="C828" s="16" t="n"/>
      <c r="D828" s="16" t="n"/>
      <c r="E828" s="21">
        <f>IF(AND(A828="",B828="",C828="",D828=""),"",IF(TRIM(C828)="",0,LEN(C828)-LEN(SUBSTITUTE(C828,",",""))+1))</f>
        <v/>
      </c>
      <c r="F828" s="21">
        <f>IF(AND(A828="",B828="",C828="",D828=""),"",IF(TRIM(D828)="",0,LEN(D828)-LEN(SUBSTITUTE(D828,",",""))+1))</f>
        <v/>
      </c>
      <c r="G828" s="21">
        <f>IF(B828="","",IF(COUNTIF($B$6:B828,B828)&gt;1,"중복",""))</f>
        <v/>
      </c>
      <c r="H828" s="21">
        <f>IF(AND(A828="",B828="",C828="",D828=""),"",IF(AND(E828&lt;=3,F828&lt;=3,G828=""),1,0))</f>
        <v/>
      </c>
      <c r="I828" s="22">
        <f>IF(H828=0,IF(G828="중복","제외: 같은 이메일 중복 응답","제외: 3개 넘게 선택"),"")</f>
        <v/>
      </c>
    </row>
    <row r="829">
      <c r="A829" s="15" t="n"/>
      <c r="B829" s="15" t="n"/>
      <c r="C829" s="16" t="n"/>
      <c r="D829" s="16" t="n"/>
      <c r="E829" s="21">
        <f>IF(AND(A829="",B829="",C829="",D829=""),"",IF(TRIM(C829)="",0,LEN(C829)-LEN(SUBSTITUTE(C829,",",""))+1))</f>
        <v/>
      </c>
      <c r="F829" s="21">
        <f>IF(AND(A829="",B829="",C829="",D829=""),"",IF(TRIM(D829)="",0,LEN(D829)-LEN(SUBSTITUTE(D829,",",""))+1))</f>
        <v/>
      </c>
      <c r="G829" s="21">
        <f>IF(B829="","",IF(COUNTIF($B$6:B829,B829)&gt;1,"중복",""))</f>
        <v/>
      </c>
      <c r="H829" s="21">
        <f>IF(AND(A829="",B829="",C829="",D829=""),"",IF(AND(E829&lt;=3,F829&lt;=3,G829=""),1,0))</f>
        <v/>
      </c>
      <c r="I829" s="22">
        <f>IF(H829=0,IF(G829="중복","제외: 같은 이메일 중복 응답","제외: 3개 넘게 선택"),"")</f>
        <v/>
      </c>
    </row>
    <row r="830">
      <c r="A830" s="15" t="n"/>
      <c r="B830" s="15" t="n"/>
      <c r="C830" s="16" t="n"/>
      <c r="D830" s="16" t="n"/>
      <c r="E830" s="21">
        <f>IF(AND(A830="",B830="",C830="",D830=""),"",IF(TRIM(C830)="",0,LEN(C830)-LEN(SUBSTITUTE(C830,",",""))+1))</f>
        <v/>
      </c>
      <c r="F830" s="21">
        <f>IF(AND(A830="",B830="",C830="",D830=""),"",IF(TRIM(D830)="",0,LEN(D830)-LEN(SUBSTITUTE(D830,",",""))+1))</f>
        <v/>
      </c>
      <c r="G830" s="21">
        <f>IF(B830="","",IF(COUNTIF($B$6:B830,B830)&gt;1,"중복",""))</f>
        <v/>
      </c>
      <c r="H830" s="21">
        <f>IF(AND(A830="",B830="",C830="",D830=""),"",IF(AND(E830&lt;=3,F830&lt;=3,G830=""),1,0))</f>
        <v/>
      </c>
      <c r="I830" s="22">
        <f>IF(H830=0,IF(G830="중복","제외: 같은 이메일 중복 응답","제외: 3개 넘게 선택"),"")</f>
        <v/>
      </c>
    </row>
    <row r="831">
      <c r="A831" s="15" t="n"/>
      <c r="B831" s="15" t="n"/>
      <c r="C831" s="16" t="n"/>
      <c r="D831" s="16" t="n"/>
      <c r="E831" s="21">
        <f>IF(AND(A831="",B831="",C831="",D831=""),"",IF(TRIM(C831)="",0,LEN(C831)-LEN(SUBSTITUTE(C831,",",""))+1))</f>
        <v/>
      </c>
      <c r="F831" s="21">
        <f>IF(AND(A831="",B831="",C831="",D831=""),"",IF(TRIM(D831)="",0,LEN(D831)-LEN(SUBSTITUTE(D831,",",""))+1))</f>
        <v/>
      </c>
      <c r="G831" s="21">
        <f>IF(B831="","",IF(COUNTIF($B$6:B831,B831)&gt;1,"중복",""))</f>
        <v/>
      </c>
      <c r="H831" s="21">
        <f>IF(AND(A831="",B831="",C831="",D831=""),"",IF(AND(E831&lt;=3,F831&lt;=3,G831=""),1,0))</f>
        <v/>
      </c>
      <c r="I831" s="22">
        <f>IF(H831=0,IF(G831="중복","제외: 같은 이메일 중복 응답","제외: 3개 넘게 선택"),"")</f>
        <v/>
      </c>
    </row>
    <row r="832">
      <c r="A832" s="15" t="n"/>
      <c r="B832" s="15" t="n"/>
      <c r="C832" s="16" t="n"/>
      <c r="D832" s="16" t="n"/>
      <c r="E832" s="21">
        <f>IF(AND(A832="",B832="",C832="",D832=""),"",IF(TRIM(C832)="",0,LEN(C832)-LEN(SUBSTITUTE(C832,",",""))+1))</f>
        <v/>
      </c>
      <c r="F832" s="21">
        <f>IF(AND(A832="",B832="",C832="",D832=""),"",IF(TRIM(D832)="",0,LEN(D832)-LEN(SUBSTITUTE(D832,",",""))+1))</f>
        <v/>
      </c>
      <c r="G832" s="21">
        <f>IF(B832="","",IF(COUNTIF($B$6:B832,B832)&gt;1,"중복",""))</f>
        <v/>
      </c>
      <c r="H832" s="21">
        <f>IF(AND(A832="",B832="",C832="",D832=""),"",IF(AND(E832&lt;=3,F832&lt;=3,G832=""),1,0))</f>
        <v/>
      </c>
      <c r="I832" s="22">
        <f>IF(H832=0,IF(G832="중복","제외: 같은 이메일 중복 응답","제외: 3개 넘게 선택"),"")</f>
        <v/>
      </c>
    </row>
    <row r="833">
      <c r="A833" s="15" t="n"/>
      <c r="B833" s="15" t="n"/>
      <c r="C833" s="16" t="n"/>
      <c r="D833" s="16" t="n"/>
      <c r="E833" s="21">
        <f>IF(AND(A833="",B833="",C833="",D833=""),"",IF(TRIM(C833)="",0,LEN(C833)-LEN(SUBSTITUTE(C833,",",""))+1))</f>
        <v/>
      </c>
      <c r="F833" s="21">
        <f>IF(AND(A833="",B833="",C833="",D833=""),"",IF(TRIM(D833)="",0,LEN(D833)-LEN(SUBSTITUTE(D833,",",""))+1))</f>
        <v/>
      </c>
      <c r="G833" s="21">
        <f>IF(B833="","",IF(COUNTIF($B$6:B833,B833)&gt;1,"중복",""))</f>
        <v/>
      </c>
      <c r="H833" s="21">
        <f>IF(AND(A833="",B833="",C833="",D833=""),"",IF(AND(E833&lt;=3,F833&lt;=3,G833=""),1,0))</f>
        <v/>
      </c>
      <c r="I833" s="22">
        <f>IF(H833=0,IF(G833="중복","제외: 같은 이메일 중복 응답","제외: 3개 넘게 선택"),"")</f>
        <v/>
      </c>
    </row>
    <row r="834">
      <c r="A834" s="15" t="n"/>
      <c r="B834" s="15" t="n"/>
      <c r="C834" s="16" t="n"/>
      <c r="D834" s="16" t="n"/>
      <c r="E834" s="21">
        <f>IF(AND(A834="",B834="",C834="",D834=""),"",IF(TRIM(C834)="",0,LEN(C834)-LEN(SUBSTITUTE(C834,",",""))+1))</f>
        <v/>
      </c>
      <c r="F834" s="21">
        <f>IF(AND(A834="",B834="",C834="",D834=""),"",IF(TRIM(D834)="",0,LEN(D834)-LEN(SUBSTITUTE(D834,",",""))+1))</f>
        <v/>
      </c>
      <c r="G834" s="21">
        <f>IF(B834="","",IF(COUNTIF($B$6:B834,B834)&gt;1,"중복",""))</f>
        <v/>
      </c>
      <c r="H834" s="21">
        <f>IF(AND(A834="",B834="",C834="",D834=""),"",IF(AND(E834&lt;=3,F834&lt;=3,G834=""),1,0))</f>
        <v/>
      </c>
      <c r="I834" s="22">
        <f>IF(H834=0,IF(G834="중복","제외: 같은 이메일 중복 응답","제외: 3개 넘게 선택"),"")</f>
        <v/>
      </c>
    </row>
    <row r="835">
      <c r="A835" s="15" t="n"/>
      <c r="B835" s="15" t="n"/>
      <c r="C835" s="16" t="n"/>
      <c r="D835" s="16" t="n"/>
      <c r="E835" s="21">
        <f>IF(AND(A835="",B835="",C835="",D835=""),"",IF(TRIM(C835)="",0,LEN(C835)-LEN(SUBSTITUTE(C835,",",""))+1))</f>
        <v/>
      </c>
      <c r="F835" s="21">
        <f>IF(AND(A835="",B835="",C835="",D835=""),"",IF(TRIM(D835)="",0,LEN(D835)-LEN(SUBSTITUTE(D835,",",""))+1))</f>
        <v/>
      </c>
      <c r="G835" s="21">
        <f>IF(B835="","",IF(COUNTIF($B$6:B835,B835)&gt;1,"중복",""))</f>
        <v/>
      </c>
      <c r="H835" s="21">
        <f>IF(AND(A835="",B835="",C835="",D835=""),"",IF(AND(E835&lt;=3,F835&lt;=3,G835=""),1,0))</f>
        <v/>
      </c>
      <c r="I835" s="22">
        <f>IF(H835=0,IF(G835="중복","제외: 같은 이메일 중복 응답","제외: 3개 넘게 선택"),"")</f>
        <v/>
      </c>
    </row>
    <row r="836">
      <c r="A836" s="15" t="n"/>
      <c r="B836" s="15" t="n"/>
      <c r="C836" s="16" t="n"/>
      <c r="D836" s="16" t="n"/>
      <c r="E836" s="21">
        <f>IF(AND(A836="",B836="",C836="",D836=""),"",IF(TRIM(C836)="",0,LEN(C836)-LEN(SUBSTITUTE(C836,",",""))+1))</f>
        <v/>
      </c>
      <c r="F836" s="21">
        <f>IF(AND(A836="",B836="",C836="",D836=""),"",IF(TRIM(D836)="",0,LEN(D836)-LEN(SUBSTITUTE(D836,",",""))+1))</f>
        <v/>
      </c>
      <c r="G836" s="21">
        <f>IF(B836="","",IF(COUNTIF($B$6:B836,B836)&gt;1,"중복",""))</f>
        <v/>
      </c>
      <c r="H836" s="21">
        <f>IF(AND(A836="",B836="",C836="",D836=""),"",IF(AND(E836&lt;=3,F836&lt;=3,G836=""),1,0))</f>
        <v/>
      </c>
      <c r="I836" s="22">
        <f>IF(H836=0,IF(G836="중복","제외: 같은 이메일 중복 응답","제외: 3개 넘게 선택"),"")</f>
        <v/>
      </c>
    </row>
    <row r="837">
      <c r="A837" s="15" t="n"/>
      <c r="B837" s="15" t="n"/>
      <c r="C837" s="16" t="n"/>
      <c r="D837" s="16" t="n"/>
      <c r="E837" s="21">
        <f>IF(AND(A837="",B837="",C837="",D837=""),"",IF(TRIM(C837)="",0,LEN(C837)-LEN(SUBSTITUTE(C837,",",""))+1))</f>
        <v/>
      </c>
      <c r="F837" s="21">
        <f>IF(AND(A837="",B837="",C837="",D837=""),"",IF(TRIM(D837)="",0,LEN(D837)-LEN(SUBSTITUTE(D837,",",""))+1))</f>
        <v/>
      </c>
      <c r="G837" s="21">
        <f>IF(B837="","",IF(COUNTIF($B$6:B837,B837)&gt;1,"중복",""))</f>
        <v/>
      </c>
      <c r="H837" s="21">
        <f>IF(AND(A837="",B837="",C837="",D837=""),"",IF(AND(E837&lt;=3,F837&lt;=3,G837=""),1,0))</f>
        <v/>
      </c>
      <c r="I837" s="22">
        <f>IF(H837=0,IF(G837="중복","제외: 같은 이메일 중복 응답","제외: 3개 넘게 선택"),"")</f>
        <v/>
      </c>
    </row>
    <row r="838">
      <c r="A838" s="15" t="n"/>
      <c r="B838" s="15" t="n"/>
      <c r="C838" s="16" t="n"/>
      <c r="D838" s="16" t="n"/>
      <c r="E838" s="21">
        <f>IF(AND(A838="",B838="",C838="",D838=""),"",IF(TRIM(C838)="",0,LEN(C838)-LEN(SUBSTITUTE(C838,",",""))+1))</f>
        <v/>
      </c>
      <c r="F838" s="21">
        <f>IF(AND(A838="",B838="",C838="",D838=""),"",IF(TRIM(D838)="",0,LEN(D838)-LEN(SUBSTITUTE(D838,",",""))+1))</f>
        <v/>
      </c>
      <c r="G838" s="21">
        <f>IF(B838="","",IF(COUNTIF($B$6:B838,B838)&gt;1,"중복",""))</f>
        <v/>
      </c>
      <c r="H838" s="21">
        <f>IF(AND(A838="",B838="",C838="",D838=""),"",IF(AND(E838&lt;=3,F838&lt;=3,G838=""),1,0))</f>
        <v/>
      </c>
      <c r="I838" s="22">
        <f>IF(H838=0,IF(G838="중복","제외: 같은 이메일 중복 응답","제외: 3개 넘게 선택"),"")</f>
        <v/>
      </c>
    </row>
    <row r="839">
      <c r="A839" s="15" t="n"/>
      <c r="B839" s="15" t="n"/>
      <c r="C839" s="16" t="n"/>
      <c r="D839" s="16" t="n"/>
      <c r="E839" s="21">
        <f>IF(AND(A839="",B839="",C839="",D839=""),"",IF(TRIM(C839)="",0,LEN(C839)-LEN(SUBSTITUTE(C839,",",""))+1))</f>
        <v/>
      </c>
      <c r="F839" s="21">
        <f>IF(AND(A839="",B839="",C839="",D839=""),"",IF(TRIM(D839)="",0,LEN(D839)-LEN(SUBSTITUTE(D839,",",""))+1))</f>
        <v/>
      </c>
      <c r="G839" s="21">
        <f>IF(B839="","",IF(COUNTIF($B$6:B839,B839)&gt;1,"중복",""))</f>
        <v/>
      </c>
      <c r="H839" s="21">
        <f>IF(AND(A839="",B839="",C839="",D839=""),"",IF(AND(E839&lt;=3,F839&lt;=3,G839=""),1,0))</f>
        <v/>
      </c>
      <c r="I839" s="22">
        <f>IF(H839=0,IF(G839="중복","제외: 같은 이메일 중복 응답","제외: 3개 넘게 선택"),"")</f>
        <v/>
      </c>
    </row>
    <row r="840">
      <c r="A840" s="15" t="n"/>
      <c r="B840" s="15" t="n"/>
      <c r="C840" s="16" t="n"/>
      <c r="D840" s="16" t="n"/>
      <c r="E840" s="21">
        <f>IF(AND(A840="",B840="",C840="",D840=""),"",IF(TRIM(C840)="",0,LEN(C840)-LEN(SUBSTITUTE(C840,",",""))+1))</f>
        <v/>
      </c>
      <c r="F840" s="21">
        <f>IF(AND(A840="",B840="",C840="",D840=""),"",IF(TRIM(D840)="",0,LEN(D840)-LEN(SUBSTITUTE(D840,",",""))+1))</f>
        <v/>
      </c>
      <c r="G840" s="21">
        <f>IF(B840="","",IF(COUNTIF($B$6:B840,B840)&gt;1,"중복",""))</f>
        <v/>
      </c>
      <c r="H840" s="21">
        <f>IF(AND(A840="",B840="",C840="",D840=""),"",IF(AND(E840&lt;=3,F840&lt;=3,G840=""),1,0))</f>
        <v/>
      </c>
      <c r="I840" s="22">
        <f>IF(H840=0,IF(G840="중복","제외: 같은 이메일 중복 응답","제외: 3개 넘게 선택"),"")</f>
        <v/>
      </c>
    </row>
    <row r="841">
      <c r="A841" s="15" t="n"/>
      <c r="B841" s="15" t="n"/>
      <c r="C841" s="16" t="n"/>
      <c r="D841" s="16" t="n"/>
      <c r="E841" s="21">
        <f>IF(AND(A841="",B841="",C841="",D841=""),"",IF(TRIM(C841)="",0,LEN(C841)-LEN(SUBSTITUTE(C841,",",""))+1))</f>
        <v/>
      </c>
      <c r="F841" s="21">
        <f>IF(AND(A841="",B841="",C841="",D841=""),"",IF(TRIM(D841)="",0,LEN(D841)-LEN(SUBSTITUTE(D841,",",""))+1))</f>
        <v/>
      </c>
      <c r="G841" s="21">
        <f>IF(B841="","",IF(COUNTIF($B$6:B841,B841)&gt;1,"중복",""))</f>
        <v/>
      </c>
      <c r="H841" s="21">
        <f>IF(AND(A841="",B841="",C841="",D841=""),"",IF(AND(E841&lt;=3,F841&lt;=3,G841=""),1,0))</f>
        <v/>
      </c>
      <c r="I841" s="22">
        <f>IF(H841=0,IF(G841="중복","제외: 같은 이메일 중복 응답","제외: 3개 넘게 선택"),"")</f>
        <v/>
      </c>
    </row>
    <row r="842">
      <c r="A842" s="15" t="n"/>
      <c r="B842" s="15" t="n"/>
      <c r="C842" s="16" t="n"/>
      <c r="D842" s="16" t="n"/>
      <c r="E842" s="21">
        <f>IF(AND(A842="",B842="",C842="",D842=""),"",IF(TRIM(C842)="",0,LEN(C842)-LEN(SUBSTITUTE(C842,",",""))+1))</f>
        <v/>
      </c>
      <c r="F842" s="21">
        <f>IF(AND(A842="",B842="",C842="",D842=""),"",IF(TRIM(D842)="",0,LEN(D842)-LEN(SUBSTITUTE(D842,",",""))+1))</f>
        <v/>
      </c>
      <c r="G842" s="21">
        <f>IF(B842="","",IF(COUNTIF($B$6:B842,B842)&gt;1,"중복",""))</f>
        <v/>
      </c>
      <c r="H842" s="21">
        <f>IF(AND(A842="",B842="",C842="",D842=""),"",IF(AND(E842&lt;=3,F842&lt;=3,G842=""),1,0))</f>
        <v/>
      </c>
      <c r="I842" s="22">
        <f>IF(H842=0,IF(G842="중복","제외: 같은 이메일 중복 응답","제외: 3개 넘게 선택"),"")</f>
        <v/>
      </c>
    </row>
    <row r="843">
      <c r="A843" s="15" t="n"/>
      <c r="B843" s="15" t="n"/>
      <c r="C843" s="16" t="n"/>
      <c r="D843" s="16" t="n"/>
      <c r="E843" s="21">
        <f>IF(AND(A843="",B843="",C843="",D843=""),"",IF(TRIM(C843)="",0,LEN(C843)-LEN(SUBSTITUTE(C843,",",""))+1))</f>
        <v/>
      </c>
      <c r="F843" s="21">
        <f>IF(AND(A843="",B843="",C843="",D843=""),"",IF(TRIM(D843)="",0,LEN(D843)-LEN(SUBSTITUTE(D843,",",""))+1))</f>
        <v/>
      </c>
      <c r="G843" s="21">
        <f>IF(B843="","",IF(COUNTIF($B$6:B843,B843)&gt;1,"중복",""))</f>
        <v/>
      </c>
      <c r="H843" s="21">
        <f>IF(AND(A843="",B843="",C843="",D843=""),"",IF(AND(E843&lt;=3,F843&lt;=3,G843=""),1,0))</f>
        <v/>
      </c>
      <c r="I843" s="22">
        <f>IF(H843=0,IF(G843="중복","제외: 같은 이메일 중복 응답","제외: 3개 넘게 선택"),"")</f>
        <v/>
      </c>
    </row>
    <row r="844">
      <c r="A844" s="15" t="n"/>
      <c r="B844" s="15" t="n"/>
      <c r="C844" s="16" t="n"/>
      <c r="D844" s="16" t="n"/>
      <c r="E844" s="21">
        <f>IF(AND(A844="",B844="",C844="",D844=""),"",IF(TRIM(C844)="",0,LEN(C844)-LEN(SUBSTITUTE(C844,",",""))+1))</f>
        <v/>
      </c>
      <c r="F844" s="21">
        <f>IF(AND(A844="",B844="",C844="",D844=""),"",IF(TRIM(D844)="",0,LEN(D844)-LEN(SUBSTITUTE(D844,",",""))+1))</f>
        <v/>
      </c>
      <c r="G844" s="21">
        <f>IF(B844="","",IF(COUNTIF($B$6:B844,B844)&gt;1,"중복",""))</f>
        <v/>
      </c>
      <c r="H844" s="21">
        <f>IF(AND(A844="",B844="",C844="",D844=""),"",IF(AND(E844&lt;=3,F844&lt;=3,G844=""),1,0))</f>
        <v/>
      </c>
      <c r="I844" s="22">
        <f>IF(H844=0,IF(G844="중복","제외: 같은 이메일 중복 응답","제외: 3개 넘게 선택"),"")</f>
        <v/>
      </c>
    </row>
    <row r="845">
      <c r="A845" s="15" t="n"/>
      <c r="B845" s="15" t="n"/>
      <c r="C845" s="16" t="n"/>
      <c r="D845" s="16" t="n"/>
      <c r="E845" s="21">
        <f>IF(AND(A845="",B845="",C845="",D845=""),"",IF(TRIM(C845)="",0,LEN(C845)-LEN(SUBSTITUTE(C845,",",""))+1))</f>
        <v/>
      </c>
      <c r="F845" s="21">
        <f>IF(AND(A845="",B845="",C845="",D845=""),"",IF(TRIM(D845)="",0,LEN(D845)-LEN(SUBSTITUTE(D845,",",""))+1))</f>
        <v/>
      </c>
      <c r="G845" s="21">
        <f>IF(B845="","",IF(COUNTIF($B$6:B845,B845)&gt;1,"중복",""))</f>
        <v/>
      </c>
      <c r="H845" s="21">
        <f>IF(AND(A845="",B845="",C845="",D845=""),"",IF(AND(E845&lt;=3,F845&lt;=3,G845=""),1,0))</f>
        <v/>
      </c>
      <c r="I845" s="22">
        <f>IF(H845=0,IF(G845="중복","제외: 같은 이메일 중복 응답","제외: 3개 넘게 선택"),"")</f>
        <v/>
      </c>
    </row>
    <row r="846">
      <c r="A846" s="15" t="n"/>
      <c r="B846" s="15" t="n"/>
      <c r="C846" s="16" t="n"/>
      <c r="D846" s="16" t="n"/>
      <c r="E846" s="21">
        <f>IF(AND(A846="",B846="",C846="",D846=""),"",IF(TRIM(C846)="",0,LEN(C846)-LEN(SUBSTITUTE(C846,",",""))+1))</f>
        <v/>
      </c>
      <c r="F846" s="21">
        <f>IF(AND(A846="",B846="",C846="",D846=""),"",IF(TRIM(D846)="",0,LEN(D846)-LEN(SUBSTITUTE(D846,",",""))+1))</f>
        <v/>
      </c>
      <c r="G846" s="21">
        <f>IF(B846="","",IF(COUNTIF($B$6:B846,B846)&gt;1,"중복",""))</f>
        <v/>
      </c>
      <c r="H846" s="21">
        <f>IF(AND(A846="",B846="",C846="",D846=""),"",IF(AND(E846&lt;=3,F846&lt;=3,G846=""),1,0))</f>
        <v/>
      </c>
      <c r="I846" s="22">
        <f>IF(H846=0,IF(G846="중복","제외: 같은 이메일 중복 응답","제외: 3개 넘게 선택"),"")</f>
        <v/>
      </c>
    </row>
    <row r="847">
      <c r="A847" s="15" t="n"/>
      <c r="B847" s="15" t="n"/>
      <c r="C847" s="16" t="n"/>
      <c r="D847" s="16" t="n"/>
      <c r="E847" s="21">
        <f>IF(AND(A847="",B847="",C847="",D847=""),"",IF(TRIM(C847)="",0,LEN(C847)-LEN(SUBSTITUTE(C847,",",""))+1))</f>
        <v/>
      </c>
      <c r="F847" s="21">
        <f>IF(AND(A847="",B847="",C847="",D847=""),"",IF(TRIM(D847)="",0,LEN(D847)-LEN(SUBSTITUTE(D847,",",""))+1))</f>
        <v/>
      </c>
      <c r="G847" s="21">
        <f>IF(B847="","",IF(COUNTIF($B$6:B847,B847)&gt;1,"중복",""))</f>
        <v/>
      </c>
      <c r="H847" s="21">
        <f>IF(AND(A847="",B847="",C847="",D847=""),"",IF(AND(E847&lt;=3,F847&lt;=3,G847=""),1,0))</f>
        <v/>
      </c>
      <c r="I847" s="22">
        <f>IF(H847=0,IF(G847="중복","제외: 같은 이메일 중복 응답","제외: 3개 넘게 선택"),"")</f>
        <v/>
      </c>
    </row>
    <row r="848">
      <c r="A848" s="15" t="n"/>
      <c r="B848" s="15" t="n"/>
      <c r="C848" s="16" t="n"/>
      <c r="D848" s="16" t="n"/>
      <c r="E848" s="21">
        <f>IF(AND(A848="",B848="",C848="",D848=""),"",IF(TRIM(C848)="",0,LEN(C848)-LEN(SUBSTITUTE(C848,",",""))+1))</f>
        <v/>
      </c>
      <c r="F848" s="21">
        <f>IF(AND(A848="",B848="",C848="",D848=""),"",IF(TRIM(D848)="",0,LEN(D848)-LEN(SUBSTITUTE(D848,",",""))+1))</f>
        <v/>
      </c>
      <c r="G848" s="21">
        <f>IF(B848="","",IF(COUNTIF($B$6:B848,B848)&gt;1,"중복",""))</f>
        <v/>
      </c>
      <c r="H848" s="21">
        <f>IF(AND(A848="",B848="",C848="",D848=""),"",IF(AND(E848&lt;=3,F848&lt;=3,G848=""),1,0))</f>
        <v/>
      </c>
      <c r="I848" s="22">
        <f>IF(H848=0,IF(G848="중복","제외: 같은 이메일 중복 응답","제외: 3개 넘게 선택"),"")</f>
        <v/>
      </c>
    </row>
    <row r="849">
      <c r="A849" s="15" t="n"/>
      <c r="B849" s="15" t="n"/>
      <c r="C849" s="16" t="n"/>
      <c r="D849" s="16" t="n"/>
      <c r="E849" s="21">
        <f>IF(AND(A849="",B849="",C849="",D849=""),"",IF(TRIM(C849)="",0,LEN(C849)-LEN(SUBSTITUTE(C849,",",""))+1))</f>
        <v/>
      </c>
      <c r="F849" s="21">
        <f>IF(AND(A849="",B849="",C849="",D849=""),"",IF(TRIM(D849)="",0,LEN(D849)-LEN(SUBSTITUTE(D849,",",""))+1))</f>
        <v/>
      </c>
      <c r="G849" s="21">
        <f>IF(B849="","",IF(COUNTIF($B$6:B849,B849)&gt;1,"중복",""))</f>
        <v/>
      </c>
      <c r="H849" s="21">
        <f>IF(AND(A849="",B849="",C849="",D849=""),"",IF(AND(E849&lt;=3,F849&lt;=3,G849=""),1,0))</f>
        <v/>
      </c>
      <c r="I849" s="22">
        <f>IF(H849=0,IF(G849="중복","제외: 같은 이메일 중복 응답","제외: 3개 넘게 선택"),"")</f>
        <v/>
      </c>
    </row>
    <row r="850">
      <c r="A850" s="15" t="n"/>
      <c r="B850" s="15" t="n"/>
      <c r="C850" s="16" t="n"/>
      <c r="D850" s="16" t="n"/>
      <c r="E850" s="21">
        <f>IF(AND(A850="",B850="",C850="",D850=""),"",IF(TRIM(C850)="",0,LEN(C850)-LEN(SUBSTITUTE(C850,",",""))+1))</f>
        <v/>
      </c>
      <c r="F850" s="21">
        <f>IF(AND(A850="",B850="",C850="",D850=""),"",IF(TRIM(D850)="",0,LEN(D850)-LEN(SUBSTITUTE(D850,",",""))+1))</f>
        <v/>
      </c>
      <c r="G850" s="21">
        <f>IF(B850="","",IF(COUNTIF($B$6:B850,B850)&gt;1,"중복",""))</f>
        <v/>
      </c>
      <c r="H850" s="21">
        <f>IF(AND(A850="",B850="",C850="",D850=""),"",IF(AND(E850&lt;=3,F850&lt;=3,G850=""),1,0))</f>
        <v/>
      </c>
      <c r="I850" s="22">
        <f>IF(H850=0,IF(G850="중복","제외: 같은 이메일 중복 응답","제외: 3개 넘게 선택"),"")</f>
        <v/>
      </c>
    </row>
    <row r="851">
      <c r="A851" s="15" t="n"/>
      <c r="B851" s="15" t="n"/>
      <c r="C851" s="16" t="n"/>
      <c r="D851" s="16" t="n"/>
      <c r="E851" s="21">
        <f>IF(AND(A851="",B851="",C851="",D851=""),"",IF(TRIM(C851)="",0,LEN(C851)-LEN(SUBSTITUTE(C851,",",""))+1))</f>
        <v/>
      </c>
      <c r="F851" s="21">
        <f>IF(AND(A851="",B851="",C851="",D851=""),"",IF(TRIM(D851)="",0,LEN(D851)-LEN(SUBSTITUTE(D851,",",""))+1))</f>
        <v/>
      </c>
      <c r="G851" s="21">
        <f>IF(B851="","",IF(COUNTIF($B$6:B851,B851)&gt;1,"중복",""))</f>
        <v/>
      </c>
      <c r="H851" s="21">
        <f>IF(AND(A851="",B851="",C851="",D851=""),"",IF(AND(E851&lt;=3,F851&lt;=3,G851=""),1,0))</f>
        <v/>
      </c>
      <c r="I851" s="22">
        <f>IF(H851=0,IF(G851="중복","제외: 같은 이메일 중복 응답","제외: 3개 넘게 선택"),"")</f>
        <v/>
      </c>
    </row>
    <row r="852">
      <c r="A852" s="15" t="n"/>
      <c r="B852" s="15" t="n"/>
      <c r="C852" s="16" t="n"/>
      <c r="D852" s="16" t="n"/>
      <c r="E852" s="21">
        <f>IF(AND(A852="",B852="",C852="",D852=""),"",IF(TRIM(C852)="",0,LEN(C852)-LEN(SUBSTITUTE(C852,",",""))+1))</f>
        <v/>
      </c>
      <c r="F852" s="21">
        <f>IF(AND(A852="",B852="",C852="",D852=""),"",IF(TRIM(D852)="",0,LEN(D852)-LEN(SUBSTITUTE(D852,",",""))+1))</f>
        <v/>
      </c>
      <c r="G852" s="21">
        <f>IF(B852="","",IF(COUNTIF($B$6:B852,B852)&gt;1,"중복",""))</f>
        <v/>
      </c>
      <c r="H852" s="21">
        <f>IF(AND(A852="",B852="",C852="",D852=""),"",IF(AND(E852&lt;=3,F852&lt;=3,G852=""),1,0))</f>
        <v/>
      </c>
      <c r="I852" s="22">
        <f>IF(H852=0,IF(G852="중복","제외: 같은 이메일 중복 응답","제외: 3개 넘게 선택"),"")</f>
        <v/>
      </c>
    </row>
    <row r="853">
      <c r="A853" s="15" t="n"/>
      <c r="B853" s="15" t="n"/>
      <c r="C853" s="16" t="n"/>
      <c r="D853" s="16" t="n"/>
      <c r="E853" s="21">
        <f>IF(AND(A853="",B853="",C853="",D853=""),"",IF(TRIM(C853)="",0,LEN(C853)-LEN(SUBSTITUTE(C853,",",""))+1))</f>
        <v/>
      </c>
      <c r="F853" s="21">
        <f>IF(AND(A853="",B853="",C853="",D853=""),"",IF(TRIM(D853)="",0,LEN(D853)-LEN(SUBSTITUTE(D853,",",""))+1))</f>
        <v/>
      </c>
      <c r="G853" s="21">
        <f>IF(B853="","",IF(COUNTIF($B$6:B853,B853)&gt;1,"중복",""))</f>
        <v/>
      </c>
      <c r="H853" s="21">
        <f>IF(AND(A853="",B853="",C853="",D853=""),"",IF(AND(E853&lt;=3,F853&lt;=3,G853=""),1,0))</f>
        <v/>
      </c>
      <c r="I853" s="22">
        <f>IF(H853=0,IF(G853="중복","제외: 같은 이메일 중복 응답","제외: 3개 넘게 선택"),"")</f>
        <v/>
      </c>
    </row>
    <row r="854">
      <c r="A854" s="15" t="n"/>
      <c r="B854" s="15" t="n"/>
      <c r="C854" s="16" t="n"/>
      <c r="D854" s="16" t="n"/>
      <c r="E854" s="21">
        <f>IF(AND(A854="",B854="",C854="",D854=""),"",IF(TRIM(C854)="",0,LEN(C854)-LEN(SUBSTITUTE(C854,",",""))+1))</f>
        <v/>
      </c>
      <c r="F854" s="21">
        <f>IF(AND(A854="",B854="",C854="",D854=""),"",IF(TRIM(D854)="",0,LEN(D854)-LEN(SUBSTITUTE(D854,",",""))+1))</f>
        <v/>
      </c>
      <c r="G854" s="21">
        <f>IF(B854="","",IF(COUNTIF($B$6:B854,B854)&gt;1,"중복",""))</f>
        <v/>
      </c>
      <c r="H854" s="21">
        <f>IF(AND(A854="",B854="",C854="",D854=""),"",IF(AND(E854&lt;=3,F854&lt;=3,G854=""),1,0))</f>
        <v/>
      </c>
      <c r="I854" s="22">
        <f>IF(H854=0,IF(G854="중복","제외: 같은 이메일 중복 응답","제외: 3개 넘게 선택"),"")</f>
        <v/>
      </c>
    </row>
    <row r="855">
      <c r="A855" s="15" t="n"/>
      <c r="B855" s="15" t="n"/>
      <c r="C855" s="16" t="n"/>
      <c r="D855" s="16" t="n"/>
      <c r="E855" s="21">
        <f>IF(AND(A855="",B855="",C855="",D855=""),"",IF(TRIM(C855)="",0,LEN(C855)-LEN(SUBSTITUTE(C855,",",""))+1))</f>
        <v/>
      </c>
      <c r="F855" s="21">
        <f>IF(AND(A855="",B855="",C855="",D855=""),"",IF(TRIM(D855)="",0,LEN(D855)-LEN(SUBSTITUTE(D855,",",""))+1))</f>
        <v/>
      </c>
      <c r="G855" s="21">
        <f>IF(B855="","",IF(COUNTIF($B$6:B855,B855)&gt;1,"중복",""))</f>
        <v/>
      </c>
      <c r="H855" s="21">
        <f>IF(AND(A855="",B855="",C855="",D855=""),"",IF(AND(E855&lt;=3,F855&lt;=3,G855=""),1,0))</f>
        <v/>
      </c>
      <c r="I855" s="22">
        <f>IF(H855=0,IF(G855="중복","제외: 같은 이메일 중복 응답","제외: 3개 넘게 선택"),"")</f>
        <v/>
      </c>
    </row>
    <row r="856">
      <c r="A856" s="15" t="n"/>
      <c r="B856" s="15" t="n"/>
      <c r="C856" s="16" t="n"/>
      <c r="D856" s="16" t="n"/>
      <c r="E856" s="21">
        <f>IF(AND(A856="",B856="",C856="",D856=""),"",IF(TRIM(C856)="",0,LEN(C856)-LEN(SUBSTITUTE(C856,",",""))+1))</f>
        <v/>
      </c>
      <c r="F856" s="21">
        <f>IF(AND(A856="",B856="",C856="",D856=""),"",IF(TRIM(D856)="",0,LEN(D856)-LEN(SUBSTITUTE(D856,",",""))+1))</f>
        <v/>
      </c>
      <c r="G856" s="21">
        <f>IF(B856="","",IF(COUNTIF($B$6:B856,B856)&gt;1,"중복",""))</f>
        <v/>
      </c>
      <c r="H856" s="21">
        <f>IF(AND(A856="",B856="",C856="",D856=""),"",IF(AND(E856&lt;=3,F856&lt;=3,G856=""),1,0))</f>
        <v/>
      </c>
      <c r="I856" s="22">
        <f>IF(H856=0,IF(G856="중복","제외: 같은 이메일 중복 응답","제외: 3개 넘게 선택"),"")</f>
        <v/>
      </c>
    </row>
    <row r="857">
      <c r="A857" s="15" t="n"/>
      <c r="B857" s="15" t="n"/>
      <c r="C857" s="16" t="n"/>
      <c r="D857" s="16" t="n"/>
      <c r="E857" s="21">
        <f>IF(AND(A857="",B857="",C857="",D857=""),"",IF(TRIM(C857)="",0,LEN(C857)-LEN(SUBSTITUTE(C857,",",""))+1))</f>
        <v/>
      </c>
      <c r="F857" s="21">
        <f>IF(AND(A857="",B857="",C857="",D857=""),"",IF(TRIM(D857)="",0,LEN(D857)-LEN(SUBSTITUTE(D857,",",""))+1))</f>
        <v/>
      </c>
      <c r="G857" s="21">
        <f>IF(B857="","",IF(COUNTIF($B$6:B857,B857)&gt;1,"중복",""))</f>
        <v/>
      </c>
      <c r="H857" s="21">
        <f>IF(AND(A857="",B857="",C857="",D857=""),"",IF(AND(E857&lt;=3,F857&lt;=3,G857=""),1,0))</f>
        <v/>
      </c>
      <c r="I857" s="22">
        <f>IF(H857=0,IF(G857="중복","제외: 같은 이메일 중복 응답","제외: 3개 넘게 선택"),"")</f>
        <v/>
      </c>
    </row>
    <row r="858">
      <c r="A858" s="15" t="n"/>
      <c r="B858" s="15" t="n"/>
      <c r="C858" s="16" t="n"/>
      <c r="D858" s="16" t="n"/>
      <c r="E858" s="21">
        <f>IF(AND(A858="",B858="",C858="",D858=""),"",IF(TRIM(C858)="",0,LEN(C858)-LEN(SUBSTITUTE(C858,",",""))+1))</f>
        <v/>
      </c>
      <c r="F858" s="21">
        <f>IF(AND(A858="",B858="",C858="",D858=""),"",IF(TRIM(D858)="",0,LEN(D858)-LEN(SUBSTITUTE(D858,",",""))+1))</f>
        <v/>
      </c>
      <c r="G858" s="21">
        <f>IF(B858="","",IF(COUNTIF($B$6:B858,B858)&gt;1,"중복",""))</f>
        <v/>
      </c>
      <c r="H858" s="21">
        <f>IF(AND(A858="",B858="",C858="",D858=""),"",IF(AND(E858&lt;=3,F858&lt;=3,G858=""),1,0))</f>
        <v/>
      </c>
      <c r="I858" s="22">
        <f>IF(H858=0,IF(G858="중복","제외: 같은 이메일 중복 응답","제외: 3개 넘게 선택"),"")</f>
        <v/>
      </c>
    </row>
    <row r="859">
      <c r="A859" s="15" t="n"/>
      <c r="B859" s="15" t="n"/>
      <c r="C859" s="16" t="n"/>
      <c r="D859" s="16" t="n"/>
      <c r="E859" s="21">
        <f>IF(AND(A859="",B859="",C859="",D859=""),"",IF(TRIM(C859)="",0,LEN(C859)-LEN(SUBSTITUTE(C859,",",""))+1))</f>
        <v/>
      </c>
      <c r="F859" s="21">
        <f>IF(AND(A859="",B859="",C859="",D859=""),"",IF(TRIM(D859)="",0,LEN(D859)-LEN(SUBSTITUTE(D859,",",""))+1))</f>
        <v/>
      </c>
      <c r="G859" s="21">
        <f>IF(B859="","",IF(COUNTIF($B$6:B859,B859)&gt;1,"중복",""))</f>
        <v/>
      </c>
      <c r="H859" s="21">
        <f>IF(AND(A859="",B859="",C859="",D859=""),"",IF(AND(E859&lt;=3,F859&lt;=3,G859=""),1,0))</f>
        <v/>
      </c>
      <c r="I859" s="22">
        <f>IF(H859=0,IF(G859="중복","제외: 같은 이메일 중복 응답","제외: 3개 넘게 선택"),"")</f>
        <v/>
      </c>
    </row>
    <row r="860">
      <c r="A860" s="15" t="n"/>
      <c r="B860" s="15" t="n"/>
      <c r="C860" s="16" t="n"/>
      <c r="D860" s="16" t="n"/>
      <c r="E860" s="21">
        <f>IF(AND(A860="",B860="",C860="",D860=""),"",IF(TRIM(C860)="",0,LEN(C860)-LEN(SUBSTITUTE(C860,",",""))+1))</f>
        <v/>
      </c>
      <c r="F860" s="21">
        <f>IF(AND(A860="",B860="",C860="",D860=""),"",IF(TRIM(D860)="",0,LEN(D860)-LEN(SUBSTITUTE(D860,",",""))+1))</f>
        <v/>
      </c>
      <c r="G860" s="21">
        <f>IF(B860="","",IF(COUNTIF($B$6:B860,B860)&gt;1,"중복",""))</f>
        <v/>
      </c>
      <c r="H860" s="21">
        <f>IF(AND(A860="",B860="",C860="",D860=""),"",IF(AND(E860&lt;=3,F860&lt;=3,G860=""),1,0))</f>
        <v/>
      </c>
      <c r="I860" s="22">
        <f>IF(H860=0,IF(G860="중복","제외: 같은 이메일 중복 응답","제외: 3개 넘게 선택"),"")</f>
        <v/>
      </c>
    </row>
    <row r="861">
      <c r="A861" s="15" t="n"/>
      <c r="B861" s="15" t="n"/>
      <c r="C861" s="16" t="n"/>
      <c r="D861" s="16" t="n"/>
      <c r="E861" s="21">
        <f>IF(AND(A861="",B861="",C861="",D861=""),"",IF(TRIM(C861)="",0,LEN(C861)-LEN(SUBSTITUTE(C861,",",""))+1))</f>
        <v/>
      </c>
      <c r="F861" s="21">
        <f>IF(AND(A861="",B861="",C861="",D861=""),"",IF(TRIM(D861)="",0,LEN(D861)-LEN(SUBSTITUTE(D861,",",""))+1))</f>
        <v/>
      </c>
      <c r="G861" s="21">
        <f>IF(B861="","",IF(COUNTIF($B$6:B861,B861)&gt;1,"중복",""))</f>
        <v/>
      </c>
      <c r="H861" s="21">
        <f>IF(AND(A861="",B861="",C861="",D861=""),"",IF(AND(E861&lt;=3,F861&lt;=3,G861=""),1,0))</f>
        <v/>
      </c>
      <c r="I861" s="22">
        <f>IF(H861=0,IF(G861="중복","제외: 같은 이메일 중복 응답","제외: 3개 넘게 선택"),"")</f>
        <v/>
      </c>
    </row>
    <row r="862">
      <c r="A862" s="15" t="n"/>
      <c r="B862" s="15" t="n"/>
      <c r="C862" s="16" t="n"/>
      <c r="D862" s="16" t="n"/>
      <c r="E862" s="21">
        <f>IF(AND(A862="",B862="",C862="",D862=""),"",IF(TRIM(C862)="",0,LEN(C862)-LEN(SUBSTITUTE(C862,",",""))+1))</f>
        <v/>
      </c>
      <c r="F862" s="21">
        <f>IF(AND(A862="",B862="",C862="",D862=""),"",IF(TRIM(D862)="",0,LEN(D862)-LEN(SUBSTITUTE(D862,",",""))+1))</f>
        <v/>
      </c>
      <c r="G862" s="21">
        <f>IF(B862="","",IF(COUNTIF($B$6:B862,B862)&gt;1,"중복",""))</f>
        <v/>
      </c>
      <c r="H862" s="21">
        <f>IF(AND(A862="",B862="",C862="",D862=""),"",IF(AND(E862&lt;=3,F862&lt;=3,G862=""),1,0))</f>
        <v/>
      </c>
      <c r="I862" s="22">
        <f>IF(H862=0,IF(G862="중복","제외: 같은 이메일 중복 응답","제외: 3개 넘게 선택"),"")</f>
        <v/>
      </c>
    </row>
    <row r="863">
      <c r="A863" s="15" t="n"/>
      <c r="B863" s="15" t="n"/>
      <c r="C863" s="16" t="n"/>
      <c r="D863" s="16" t="n"/>
      <c r="E863" s="21">
        <f>IF(AND(A863="",B863="",C863="",D863=""),"",IF(TRIM(C863)="",0,LEN(C863)-LEN(SUBSTITUTE(C863,",",""))+1))</f>
        <v/>
      </c>
      <c r="F863" s="21">
        <f>IF(AND(A863="",B863="",C863="",D863=""),"",IF(TRIM(D863)="",0,LEN(D863)-LEN(SUBSTITUTE(D863,",",""))+1))</f>
        <v/>
      </c>
      <c r="G863" s="21">
        <f>IF(B863="","",IF(COUNTIF($B$6:B863,B863)&gt;1,"중복",""))</f>
        <v/>
      </c>
      <c r="H863" s="21">
        <f>IF(AND(A863="",B863="",C863="",D863=""),"",IF(AND(E863&lt;=3,F863&lt;=3,G863=""),1,0))</f>
        <v/>
      </c>
      <c r="I863" s="22">
        <f>IF(H863=0,IF(G863="중복","제외: 같은 이메일 중복 응답","제외: 3개 넘게 선택"),"")</f>
        <v/>
      </c>
    </row>
    <row r="864">
      <c r="A864" s="15" t="n"/>
      <c r="B864" s="15" t="n"/>
      <c r="C864" s="16" t="n"/>
      <c r="D864" s="16" t="n"/>
      <c r="E864" s="21">
        <f>IF(AND(A864="",B864="",C864="",D864=""),"",IF(TRIM(C864)="",0,LEN(C864)-LEN(SUBSTITUTE(C864,",",""))+1))</f>
        <v/>
      </c>
      <c r="F864" s="21">
        <f>IF(AND(A864="",B864="",C864="",D864=""),"",IF(TRIM(D864)="",0,LEN(D864)-LEN(SUBSTITUTE(D864,",",""))+1))</f>
        <v/>
      </c>
      <c r="G864" s="21">
        <f>IF(B864="","",IF(COUNTIF($B$6:B864,B864)&gt;1,"중복",""))</f>
        <v/>
      </c>
      <c r="H864" s="21">
        <f>IF(AND(A864="",B864="",C864="",D864=""),"",IF(AND(E864&lt;=3,F864&lt;=3,G864=""),1,0))</f>
        <v/>
      </c>
      <c r="I864" s="22">
        <f>IF(H864=0,IF(G864="중복","제외: 같은 이메일 중복 응답","제외: 3개 넘게 선택"),"")</f>
        <v/>
      </c>
    </row>
    <row r="865">
      <c r="A865" s="15" t="n"/>
      <c r="B865" s="15" t="n"/>
      <c r="C865" s="16" t="n"/>
      <c r="D865" s="16" t="n"/>
      <c r="E865" s="21">
        <f>IF(AND(A865="",B865="",C865="",D865=""),"",IF(TRIM(C865)="",0,LEN(C865)-LEN(SUBSTITUTE(C865,",",""))+1))</f>
        <v/>
      </c>
      <c r="F865" s="21">
        <f>IF(AND(A865="",B865="",C865="",D865=""),"",IF(TRIM(D865)="",0,LEN(D865)-LEN(SUBSTITUTE(D865,",",""))+1))</f>
        <v/>
      </c>
      <c r="G865" s="21">
        <f>IF(B865="","",IF(COUNTIF($B$6:B865,B865)&gt;1,"중복",""))</f>
        <v/>
      </c>
      <c r="H865" s="21">
        <f>IF(AND(A865="",B865="",C865="",D865=""),"",IF(AND(E865&lt;=3,F865&lt;=3,G865=""),1,0))</f>
        <v/>
      </c>
      <c r="I865" s="22">
        <f>IF(H865=0,IF(G865="중복","제외: 같은 이메일 중복 응답","제외: 3개 넘게 선택"),"")</f>
        <v/>
      </c>
    </row>
    <row r="866">
      <c r="A866" s="15" t="n"/>
      <c r="B866" s="15" t="n"/>
      <c r="C866" s="16" t="n"/>
      <c r="D866" s="16" t="n"/>
      <c r="E866" s="21">
        <f>IF(AND(A866="",B866="",C866="",D866=""),"",IF(TRIM(C866)="",0,LEN(C866)-LEN(SUBSTITUTE(C866,",",""))+1))</f>
        <v/>
      </c>
      <c r="F866" s="21">
        <f>IF(AND(A866="",B866="",C866="",D866=""),"",IF(TRIM(D866)="",0,LEN(D866)-LEN(SUBSTITUTE(D866,",",""))+1))</f>
        <v/>
      </c>
      <c r="G866" s="21">
        <f>IF(B866="","",IF(COUNTIF($B$6:B866,B866)&gt;1,"중복",""))</f>
        <v/>
      </c>
      <c r="H866" s="21">
        <f>IF(AND(A866="",B866="",C866="",D866=""),"",IF(AND(E866&lt;=3,F866&lt;=3,G866=""),1,0))</f>
        <v/>
      </c>
      <c r="I866" s="22">
        <f>IF(H866=0,IF(G866="중복","제외: 같은 이메일 중복 응답","제외: 3개 넘게 선택"),"")</f>
        <v/>
      </c>
    </row>
    <row r="867">
      <c r="A867" s="15" t="n"/>
      <c r="B867" s="15" t="n"/>
      <c r="C867" s="16" t="n"/>
      <c r="D867" s="16" t="n"/>
      <c r="E867" s="21">
        <f>IF(AND(A867="",B867="",C867="",D867=""),"",IF(TRIM(C867)="",0,LEN(C867)-LEN(SUBSTITUTE(C867,",",""))+1))</f>
        <v/>
      </c>
      <c r="F867" s="21">
        <f>IF(AND(A867="",B867="",C867="",D867=""),"",IF(TRIM(D867)="",0,LEN(D867)-LEN(SUBSTITUTE(D867,",",""))+1))</f>
        <v/>
      </c>
      <c r="G867" s="21">
        <f>IF(B867="","",IF(COUNTIF($B$6:B867,B867)&gt;1,"중복",""))</f>
        <v/>
      </c>
      <c r="H867" s="21">
        <f>IF(AND(A867="",B867="",C867="",D867=""),"",IF(AND(E867&lt;=3,F867&lt;=3,G867=""),1,0))</f>
        <v/>
      </c>
      <c r="I867" s="22">
        <f>IF(H867=0,IF(G867="중복","제외: 같은 이메일 중복 응답","제외: 3개 넘게 선택"),"")</f>
        <v/>
      </c>
    </row>
    <row r="868">
      <c r="A868" s="15" t="n"/>
      <c r="B868" s="15" t="n"/>
      <c r="C868" s="16" t="n"/>
      <c r="D868" s="16" t="n"/>
      <c r="E868" s="21">
        <f>IF(AND(A868="",B868="",C868="",D868=""),"",IF(TRIM(C868)="",0,LEN(C868)-LEN(SUBSTITUTE(C868,",",""))+1))</f>
        <v/>
      </c>
      <c r="F868" s="21">
        <f>IF(AND(A868="",B868="",C868="",D868=""),"",IF(TRIM(D868)="",0,LEN(D868)-LEN(SUBSTITUTE(D868,",",""))+1))</f>
        <v/>
      </c>
      <c r="G868" s="21">
        <f>IF(B868="","",IF(COUNTIF($B$6:B868,B868)&gt;1,"중복",""))</f>
        <v/>
      </c>
      <c r="H868" s="21">
        <f>IF(AND(A868="",B868="",C868="",D868=""),"",IF(AND(E868&lt;=3,F868&lt;=3,G868=""),1,0))</f>
        <v/>
      </c>
      <c r="I868" s="22">
        <f>IF(H868=0,IF(G868="중복","제외: 같은 이메일 중복 응답","제외: 3개 넘게 선택"),"")</f>
        <v/>
      </c>
    </row>
    <row r="869">
      <c r="A869" s="15" t="n"/>
      <c r="B869" s="15" t="n"/>
      <c r="C869" s="16" t="n"/>
      <c r="D869" s="16" t="n"/>
      <c r="E869" s="21">
        <f>IF(AND(A869="",B869="",C869="",D869=""),"",IF(TRIM(C869)="",0,LEN(C869)-LEN(SUBSTITUTE(C869,",",""))+1))</f>
        <v/>
      </c>
      <c r="F869" s="21">
        <f>IF(AND(A869="",B869="",C869="",D869=""),"",IF(TRIM(D869)="",0,LEN(D869)-LEN(SUBSTITUTE(D869,",",""))+1))</f>
        <v/>
      </c>
      <c r="G869" s="21">
        <f>IF(B869="","",IF(COUNTIF($B$6:B869,B869)&gt;1,"중복",""))</f>
        <v/>
      </c>
      <c r="H869" s="21">
        <f>IF(AND(A869="",B869="",C869="",D869=""),"",IF(AND(E869&lt;=3,F869&lt;=3,G869=""),1,0))</f>
        <v/>
      </c>
      <c r="I869" s="22">
        <f>IF(H869=0,IF(G869="중복","제외: 같은 이메일 중복 응답","제외: 3개 넘게 선택"),"")</f>
        <v/>
      </c>
    </row>
    <row r="870">
      <c r="A870" s="15" t="n"/>
      <c r="B870" s="15" t="n"/>
      <c r="C870" s="16" t="n"/>
      <c r="D870" s="16" t="n"/>
      <c r="E870" s="21">
        <f>IF(AND(A870="",B870="",C870="",D870=""),"",IF(TRIM(C870)="",0,LEN(C870)-LEN(SUBSTITUTE(C870,",",""))+1))</f>
        <v/>
      </c>
      <c r="F870" s="21">
        <f>IF(AND(A870="",B870="",C870="",D870=""),"",IF(TRIM(D870)="",0,LEN(D870)-LEN(SUBSTITUTE(D870,",",""))+1))</f>
        <v/>
      </c>
      <c r="G870" s="21">
        <f>IF(B870="","",IF(COUNTIF($B$6:B870,B870)&gt;1,"중복",""))</f>
        <v/>
      </c>
      <c r="H870" s="21">
        <f>IF(AND(A870="",B870="",C870="",D870=""),"",IF(AND(E870&lt;=3,F870&lt;=3,G870=""),1,0))</f>
        <v/>
      </c>
      <c r="I870" s="22">
        <f>IF(H870=0,IF(G870="중복","제외: 같은 이메일 중복 응답","제외: 3개 넘게 선택"),"")</f>
        <v/>
      </c>
    </row>
    <row r="871">
      <c r="A871" s="15" t="n"/>
      <c r="B871" s="15" t="n"/>
      <c r="C871" s="16" t="n"/>
      <c r="D871" s="16" t="n"/>
      <c r="E871" s="21">
        <f>IF(AND(A871="",B871="",C871="",D871=""),"",IF(TRIM(C871)="",0,LEN(C871)-LEN(SUBSTITUTE(C871,",",""))+1))</f>
        <v/>
      </c>
      <c r="F871" s="21">
        <f>IF(AND(A871="",B871="",C871="",D871=""),"",IF(TRIM(D871)="",0,LEN(D871)-LEN(SUBSTITUTE(D871,",",""))+1))</f>
        <v/>
      </c>
      <c r="G871" s="21">
        <f>IF(B871="","",IF(COUNTIF($B$6:B871,B871)&gt;1,"중복",""))</f>
        <v/>
      </c>
      <c r="H871" s="21">
        <f>IF(AND(A871="",B871="",C871="",D871=""),"",IF(AND(E871&lt;=3,F871&lt;=3,G871=""),1,0))</f>
        <v/>
      </c>
      <c r="I871" s="22">
        <f>IF(H871=0,IF(G871="중복","제외: 같은 이메일 중복 응답","제외: 3개 넘게 선택"),"")</f>
        <v/>
      </c>
    </row>
    <row r="872">
      <c r="A872" s="15" t="n"/>
      <c r="B872" s="15" t="n"/>
      <c r="C872" s="16" t="n"/>
      <c r="D872" s="16" t="n"/>
      <c r="E872" s="21">
        <f>IF(AND(A872="",B872="",C872="",D872=""),"",IF(TRIM(C872)="",0,LEN(C872)-LEN(SUBSTITUTE(C872,",",""))+1))</f>
        <v/>
      </c>
      <c r="F872" s="21">
        <f>IF(AND(A872="",B872="",C872="",D872=""),"",IF(TRIM(D872)="",0,LEN(D872)-LEN(SUBSTITUTE(D872,",",""))+1))</f>
        <v/>
      </c>
      <c r="G872" s="21">
        <f>IF(B872="","",IF(COUNTIF($B$6:B872,B872)&gt;1,"중복",""))</f>
        <v/>
      </c>
      <c r="H872" s="21">
        <f>IF(AND(A872="",B872="",C872="",D872=""),"",IF(AND(E872&lt;=3,F872&lt;=3,G872=""),1,0))</f>
        <v/>
      </c>
      <c r="I872" s="22">
        <f>IF(H872=0,IF(G872="중복","제외: 같은 이메일 중복 응답","제외: 3개 넘게 선택"),"")</f>
        <v/>
      </c>
    </row>
    <row r="873">
      <c r="A873" s="15" t="n"/>
      <c r="B873" s="15" t="n"/>
      <c r="C873" s="16" t="n"/>
      <c r="D873" s="16" t="n"/>
      <c r="E873" s="21">
        <f>IF(AND(A873="",B873="",C873="",D873=""),"",IF(TRIM(C873)="",0,LEN(C873)-LEN(SUBSTITUTE(C873,",",""))+1))</f>
        <v/>
      </c>
      <c r="F873" s="21">
        <f>IF(AND(A873="",B873="",C873="",D873=""),"",IF(TRIM(D873)="",0,LEN(D873)-LEN(SUBSTITUTE(D873,",",""))+1))</f>
        <v/>
      </c>
      <c r="G873" s="21">
        <f>IF(B873="","",IF(COUNTIF($B$6:B873,B873)&gt;1,"중복",""))</f>
        <v/>
      </c>
      <c r="H873" s="21">
        <f>IF(AND(A873="",B873="",C873="",D873=""),"",IF(AND(E873&lt;=3,F873&lt;=3,G873=""),1,0))</f>
        <v/>
      </c>
      <c r="I873" s="22">
        <f>IF(H873=0,IF(G873="중복","제외: 같은 이메일 중복 응답","제외: 3개 넘게 선택"),"")</f>
        <v/>
      </c>
    </row>
    <row r="874">
      <c r="A874" s="15" t="n"/>
      <c r="B874" s="15" t="n"/>
      <c r="C874" s="16" t="n"/>
      <c r="D874" s="16" t="n"/>
      <c r="E874" s="21">
        <f>IF(AND(A874="",B874="",C874="",D874=""),"",IF(TRIM(C874)="",0,LEN(C874)-LEN(SUBSTITUTE(C874,",",""))+1))</f>
        <v/>
      </c>
      <c r="F874" s="21">
        <f>IF(AND(A874="",B874="",C874="",D874=""),"",IF(TRIM(D874)="",0,LEN(D874)-LEN(SUBSTITUTE(D874,",",""))+1))</f>
        <v/>
      </c>
      <c r="G874" s="21">
        <f>IF(B874="","",IF(COUNTIF($B$6:B874,B874)&gt;1,"중복",""))</f>
        <v/>
      </c>
      <c r="H874" s="21">
        <f>IF(AND(A874="",B874="",C874="",D874=""),"",IF(AND(E874&lt;=3,F874&lt;=3,G874=""),1,0))</f>
        <v/>
      </c>
      <c r="I874" s="22">
        <f>IF(H874=0,IF(G874="중복","제외: 같은 이메일 중복 응답","제외: 3개 넘게 선택"),"")</f>
        <v/>
      </c>
    </row>
    <row r="875">
      <c r="A875" s="15" t="n"/>
      <c r="B875" s="15" t="n"/>
      <c r="C875" s="16" t="n"/>
      <c r="D875" s="16" t="n"/>
      <c r="E875" s="21">
        <f>IF(AND(A875="",B875="",C875="",D875=""),"",IF(TRIM(C875)="",0,LEN(C875)-LEN(SUBSTITUTE(C875,",",""))+1))</f>
        <v/>
      </c>
      <c r="F875" s="21">
        <f>IF(AND(A875="",B875="",C875="",D875=""),"",IF(TRIM(D875)="",0,LEN(D875)-LEN(SUBSTITUTE(D875,",",""))+1))</f>
        <v/>
      </c>
      <c r="G875" s="21">
        <f>IF(B875="","",IF(COUNTIF($B$6:B875,B875)&gt;1,"중복",""))</f>
        <v/>
      </c>
      <c r="H875" s="21">
        <f>IF(AND(A875="",B875="",C875="",D875=""),"",IF(AND(E875&lt;=3,F875&lt;=3,G875=""),1,0))</f>
        <v/>
      </c>
      <c r="I875" s="22">
        <f>IF(H875=0,IF(G875="중복","제외: 같은 이메일 중복 응답","제외: 3개 넘게 선택"),"")</f>
        <v/>
      </c>
    </row>
    <row r="876">
      <c r="A876" s="15" t="n"/>
      <c r="B876" s="15" t="n"/>
      <c r="C876" s="16" t="n"/>
      <c r="D876" s="16" t="n"/>
      <c r="E876" s="21">
        <f>IF(AND(A876="",B876="",C876="",D876=""),"",IF(TRIM(C876)="",0,LEN(C876)-LEN(SUBSTITUTE(C876,",",""))+1))</f>
        <v/>
      </c>
      <c r="F876" s="21">
        <f>IF(AND(A876="",B876="",C876="",D876=""),"",IF(TRIM(D876)="",0,LEN(D876)-LEN(SUBSTITUTE(D876,",",""))+1))</f>
        <v/>
      </c>
      <c r="G876" s="21">
        <f>IF(B876="","",IF(COUNTIF($B$6:B876,B876)&gt;1,"중복",""))</f>
        <v/>
      </c>
      <c r="H876" s="21">
        <f>IF(AND(A876="",B876="",C876="",D876=""),"",IF(AND(E876&lt;=3,F876&lt;=3,G876=""),1,0))</f>
        <v/>
      </c>
      <c r="I876" s="22">
        <f>IF(H876=0,IF(G876="중복","제외: 같은 이메일 중복 응답","제외: 3개 넘게 선택"),"")</f>
        <v/>
      </c>
    </row>
    <row r="877">
      <c r="A877" s="15" t="n"/>
      <c r="B877" s="15" t="n"/>
      <c r="C877" s="16" t="n"/>
      <c r="D877" s="16" t="n"/>
      <c r="E877" s="21">
        <f>IF(AND(A877="",B877="",C877="",D877=""),"",IF(TRIM(C877)="",0,LEN(C877)-LEN(SUBSTITUTE(C877,",",""))+1))</f>
        <v/>
      </c>
      <c r="F877" s="21">
        <f>IF(AND(A877="",B877="",C877="",D877=""),"",IF(TRIM(D877)="",0,LEN(D877)-LEN(SUBSTITUTE(D877,",",""))+1))</f>
        <v/>
      </c>
      <c r="G877" s="21">
        <f>IF(B877="","",IF(COUNTIF($B$6:B877,B877)&gt;1,"중복",""))</f>
        <v/>
      </c>
      <c r="H877" s="21">
        <f>IF(AND(A877="",B877="",C877="",D877=""),"",IF(AND(E877&lt;=3,F877&lt;=3,G877=""),1,0))</f>
        <v/>
      </c>
      <c r="I877" s="22">
        <f>IF(H877=0,IF(G877="중복","제외: 같은 이메일 중복 응답","제외: 3개 넘게 선택"),"")</f>
        <v/>
      </c>
    </row>
    <row r="878">
      <c r="A878" s="15" t="n"/>
      <c r="B878" s="15" t="n"/>
      <c r="C878" s="16" t="n"/>
      <c r="D878" s="16" t="n"/>
      <c r="E878" s="21">
        <f>IF(AND(A878="",B878="",C878="",D878=""),"",IF(TRIM(C878)="",0,LEN(C878)-LEN(SUBSTITUTE(C878,",",""))+1))</f>
        <v/>
      </c>
      <c r="F878" s="21">
        <f>IF(AND(A878="",B878="",C878="",D878=""),"",IF(TRIM(D878)="",0,LEN(D878)-LEN(SUBSTITUTE(D878,",",""))+1))</f>
        <v/>
      </c>
      <c r="G878" s="21">
        <f>IF(B878="","",IF(COUNTIF($B$6:B878,B878)&gt;1,"중복",""))</f>
        <v/>
      </c>
      <c r="H878" s="21">
        <f>IF(AND(A878="",B878="",C878="",D878=""),"",IF(AND(E878&lt;=3,F878&lt;=3,G878=""),1,0))</f>
        <v/>
      </c>
      <c r="I878" s="22">
        <f>IF(H878=0,IF(G878="중복","제외: 같은 이메일 중복 응답","제외: 3개 넘게 선택"),"")</f>
        <v/>
      </c>
    </row>
    <row r="879">
      <c r="A879" s="15" t="n"/>
      <c r="B879" s="15" t="n"/>
      <c r="C879" s="16" t="n"/>
      <c r="D879" s="16" t="n"/>
      <c r="E879" s="21">
        <f>IF(AND(A879="",B879="",C879="",D879=""),"",IF(TRIM(C879)="",0,LEN(C879)-LEN(SUBSTITUTE(C879,",",""))+1))</f>
        <v/>
      </c>
      <c r="F879" s="21">
        <f>IF(AND(A879="",B879="",C879="",D879=""),"",IF(TRIM(D879)="",0,LEN(D879)-LEN(SUBSTITUTE(D879,",",""))+1))</f>
        <v/>
      </c>
      <c r="G879" s="21">
        <f>IF(B879="","",IF(COUNTIF($B$6:B879,B879)&gt;1,"중복",""))</f>
        <v/>
      </c>
      <c r="H879" s="21">
        <f>IF(AND(A879="",B879="",C879="",D879=""),"",IF(AND(E879&lt;=3,F879&lt;=3,G879=""),1,0))</f>
        <v/>
      </c>
      <c r="I879" s="22">
        <f>IF(H879=0,IF(G879="중복","제외: 같은 이메일 중복 응답","제외: 3개 넘게 선택"),"")</f>
        <v/>
      </c>
    </row>
    <row r="880">
      <c r="A880" s="15" t="n"/>
      <c r="B880" s="15" t="n"/>
      <c r="C880" s="16" t="n"/>
      <c r="D880" s="16" t="n"/>
      <c r="E880" s="21">
        <f>IF(AND(A880="",B880="",C880="",D880=""),"",IF(TRIM(C880)="",0,LEN(C880)-LEN(SUBSTITUTE(C880,",",""))+1))</f>
        <v/>
      </c>
      <c r="F880" s="21">
        <f>IF(AND(A880="",B880="",C880="",D880=""),"",IF(TRIM(D880)="",0,LEN(D880)-LEN(SUBSTITUTE(D880,",",""))+1))</f>
        <v/>
      </c>
      <c r="G880" s="21">
        <f>IF(B880="","",IF(COUNTIF($B$6:B880,B880)&gt;1,"중복",""))</f>
        <v/>
      </c>
      <c r="H880" s="21">
        <f>IF(AND(A880="",B880="",C880="",D880=""),"",IF(AND(E880&lt;=3,F880&lt;=3,G880=""),1,0))</f>
        <v/>
      </c>
      <c r="I880" s="22">
        <f>IF(H880=0,IF(G880="중복","제외: 같은 이메일 중복 응답","제외: 3개 넘게 선택"),"")</f>
        <v/>
      </c>
    </row>
    <row r="881">
      <c r="A881" s="15" t="n"/>
      <c r="B881" s="15" t="n"/>
      <c r="C881" s="16" t="n"/>
      <c r="D881" s="16" t="n"/>
      <c r="E881" s="21">
        <f>IF(AND(A881="",B881="",C881="",D881=""),"",IF(TRIM(C881)="",0,LEN(C881)-LEN(SUBSTITUTE(C881,",",""))+1))</f>
        <v/>
      </c>
      <c r="F881" s="21">
        <f>IF(AND(A881="",B881="",C881="",D881=""),"",IF(TRIM(D881)="",0,LEN(D881)-LEN(SUBSTITUTE(D881,",",""))+1))</f>
        <v/>
      </c>
      <c r="G881" s="21">
        <f>IF(B881="","",IF(COUNTIF($B$6:B881,B881)&gt;1,"중복",""))</f>
        <v/>
      </c>
      <c r="H881" s="21">
        <f>IF(AND(A881="",B881="",C881="",D881=""),"",IF(AND(E881&lt;=3,F881&lt;=3,G881=""),1,0))</f>
        <v/>
      </c>
      <c r="I881" s="22">
        <f>IF(H881=0,IF(G881="중복","제외: 같은 이메일 중복 응답","제외: 3개 넘게 선택"),"")</f>
        <v/>
      </c>
    </row>
    <row r="882">
      <c r="A882" s="15" t="n"/>
      <c r="B882" s="15" t="n"/>
      <c r="C882" s="16" t="n"/>
      <c r="D882" s="16" t="n"/>
      <c r="E882" s="21">
        <f>IF(AND(A882="",B882="",C882="",D882=""),"",IF(TRIM(C882)="",0,LEN(C882)-LEN(SUBSTITUTE(C882,",",""))+1))</f>
        <v/>
      </c>
      <c r="F882" s="21">
        <f>IF(AND(A882="",B882="",C882="",D882=""),"",IF(TRIM(D882)="",0,LEN(D882)-LEN(SUBSTITUTE(D882,",",""))+1))</f>
        <v/>
      </c>
      <c r="G882" s="21">
        <f>IF(B882="","",IF(COUNTIF($B$6:B882,B882)&gt;1,"중복",""))</f>
        <v/>
      </c>
      <c r="H882" s="21">
        <f>IF(AND(A882="",B882="",C882="",D882=""),"",IF(AND(E882&lt;=3,F882&lt;=3,G882=""),1,0))</f>
        <v/>
      </c>
      <c r="I882" s="22">
        <f>IF(H882=0,IF(G882="중복","제외: 같은 이메일 중복 응답","제외: 3개 넘게 선택"),"")</f>
        <v/>
      </c>
    </row>
    <row r="883">
      <c r="A883" s="15" t="n"/>
      <c r="B883" s="15" t="n"/>
      <c r="C883" s="16" t="n"/>
      <c r="D883" s="16" t="n"/>
      <c r="E883" s="21">
        <f>IF(AND(A883="",B883="",C883="",D883=""),"",IF(TRIM(C883)="",0,LEN(C883)-LEN(SUBSTITUTE(C883,",",""))+1))</f>
        <v/>
      </c>
      <c r="F883" s="21">
        <f>IF(AND(A883="",B883="",C883="",D883=""),"",IF(TRIM(D883)="",0,LEN(D883)-LEN(SUBSTITUTE(D883,",",""))+1))</f>
        <v/>
      </c>
      <c r="G883" s="21">
        <f>IF(B883="","",IF(COUNTIF($B$6:B883,B883)&gt;1,"중복",""))</f>
        <v/>
      </c>
      <c r="H883" s="21">
        <f>IF(AND(A883="",B883="",C883="",D883=""),"",IF(AND(E883&lt;=3,F883&lt;=3,G883=""),1,0))</f>
        <v/>
      </c>
      <c r="I883" s="22">
        <f>IF(H883=0,IF(G883="중복","제외: 같은 이메일 중복 응답","제외: 3개 넘게 선택"),"")</f>
        <v/>
      </c>
    </row>
    <row r="884">
      <c r="A884" s="15" t="n"/>
      <c r="B884" s="15" t="n"/>
      <c r="C884" s="16" t="n"/>
      <c r="D884" s="16" t="n"/>
      <c r="E884" s="21">
        <f>IF(AND(A884="",B884="",C884="",D884=""),"",IF(TRIM(C884)="",0,LEN(C884)-LEN(SUBSTITUTE(C884,",",""))+1))</f>
        <v/>
      </c>
      <c r="F884" s="21">
        <f>IF(AND(A884="",B884="",C884="",D884=""),"",IF(TRIM(D884)="",0,LEN(D884)-LEN(SUBSTITUTE(D884,",",""))+1))</f>
        <v/>
      </c>
      <c r="G884" s="21">
        <f>IF(B884="","",IF(COUNTIF($B$6:B884,B884)&gt;1,"중복",""))</f>
        <v/>
      </c>
      <c r="H884" s="21">
        <f>IF(AND(A884="",B884="",C884="",D884=""),"",IF(AND(E884&lt;=3,F884&lt;=3,G884=""),1,0))</f>
        <v/>
      </c>
      <c r="I884" s="22">
        <f>IF(H884=0,IF(G884="중복","제외: 같은 이메일 중복 응답","제외: 3개 넘게 선택"),"")</f>
        <v/>
      </c>
    </row>
    <row r="885">
      <c r="A885" s="15" t="n"/>
      <c r="B885" s="15" t="n"/>
      <c r="C885" s="16" t="n"/>
      <c r="D885" s="16" t="n"/>
      <c r="E885" s="21">
        <f>IF(AND(A885="",B885="",C885="",D885=""),"",IF(TRIM(C885)="",0,LEN(C885)-LEN(SUBSTITUTE(C885,",",""))+1))</f>
        <v/>
      </c>
      <c r="F885" s="21">
        <f>IF(AND(A885="",B885="",C885="",D885=""),"",IF(TRIM(D885)="",0,LEN(D885)-LEN(SUBSTITUTE(D885,",",""))+1))</f>
        <v/>
      </c>
      <c r="G885" s="21">
        <f>IF(B885="","",IF(COUNTIF($B$6:B885,B885)&gt;1,"중복",""))</f>
        <v/>
      </c>
      <c r="H885" s="21">
        <f>IF(AND(A885="",B885="",C885="",D885=""),"",IF(AND(E885&lt;=3,F885&lt;=3,G885=""),1,0))</f>
        <v/>
      </c>
      <c r="I885" s="22">
        <f>IF(H885=0,IF(G885="중복","제외: 같은 이메일 중복 응답","제외: 3개 넘게 선택"),"")</f>
        <v/>
      </c>
    </row>
    <row r="886">
      <c r="A886" s="15" t="n"/>
      <c r="B886" s="15" t="n"/>
      <c r="C886" s="16" t="n"/>
      <c r="D886" s="16" t="n"/>
      <c r="E886" s="21">
        <f>IF(AND(A886="",B886="",C886="",D886=""),"",IF(TRIM(C886)="",0,LEN(C886)-LEN(SUBSTITUTE(C886,",",""))+1))</f>
        <v/>
      </c>
      <c r="F886" s="21">
        <f>IF(AND(A886="",B886="",C886="",D886=""),"",IF(TRIM(D886)="",0,LEN(D886)-LEN(SUBSTITUTE(D886,",",""))+1))</f>
        <v/>
      </c>
      <c r="G886" s="21">
        <f>IF(B886="","",IF(COUNTIF($B$6:B886,B886)&gt;1,"중복",""))</f>
        <v/>
      </c>
      <c r="H886" s="21">
        <f>IF(AND(A886="",B886="",C886="",D886=""),"",IF(AND(E886&lt;=3,F886&lt;=3,G886=""),1,0))</f>
        <v/>
      </c>
      <c r="I886" s="22">
        <f>IF(H886=0,IF(G886="중복","제외: 같은 이메일 중복 응답","제외: 3개 넘게 선택"),"")</f>
        <v/>
      </c>
    </row>
    <row r="887">
      <c r="A887" s="15" t="n"/>
      <c r="B887" s="15" t="n"/>
      <c r="C887" s="16" t="n"/>
      <c r="D887" s="16" t="n"/>
      <c r="E887" s="21">
        <f>IF(AND(A887="",B887="",C887="",D887=""),"",IF(TRIM(C887)="",0,LEN(C887)-LEN(SUBSTITUTE(C887,",",""))+1))</f>
        <v/>
      </c>
      <c r="F887" s="21">
        <f>IF(AND(A887="",B887="",C887="",D887=""),"",IF(TRIM(D887)="",0,LEN(D887)-LEN(SUBSTITUTE(D887,",",""))+1))</f>
        <v/>
      </c>
      <c r="G887" s="21">
        <f>IF(B887="","",IF(COUNTIF($B$6:B887,B887)&gt;1,"중복",""))</f>
        <v/>
      </c>
      <c r="H887" s="21">
        <f>IF(AND(A887="",B887="",C887="",D887=""),"",IF(AND(E887&lt;=3,F887&lt;=3,G887=""),1,0))</f>
        <v/>
      </c>
      <c r="I887" s="22">
        <f>IF(H887=0,IF(G887="중복","제외: 같은 이메일 중복 응답","제외: 3개 넘게 선택"),"")</f>
        <v/>
      </c>
    </row>
    <row r="888">
      <c r="A888" s="15" t="n"/>
      <c r="B888" s="15" t="n"/>
      <c r="C888" s="16" t="n"/>
      <c r="D888" s="16" t="n"/>
      <c r="E888" s="21">
        <f>IF(AND(A888="",B888="",C888="",D888=""),"",IF(TRIM(C888)="",0,LEN(C888)-LEN(SUBSTITUTE(C888,",",""))+1))</f>
        <v/>
      </c>
      <c r="F888" s="21">
        <f>IF(AND(A888="",B888="",C888="",D888=""),"",IF(TRIM(D888)="",0,LEN(D888)-LEN(SUBSTITUTE(D888,",",""))+1))</f>
        <v/>
      </c>
      <c r="G888" s="21">
        <f>IF(B888="","",IF(COUNTIF($B$6:B888,B888)&gt;1,"중복",""))</f>
        <v/>
      </c>
      <c r="H888" s="21">
        <f>IF(AND(A888="",B888="",C888="",D888=""),"",IF(AND(E888&lt;=3,F888&lt;=3,G888=""),1,0))</f>
        <v/>
      </c>
      <c r="I888" s="22">
        <f>IF(H888=0,IF(G888="중복","제외: 같은 이메일 중복 응답","제외: 3개 넘게 선택"),"")</f>
        <v/>
      </c>
    </row>
    <row r="889">
      <c r="A889" s="15" t="n"/>
      <c r="B889" s="15" t="n"/>
      <c r="C889" s="16" t="n"/>
      <c r="D889" s="16" t="n"/>
      <c r="E889" s="21">
        <f>IF(AND(A889="",B889="",C889="",D889=""),"",IF(TRIM(C889)="",0,LEN(C889)-LEN(SUBSTITUTE(C889,",",""))+1))</f>
        <v/>
      </c>
      <c r="F889" s="21">
        <f>IF(AND(A889="",B889="",C889="",D889=""),"",IF(TRIM(D889)="",0,LEN(D889)-LEN(SUBSTITUTE(D889,",",""))+1))</f>
        <v/>
      </c>
      <c r="G889" s="21">
        <f>IF(B889="","",IF(COUNTIF($B$6:B889,B889)&gt;1,"중복",""))</f>
        <v/>
      </c>
      <c r="H889" s="21">
        <f>IF(AND(A889="",B889="",C889="",D889=""),"",IF(AND(E889&lt;=3,F889&lt;=3,G889=""),1,0))</f>
        <v/>
      </c>
      <c r="I889" s="22">
        <f>IF(H889=0,IF(G889="중복","제외: 같은 이메일 중복 응답","제외: 3개 넘게 선택"),"")</f>
        <v/>
      </c>
    </row>
    <row r="890">
      <c r="A890" s="15" t="n"/>
      <c r="B890" s="15" t="n"/>
      <c r="C890" s="16" t="n"/>
      <c r="D890" s="16" t="n"/>
      <c r="E890" s="21">
        <f>IF(AND(A890="",B890="",C890="",D890=""),"",IF(TRIM(C890)="",0,LEN(C890)-LEN(SUBSTITUTE(C890,",",""))+1))</f>
        <v/>
      </c>
      <c r="F890" s="21">
        <f>IF(AND(A890="",B890="",C890="",D890=""),"",IF(TRIM(D890)="",0,LEN(D890)-LEN(SUBSTITUTE(D890,",",""))+1))</f>
        <v/>
      </c>
      <c r="G890" s="21">
        <f>IF(B890="","",IF(COUNTIF($B$6:B890,B890)&gt;1,"중복",""))</f>
        <v/>
      </c>
      <c r="H890" s="21">
        <f>IF(AND(A890="",B890="",C890="",D890=""),"",IF(AND(E890&lt;=3,F890&lt;=3,G890=""),1,0))</f>
        <v/>
      </c>
      <c r="I890" s="22">
        <f>IF(H890=0,IF(G890="중복","제외: 같은 이메일 중복 응답","제외: 3개 넘게 선택"),"")</f>
        <v/>
      </c>
    </row>
    <row r="891">
      <c r="A891" s="15" t="n"/>
      <c r="B891" s="15" t="n"/>
      <c r="C891" s="16" t="n"/>
      <c r="D891" s="16" t="n"/>
      <c r="E891" s="21">
        <f>IF(AND(A891="",B891="",C891="",D891=""),"",IF(TRIM(C891)="",0,LEN(C891)-LEN(SUBSTITUTE(C891,",",""))+1))</f>
        <v/>
      </c>
      <c r="F891" s="21">
        <f>IF(AND(A891="",B891="",C891="",D891=""),"",IF(TRIM(D891)="",0,LEN(D891)-LEN(SUBSTITUTE(D891,",",""))+1))</f>
        <v/>
      </c>
      <c r="G891" s="21">
        <f>IF(B891="","",IF(COUNTIF($B$6:B891,B891)&gt;1,"중복",""))</f>
        <v/>
      </c>
      <c r="H891" s="21">
        <f>IF(AND(A891="",B891="",C891="",D891=""),"",IF(AND(E891&lt;=3,F891&lt;=3,G891=""),1,0))</f>
        <v/>
      </c>
      <c r="I891" s="22">
        <f>IF(H891=0,IF(G891="중복","제외: 같은 이메일 중복 응답","제외: 3개 넘게 선택"),"")</f>
        <v/>
      </c>
    </row>
    <row r="892">
      <c r="A892" s="15" t="n"/>
      <c r="B892" s="15" t="n"/>
      <c r="C892" s="16" t="n"/>
      <c r="D892" s="16" t="n"/>
      <c r="E892" s="21">
        <f>IF(AND(A892="",B892="",C892="",D892=""),"",IF(TRIM(C892)="",0,LEN(C892)-LEN(SUBSTITUTE(C892,",",""))+1))</f>
        <v/>
      </c>
      <c r="F892" s="21">
        <f>IF(AND(A892="",B892="",C892="",D892=""),"",IF(TRIM(D892)="",0,LEN(D892)-LEN(SUBSTITUTE(D892,",",""))+1))</f>
        <v/>
      </c>
      <c r="G892" s="21">
        <f>IF(B892="","",IF(COUNTIF($B$6:B892,B892)&gt;1,"중복",""))</f>
        <v/>
      </c>
      <c r="H892" s="21">
        <f>IF(AND(A892="",B892="",C892="",D892=""),"",IF(AND(E892&lt;=3,F892&lt;=3,G892=""),1,0))</f>
        <v/>
      </c>
      <c r="I892" s="22">
        <f>IF(H892=0,IF(G892="중복","제외: 같은 이메일 중복 응답","제외: 3개 넘게 선택"),"")</f>
        <v/>
      </c>
    </row>
    <row r="893">
      <c r="A893" s="15" t="n"/>
      <c r="B893" s="15" t="n"/>
      <c r="C893" s="16" t="n"/>
      <c r="D893" s="16" t="n"/>
      <c r="E893" s="21">
        <f>IF(AND(A893="",B893="",C893="",D893=""),"",IF(TRIM(C893)="",0,LEN(C893)-LEN(SUBSTITUTE(C893,",",""))+1))</f>
        <v/>
      </c>
      <c r="F893" s="21">
        <f>IF(AND(A893="",B893="",C893="",D893=""),"",IF(TRIM(D893)="",0,LEN(D893)-LEN(SUBSTITUTE(D893,",",""))+1))</f>
        <v/>
      </c>
      <c r="G893" s="21">
        <f>IF(B893="","",IF(COUNTIF($B$6:B893,B893)&gt;1,"중복",""))</f>
        <v/>
      </c>
      <c r="H893" s="21">
        <f>IF(AND(A893="",B893="",C893="",D893=""),"",IF(AND(E893&lt;=3,F893&lt;=3,G893=""),1,0))</f>
        <v/>
      </c>
      <c r="I893" s="22">
        <f>IF(H893=0,IF(G893="중복","제외: 같은 이메일 중복 응답","제외: 3개 넘게 선택"),"")</f>
        <v/>
      </c>
    </row>
    <row r="894">
      <c r="A894" s="15" t="n"/>
      <c r="B894" s="15" t="n"/>
      <c r="C894" s="16" t="n"/>
      <c r="D894" s="16" t="n"/>
      <c r="E894" s="21">
        <f>IF(AND(A894="",B894="",C894="",D894=""),"",IF(TRIM(C894)="",0,LEN(C894)-LEN(SUBSTITUTE(C894,",",""))+1))</f>
        <v/>
      </c>
      <c r="F894" s="21">
        <f>IF(AND(A894="",B894="",C894="",D894=""),"",IF(TRIM(D894)="",0,LEN(D894)-LEN(SUBSTITUTE(D894,",",""))+1))</f>
        <v/>
      </c>
      <c r="G894" s="21">
        <f>IF(B894="","",IF(COUNTIF($B$6:B894,B894)&gt;1,"중복",""))</f>
        <v/>
      </c>
      <c r="H894" s="21">
        <f>IF(AND(A894="",B894="",C894="",D894=""),"",IF(AND(E894&lt;=3,F894&lt;=3,G894=""),1,0))</f>
        <v/>
      </c>
      <c r="I894" s="22">
        <f>IF(H894=0,IF(G894="중복","제외: 같은 이메일 중복 응답","제외: 3개 넘게 선택"),"")</f>
        <v/>
      </c>
    </row>
    <row r="895">
      <c r="A895" s="15" t="n"/>
      <c r="B895" s="15" t="n"/>
      <c r="C895" s="16" t="n"/>
      <c r="D895" s="16" t="n"/>
      <c r="E895" s="21">
        <f>IF(AND(A895="",B895="",C895="",D895=""),"",IF(TRIM(C895)="",0,LEN(C895)-LEN(SUBSTITUTE(C895,",",""))+1))</f>
        <v/>
      </c>
      <c r="F895" s="21">
        <f>IF(AND(A895="",B895="",C895="",D895=""),"",IF(TRIM(D895)="",0,LEN(D895)-LEN(SUBSTITUTE(D895,",",""))+1))</f>
        <v/>
      </c>
      <c r="G895" s="21">
        <f>IF(B895="","",IF(COUNTIF($B$6:B895,B895)&gt;1,"중복",""))</f>
        <v/>
      </c>
      <c r="H895" s="21">
        <f>IF(AND(A895="",B895="",C895="",D895=""),"",IF(AND(E895&lt;=3,F895&lt;=3,G895=""),1,0))</f>
        <v/>
      </c>
      <c r="I895" s="22">
        <f>IF(H895=0,IF(G895="중복","제외: 같은 이메일 중복 응답","제외: 3개 넘게 선택"),"")</f>
        <v/>
      </c>
    </row>
    <row r="896">
      <c r="A896" s="15" t="n"/>
      <c r="B896" s="15" t="n"/>
      <c r="C896" s="16" t="n"/>
      <c r="D896" s="16" t="n"/>
      <c r="E896" s="21">
        <f>IF(AND(A896="",B896="",C896="",D896=""),"",IF(TRIM(C896)="",0,LEN(C896)-LEN(SUBSTITUTE(C896,",",""))+1))</f>
        <v/>
      </c>
      <c r="F896" s="21">
        <f>IF(AND(A896="",B896="",C896="",D896=""),"",IF(TRIM(D896)="",0,LEN(D896)-LEN(SUBSTITUTE(D896,",",""))+1))</f>
        <v/>
      </c>
      <c r="G896" s="21">
        <f>IF(B896="","",IF(COUNTIF($B$6:B896,B896)&gt;1,"중복",""))</f>
        <v/>
      </c>
      <c r="H896" s="21">
        <f>IF(AND(A896="",B896="",C896="",D896=""),"",IF(AND(E896&lt;=3,F896&lt;=3,G896=""),1,0))</f>
        <v/>
      </c>
      <c r="I896" s="22">
        <f>IF(H896=0,IF(G896="중복","제외: 같은 이메일 중복 응답","제외: 3개 넘게 선택"),"")</f>
        <v/>
      </c>
    </row>
    <row r="897">
      <c r="A897" s="15" t="n"/>
      <c r="B897" s="15" t="n"/>
      <c r="C897" s="16" t="n"/>
      <c r="D897" s="16" t="n"/>
      <c r="E897" s="21">
        <f>IF(AND(A897="",B897="",C897="",D897=""),"",IF(TRIM(C897)="",0,LEN(C897)-LEN(SUBSTITUTE(C897,",",""))+1))</f>
        <v/>
      </c>
      <c r="F897" s="21">
        <f>IF(AND(A897="",B897="",C897="",D897=""),"",IF(TRIM(D897)="",0,LEN(D897)-LEN(SUBSTITUTE(D897,",",""))+1))</f>
        <v/>
      </c>
      <c r="G897" s="21">
        <f>IF(B897="","",IF(COUNTIF($B$6:B897,B897)&gt;1,"중복",""))</f>
        <v/>
      </c>
      <c r="H897" s="21">
        <f>IF(AND(A897="",B897="",C897="",D897=""),"",IF(AND(E897&lt;=3,F897&lt;=3,G897=""),1,0))</f>
        <v/>
      </c>
      <c r="I897" s="22">
        <f>IF(H897=0,IF(G897="중복","제외: 같은 이메일 중복 응답","제외: 3개 넘게 선택"),"")</f>
        <v/>
      </c>
    </row>
    <row r="898">
      <c r="A898" s="15" t="n"/>
      <c r="B898" s="15" t="n"/>
      <c r="C898" s="16" t="n"/>
      <c r="D898" s="16" t="n"/>
      <c r="E898" s="21">
        <f>IF(AND(A898="",B898="",C898="",D898=""),"",IF(TRIM(C898)="",0,LEN(C898)-LEN(SUBSTITUTE(C898,",",""))+1))</f>
        <v/>
      </c>
      <c r="F898" s="21">
        <f>IF(AND(A898="",B898="",C898="",D898=""),"",IF(TRIM(D898)="",0,LEN(D898)-LEN(SUBSTITUTE(D898,",",""))+1))</f>
        <v/>
      </c>
      <c r="G898" s="21">
        <f>IF(B898="","",IF(COUNTIF($B$6:B898,B898)&gt;1,"중복",""))</f>
        <v/>
      </c>
      <c r="H898" s="21">
        <f>IF(AND(A898="",B898="",C898="",D898=""),"",IF(AND(E898&lt;=3,F898&lt;=3,G898=""),1,0))</f>
        <v/>
      </c>
      <c r="I898" s="22">
        <f>IF(H898=0,IF(G898="중복","제외: 같은 이메일 중복 응답","제외: 3개 넘게 선택"),"")</f>
        <v/>
      </c>
    </row>
    <row r="899">
      <c r="A899" s="15" t="n"/>
      <c r="B899" s="15" t="n"/>
      <c r="C899" s="16" t="n"/>
      <c r="D899" s="16" t="n"/>
      <c r="E899" s="21">
        <f>IF(AND(A899="",B899="",C899="",D899=""),"",IF(TRIM(C899)="",0,LEN(C899)-LEN(SUBSTITUTE(C899,",",""))+1))</f>
        <v/>
      </c>
      <c r="F899" s="21">
        <f>IF(AND(A899="",B899="",C899="",D899=""),"",IF(TRIM(D899)="",0,LEN(D899)-LEN(SUBSTITUTE(D899,",",""))+1))</f>
        <v/>
      </c>
      <c r="G899" s="21">
        <f>IF(B899="","",IF(COUNTIF($B$6:B899,B899)&gt;1,"중복",""))</f>
        <v/>
      </c>
      <c r="H899" s="21">
        <f>IF(AND(A899="",B899="",C899="",D899=""),"",IF(AND(E899&lt;=3,F899&lt;=3,G899=""),1,0))</f>
        <v/>
      </c>
      <c r="I899" s="22">
        <f>IF(H899=0,IF(G899="중복","제외: 같은 이메일 중복 응답","제외: 3개 넘게 선택"),"")</f>
        <v/>
      </c>
    </row>
    <row r="900">
      <c r="A900" s="15" t="n"/>
      <c r="B900" s="15" t="n"/>
      <c r="C900" s="16" t="n"/>
      <c r="D900" s="16" t="n"/>
      <c r="E900" s="21">
        <f>IF(AND(A900="",B900="",C900="",D900=""),"",IF(TRIM(C900)="",0,LEN(C900)-LEN(SUBSTITUTE(C900,",",""))+1))</f>
        <v/>
      </c>
      <c r="F900" s="21">
        <f>IF(AND(A900="",B900="",C900="",D900=""),"",IF(TRIM(D900)="",0,LEN(D900)-LEN(SUBSTITUTE(D900,",",""))+1))</f>
        <v/>
      </c>
      <c r="G900" s="21">
        <f>IF(B900="","",IF(COUNTIF($B$6:B900,B900)&gt;1,"중복",""))</f>
        <v/>
      </c>
      <c r="H900" s="21">
        <f>IF(AND(A900="",B900="",C900="",D900=""),"",IF(AND(E900&lt;=3,F900&lt;=3,G900=""),1,0))</f>
        <v/>
      </c>
      <c r="I900" s="22">
        <f>IF(H900=0,IF(G900="중복","제외: 같은 이메일 중복 응답","제외: 3개 넘게 선택"),"")</f>
        <v/>
      </c>
    </row>
    <row r="901">
      <c r="A901" s="15" t="n"/>
      <c r="B901" s="15" t="n"/>
      <c r="C901" s="16" t="n"/>
      <c r="D901" s="16" t="n"/>
      <c r="E901" s="21">
        <f>IF(AND(A901="",B901="",C901="",D901=""),"",IF(TRIM(C901)="",0,LEN(C901)-LEN(SUBSTITUTE(C901,",",""))+1))</f>
        <v/>
      </c>
      <c r="F901" s="21">
        <f>IF(AND(A901="",B901="",C901="",D901=""),"",IF(TRIM(D901)="",0,LEN(D901)-LEN(SUBSTITUTE(D901,",",""))+1))</f>
        <v/>
      </c>
      <c r="G901" s="21">
        <f>IF(B901="","",IF(COUNTIF($B$6:B901,B901)&gt;1,"중복",""))</f>
        <v/>
      </c>
      <c r="H901" s="21">
        <f>IF(AND(A901="",B901="",C901="",D901=""),"",IF(AND(E901&lt;=3,F901&lt;=3,G901=""),1,0))</f>
        <v/>
      </c>
      <c r="I901" s="22">
        <f>IF(H901=0,IF(G901="중복","제외: 같은 이메일 중복 응답","제외: 3개 넘게 선택"),"")</f>
        <v/>
      </c>
    </row>
    <row r="902">
      <c r="A902" s="15" t="n"/>
      <c r="B902" s="15" t="n"/>
      <c r="C902" s="16" t="n"/>
      <c r="D902" s="16" t="n"/>
      <c r="E902" s="21">
        <f>IF(AND(A902="",B902="",C902="",D902=""),"",IF(TRIM(C902)="",0,LEN(C902)-LEN(SUBSTITUTE(C902,",",""))+1))</f>
        <v/>
      </c>
      <c r="F902" s="21">
        <f>IF(AND(A902="",B902="",C902="",D902=""),"",IF(TRIM(D902)="",0,LEN(D902)-LEN(SUBSTITUTE(D902,",",""))+1))</f>
        <v/>
      </c>
      <c r="G902" s="21">
        <f>IF(B902="","",IF(COUNTIF($B$6:B902,B902)&gt;1,"중복",""))</f>
        <v/>
      </c>
      <c r="H902" s="21">
        <f>IF(AND(A902="",B902="",C902="",D902=""),"",IF(AND(E902&lt;=3,F902&lt;=3,G902=""),1,0))</f>
        <v/>
      </c>
      <c r="I902" s="22">
        <f>IF(H902=0,IF(G902="중복","제외: 같은 이메일 중복 응답","제외: 3개 넘게 선택"),"")</f>
        <v/>
      </c>
    </row>
    <row r="903">
      <c r="A903" s="15" t="n"/>
      <c r="B903" s="15" t="n"/>
      <c r="C903" s="16" t="n"/>
      <c r="D903" s="16" t="n"/>
      <c r="E903" s="21">
        <f>IF(AND(A903="",B903="",C903="",D903=""),"",IF(TRIM(C903)="",0,LEN(C903)-LEN(SUBSTITUTE(C903,",",""))+1))</f>
        <v/>
      </c>
      <c r="F903" s="21">
        <f>IF(AND(A903="",B903="",C903="",D903=""),"",IF(TRIM(D903)="",0,LEN(D903)-LEN(SUBSTITUTE(D903,",",""))+1))</f>
        <v/>
      </c>
      <c r="G903" s="21">
        <f>IF(B903="","",IF(COUNTIF($B$6:B903,B903)&gt;1,"중복",""))</f>
        <v/>
      </c>
      <c r="H903" s="21">
        <f>IF(AND(A903="",B903="",C903="",D903=""),"",IF(AND(E903&lt;=3,F903&lt;=3,G903=""),1,0))</f>
        <v/>
      </c>
      <c r="I903" s="22">
        <f>IF(H903=0,IF(G903="중복","제외: 같은 이메일 중복 응답","제외: 3개 넘게 선택"),"")</f>
        <v/>
      </c>
    </row>
    <row r="904">
      <c r="A904" s="15" t="n"/>
      <c r="B904" s="15" t="n"/>
      <c r="C904" s="16" t="n"/>
      <c r="D904" s="16" t="n"/>
      <c r="E904" s="21">
        <f>IF(AND(A904="",B904="",C904="",D904=""),"",IF(TRIM(C904)="",0,LEN(C904)-LEN(SUBSTITUTE(C904,",",""))+1))</f>
        <v/>
      </c>
      <c r="F904" s="21">
        <f>IF(AND(A904="",B904="",C904="",D904=""),"",IF(TRIM(D904)="",0,LEN(D904)-LEN(SUBSTITUTE(D904,",",""))+1))</f>
        <v/>
      </c>
      <c r="G904" s="21">
        <f>IF(B904="","",IF(COUNTIF($B$6:B904,B904)&gt;1,"중복",""))</f>
        <v/>
      </c>
      <c r="H904" s="21">
        <f>IF(AND(A904="",B904="",C904="",D904=""),"",IF(AND(E904&lt;=3,F904&lt;=3,G904=""),1,0))</f>
        <v/>
      </c>
      <c r="I904" s="22">
        <f>IF(H904=0,IF(G904="중복","제외: 같은 이메일 중복 응답","제외: 3개 넘게 선택"),"")</f>
        <v/>
      </c>
    </row>
    <row r="905">
      <c r="A905" s="15" t="n"/>
      <c r="B905" s="15" t="n"/>
      <c r="C905" s="16" t="n"/>
      <c r="D905" s="16" t="n"/>
      <c r="E905" s="21">
        <f>IF(AND(A905="",B905="",C905="",D905=""),"",IF(TRIM(C905)="",0,LEN(C905)-LEN(SUBSTITUTE(C905,",",""))+1))</f>
        <v/>
      </c>
      <c r="F905" s="21">
        <f>IF(AND(A905="",B905="",C905="",D905=""),"",IF(TRIM(D905)="",0,LEN(D905)-LEN(SUBSTITUTE(D905,",",""))+1))</f>
        <v/>
      </c>
      <c r="G905" s="21">
        <f>IF(B905="","",IF(COUNTIF($B$6:B905,B905)&gt;1,"중복",""))</f>
        <v/>
      </c>
      <c r="H905" s="21">
        <f>IF(AND(A905="",B905="",C905="",D905=""),"",IF(AND(E905&lt;=3,F905&lt;=3,G905=""),1,0))</f>
        <v/>
      </c>
      <c r="I905" s="22">
        <f>IF(H905=0,IF(G905="중복","제외: 같은 이메일 중복 응답","제외: 3개 넘게 선택"),"")</f>
        <v/>
      </c>
    </row>
    <row r="906">
      <c r="A906" s="15" t="n"/>
      <c r="B906" s="15" t="n"/>
      <c r="C906" s="16" t="n"/>
      <c r="D906" s="16" t="n"/>
      <c r="E906" s="21">
        <f>IF(AND(A906="",B906="",C906="",D906=""),"",IF(TRIM(C906)="",0,LEN(C906)-LEN(SUBSTITUTE(C906,",",""))+1))</f>
        <v/>
      </c>
      <c r="F906" s="21">
        <f>IF(AND(A906="",B906="",C906="",D906=""),"",IF(TRIM(D906)="",0,LEN(D906)-LEN(SUBSTITUTE(D906,",",""))+1))</f>
        <v/>
      </c>
      <c r="G906" s="21">
        <f>IF(B906="","",IF(COUNTIF($B$6:B906,B906)&gt;1,"중복",""))</f>
        <v/>
      </c>
      <c r="H906" s="21">
        <f>IF(AND(A906="",B906="",C906="",D906=""),"",IF(AND(E906&lt;=3,F906&lt;=3,G906=""),1,0))</f>
        <v/>
      </c>
      <c r="I906" s="22">
        <f>IF(H906=0,IF(G906="중복","제외: 같은 이메일 중복 응답","제외: 3개 넘게 선택"),"")</f>
        <v/>
      </c>
    </row>
    <row r="907">
      <c r="A907" s="15" t="n"/>
      <c r="B907" s="15" t="n"/>
      <c r="C907" s="16" t="n"/>
      <c r="D907" s="16" t="n"/>
      <c r="E907" s="21">
        <f>IF(AND(A907="",B907="",C907="",D907=""),"",IF(TRIM(C907)="",0,LEN(C907)-LEN(SUBSTITUTE(C907,",",""))+1))</f>
        <v/>
      </c>
      <c r="F907" s="21">
        <f>IF(AND(A907="",B907="",C907="",D907=""),"",IF(TRIM(D907)="",0,LEN(D907)-LEN(SUBSTITUTE(D907,",",""))+1))</f>
        <v/>
      </c>
      <c r="G907" s="21">
        <f>IF(B907="","",IF(COUNTIF($B$6:B907,B907)&gt;1,"중복",""))</f>
        <v/>
      </c>
      <c r="H907" s="21">
        <f>IF(AND(A907="",B907="",C907="",D907=""),"",IF(AND(E907&lt;=3,F907&lt;=3,G907=""),1,0))</f>
        <v/>
      </c>
      <c r="I907" s="22">
        <f>IF(H907=0,IF(G907="중복","제외: 같은 이메일 중복 응답","제외: 3개 넘게 선택"),"")</f>
        <v/>
      </c>
    </row>
    <row r="908">
      <c r="A908" s="15" t="n"/>
      <c r="B908" s="15" t="n"/>
      <c r="C908" s="16" t="n"/>
      <c r="D908" s="16" t="n"/>
      <c r="E908" s="21">
        <f>IF(AND(A908="",B908="",C908="",D908=""),"",IF(TRIM(C908)="",0,LEN(C908)-LEN(SUBSTITUTE(C908,",",""))+1))</f>
        <v/>
      </c>
      <c r="F908" s="21">
        <f>IF(AND(A908="",B908="",C908="",D908=""),"",IF(TRIM(D908)="",0,LEN(D908)-LEN(SUBSTITUTE(D908,",",""))+1))</f>
        <v/>
      </c>
      <c r="G908" s="21">
        <f>IF(B908="","",IF(COUNTIF($B$6:B908,B908)&gt;1,"중복",""))</f>
        <v/>
      </c>
      <c r="H908" s="21">
        <f>IF(AND(A908="",B908="",C908="",D908=""),"",IF(AND(E908&lt;=3,F908&lt;=3,G908=""),1,0))</f>
        <v/>
      </c>
      <c r="I908" s="22">
        <f>IF(H908=0,IF(G908="중복","제외: 같은 이메일 중복 응답","제외: 3개 넘게 선택"),"")</f>
        <v/>
      </c>
    </row>
    <row r="909">
      <c r="A909" s="15" t="n"/>
      <c r="B909" s="15" t="n"/>
      <c r="C909" s="16" t="n"/>
      <c r="D909" s="16" t="n"/>
      <c r="E909" s="21">
        <f>IF(AND(A909="",B909="",C909="",D909=""),"",IF(TRIM(C909)="",0,LEN(C909)-LEN(SUBSTITUTE(C909,",",""))+1))</f>
        <v/>
      </c>
      <c r="F909" s="21">
        <f>IF(AND(A909="",B909="",C909="",D909=""),"",IF(TRIM(D909)="",0,LEN(D909)-LEN(SUBSTITUTE(D909,",",""))+1))</f>
        <v/>
      </c>
      <c r="G909" s="21">
        <f>IF(B909="","",IF(COUNTIF($B$6:B909,B909)&gt;1,"중복",""))</f>
        <v/>
      </c>
      <c r="H909" s="21">
        <f>IF(AND(A909="",B909="",C909="",D909=""),"",IF(AND(E909&lt;=3,F909&lt;=3,G909=""),1,0))</f>
        <v/>
      </c>
      <c r="I909" s="22">
        <f>IF(H909=0,IF(G909="중복","제외: 같은 이메일 중복 응답","제외: 3개 넘게 선택"),"")</f>
        <v/>
      </c>
    </row>
    <row r="910">
      <c r="A910" s="15" t="n"/>
      <c r="B910" s="15" t="n"/>
      <c r="C910" s="16" t="n"/>
      <c r="D910" s="16" t="n"/>
      <c r="E910" s="21">
        <f>IF(AND(A910="",B910="",C910="",D910=""),"",IF(TRIM(C910)="",0,LEN(C910)-LEN(SUBSTITUTE(C910,",",""))+1))</f>
        <v/>
      </c>
      <c r="F910" s="21">
        <f>IF(AND(A910="",B910="",C910="",D910=""),"",IF(TRIM(D910)="",0,LEN(D910)-LEN(SUBSTITUTE(D910,",",""))+1))</f>
        <v/>
      </c>
      <c r="G910" s="21">
        <f>IF(B910="","",IF(COUNTIF($B$6:B910,B910)&gt;1,"중복",""))</f>
        <v/>
      </c>
      <c r="H910" s="21">
        <f>IF(AND(A910="",B910="",C910="",D910=""),"",IF(AND(E910&lt;=3,F910&lt;=3,G910=""),1,0))</f>
        <v/>
      </c>
      <c r="I910" s="22">
        <f>IF(H910=0,IF(G910="중복","제외: 같은 이메일 중복 응답","제외: 3개 넘게 선택"),"")</f>
        <v/>
      </c>
    </row>
    <row r="911">
      <c r="A911" s="15" t="n"/>
      <c r="B911" s="15" t="n"/>
      <c r="C911" s="16" t="n"/>
      <c r="D911" s="16" t="n"/>
      <c r="E911" s="21">
        <f>IF(AND(A911="",B911="",C911="",D911=""),"",IF(TRIM(C911)="",0,LEN(C911)-LEN(SUBSTITUTE(C911,",",""))+1))</f>
        <v/>
      </c>
      <c r="F911" s="21">
        <f>IF(AND(A911="",B911="",C911="",D911=""),"",IF(TRIM(D911)="",0,LEN(D911)-LEN(SUBSTITUTE(D911,",",""))+1))</f>
        <v/>
      </c>
      <c r="G911" s="21">
        <f>IF(B911="","",IF(COUNTIF($B$6:B911,B911)&gt;1,"중복",""))</f>
        <v/>
      </c>
      <c r="H911" s="21">
        <f>IF(AND(A911="",B911="",C911="",D911=""),"",IF(AND(E911&lt;=3,F911&lt;=3,G911=""),1,0))</f>
        <v/>
      </c>
      <c r="I911" s="22">
        <f>IF(H911=0,IF(G911="중복","제외: 같은 이메일 중복 응답","제외: 3개 넘게 선택"),"")</f>
        <v/>
      </c>
    </row>
    <row r="912">
      <c r="A912" s="15" t="n"/>
      <c r="B912" s="15" t="n"/>
      <c r="C912" s="16" t="n"/>
      <c r="D912" s="16" t="n"/>
      <c r="E912" s="21">
        <f>IF(AND(A912="",B912="",C912="",D912=""),"",IF(TRIM(C912)="",0,LEN(C912)-LEN(SUBSTITUTE(C912,",",""))+1))</f>
        <v/>
      </c>
      <c r="F912" s="21">
        <f>IF(AND(A912="",B912="",C912="",D912=""),"",IF(TRIM(D912)="",0,LEN(D912)-LEN(SUBSTITUTE(D912,",",""))+1))</f>
        <v/>
      </c>
      <c r="G912" s="21">
        <f>IF(B912="","",IF(COUNTIF($B$6:B912,B912)&gt;1,"중복",""))</f>
        <v/>
      </c>
      <c r="H912" s="21">
        <f>IF(AND(A912="",B912="",C912="",D912=""),"",IF(AND(E912&lt;=3,F912&lt;=3,G912=""),1,0))</f>
        <v/>
      </c>
      <c r="I912" s="22">
        <f>IF(H912=0,IF(G912="중복","제외: 같은 이메일 중복 응답","제외: 3개 넘게 선택"),"")</f>
        <v/>
      </c>
    </row>
    <row r="913">
      <c r="A913" s="15" t="n"/>
      <c r="B913" s="15" t="n"/>
      <c r="C913" s="16" t="n"/>
      <c r="D913" s="16" t="n"/>
      <c r="E913" s="21">
        <f>IF(AND(A913="",B913="",C913="",D913=""),"",IF(TRIM(C913)="",0,LEN(C913)-LEN(SUBSTITUTE(C913,",",""))+1))</f>
        <v/>
      </c>
      <c r="F913" s="21">
        <f>IF(AND(A913="",B913="",C913="",D913=""),"",IF(TRIM(D913)="",0,LEN(D913)-LEN(SUBSTITUTE(D913,",",""))+1))</f>
        <v/>
      </c>
      <c r="G913" s="21">
        <f>IF(B913="","",IF(COUNTIF($B$6:B913,B913)&gt;1,"중복",""))</f>
        <v/>
      </c>
      <c r="H913" s="21">
        <f>IF(AND(A913="",B913="",C913="",D913=""),"",IF(AND(E913&lt;=3,F913&lt;=3,G913=""),1,0))</f>
        <v/>
      </c>
      <c r="I913" s="22">
        <f>IF(H913=0,IF(G913="중복","제외: 같은 이메일 중복 응답","제외: 3개 넘게 선택"),"")</f>
        <v/>
      </c>
    </row>
    <row r="914">
      <c r="A914" s="15" t="n"/>
      <c r="B914" s="15" t="n"/>
      <c r="C914" s="16" t="n"/>
      <c r="D914" s="16" t="n"/>
      <c r="E914" s="21">
        <f>IF(AND(A914="",B914="",C914="",D914=""),"",IF(TRIM(C914)="",0,LEN(C914)-LEN(SUBSTITUTE(C914,",",""))+1))</f>
        <v/>
      </c>
      <c r="F914" s="21">
        <f>IF(AND(A914="",B914="",C914="",D914=""),"",IF(TRIM(D914)="",0,LEN(D914)-LEN(SUBSTITUTE(D914,",",""))+1))</f>
        <v/>
      </c>
      <c r="G914" s="21">
        <f>IF(B914="","",IF(COUNTIF($B$6:B914,B914)&gt;1,"중복",""))</f>
        <v/>
      </c>
      <c r="H914" s="21">
        <f>IF(AND(A914="",B914="",C914="",D914=""),"",IF(AND(E914&lt;=3,F914&lt;=3,G914=""),1,0))</f>
        <v/>
      </c>
      <c r="I914" s="22">
        <f>IF(H914=0,IF(G914="중복","제외: 같은 이메일 중복 응답","제외: 3개 넘게 선택"),"")</f>
        <v/>
      </c>
    </row>
    <row r="915">
      <c r="A915" s="15" t="n"/>
      <c r="B915" s="15" t="n"/>
      <c r="C915" s="16" t="n"/>
      <c r="D915" s="16" t="n"/>
      <c r="E915" s="21">
        <f>IF(AND(A915="",B915="",C915="",D915=""),"",IF(TRIM(C915)="",0,LEN(C915)-LEN(SUBSTITUTE(C915,",",""))+1))</f>
        <v/>
      </c>
      <c r="F915" s="21">
        <f>IF(AND(A915="",B915="",C915="",D915=""),"",IF(TRIM(D915)="",0,LEN(D915)-LEN(SUBSTITUTE(D915,",",""))+1))</f>
        <v/>
      </c>
      <c r="G915" s="21">
        <f>IF(B915="","",IF(COUNTIF($B$6:B915,B915)&gt;1,"중복",""))</f>
        <v/>
      </c>
      <c r="H915" s="21">
        <f>IF(AND(A915="",B915="",C915="",D915=""),"",IF(AND(E915&lt;=3,F915&lt;=3,G915=""),1,0))</f>
        <v/>
      </c>
      <c r="I915" s="22">
        <f>IF(H915=0,IF(G915="중복","제외: 같은 이메일 중복 응답","제외: 3개 넘게 선택"),"")</f>
        <v/>
      </c>
    </row>
    <row r="916">
      <c r="A916" s="15" t="n"/>
      <c r="B916" s="15" t="n"/>
      <c r="C916" s="16" t="n"/>
      <c r="D916" s="16" t="n"/>
      <c r="E916" s="21">
        <f>IF(AND(A916="",B916="",C916="",D916=""),"",IF(TRIM(C916)="",0,LEN(C916)-LEN(SUBSTITUTE(C916,",",""))+1))</f>
        <v/>
      </c>
      <c r="F916" s="21">
        <f>IF(AND(A916="",B916="",C916="",D916=""),"",IF(TRIM(D916)="",0,LEN(D916)-LEN(SUBSTITUTE(D916,",",""))+1))</f>
        <v/>
      </c>
      <c r="G916" s="21">
        <f>IF(B916="","",IF(COUNTIF($B$6:B916,B916)&gt;1,"중복",""))</f>
        <v/>
      </c>
      <c r="H916" s="21">
        <f>IF(AND(A916="",B916="",C916="",D916=""),"",IF(AND(E916&lt;=3,F916&lt;=3,G916=""),1,0))</f>
        <v/>
      </c>
      <c r="I916" s="22">
        <f>IF(H916=0,IF(G916="중복","제외: 같은 이메일 중복 응답","제외: 3개 넘게 선택"),"")</f>
        <v/>
      </c>
    </row>
    <row r="917">
      <c r="A917" s="15" t="n"/>
      <c r="B917" s="15" t="n"/>
      <c r="C917" s="16" t="n"/>
      <c r="D917" s="16" t="n"/>
      <c r="E917" s="21">
        <f>IF(AND(A917="",B917="",C917="",D917=""),"",IF(TRIM(C917)="",0,LEN(C917)-LEN(SUBSTITUTE(C917,",",""))+1))</f>
        <v/>
      </c>
      <c r="F917" s="21">
        <f>IF(AND(A917="",B917="",C917="",D917=""),"",IF(TRIM(D917)="",0,LEN(D917)-LEN(SUBSTITUTE(D917,",",""))+1))</f>
        <v/>
      </c>
      <c r="G917" s="21">
        <f>IF(B917="","",IF(COUNTIF($B$6:B917,B917)&gt;1,"중복",""))</f>
        <v/>
      </c>
      <c r="H917" s="21">
        <f>IF(AND(A917="",B917="",C917="",D917=""),"",IF(AND(E917&lt;=3,F917&lt;=3,G917=""),1,0))</f>
        <v/>
      </c>
      <c r="I917" s="22">
        <f>IF(H917=0,IF(G917="중복","제외: 같은 이메일 중복 응답","제외: 3개 넘게 선택"),"")</f>
        <v/>
      </c>
    </row>
    <row r="918">
      <c r="A918" s="15" t="n"/>
      <c r="B918" s="15" t="n"/>
      <c r="C918" s="16" t="n"/>
      <c r="D918" s="16" t="n"/>
      <c r="E918" s="21">
        <f>IF(AND(A918="",B918="",C918="",D918=""),"",IF(TRIM(C918)="",0,LEN(C918)-LEN(SUBSTITUTE(C918,",",""))+1))</f>
        <v/>
      </c>
      <c r="F918" s="21">
        <f>IF(AND(A918="",B918="",C918="",D918=""),"",IF(TRIM(D918)="",0,LEN(D918)-LEN(SUBSTITUTE(D918,",",""))+1))</f>
        <v/>
      </c>
      <c r="G918" s="21">
        <f>IF(B918="","",IF(COUNTIF($B$6:B918,B918)&gt;1,"중복",""))</f>
        <v/>
      </c>
      <c r="H918" s="21">
        <f>IF(AND(A918="",B918="",C918="",D918=""),"",IF(AND(E918&lt;=3,F918&lt;=3,G918=""),1,0))</f>
        <v/>
      </c>
      <c r="I918" s="22">
        <f>IF(H918=0,IF(G918="중복","제외: 같은 이메일 중복 응답","제외: 3개 넘게 선택"),"")</f>
        <v/>
      </c>
    </row>
    <row r="919">
      <c r="A919" s="15" t="n"/>
      <c r="B919" s="15" t="n"/>
      <c r="C919" s="16" t="n"/>
      <c r="D919" s="16" t="n"/>
      <c r="E919" s="21">
        <f>IF(AND(A919="",B919="",C919="",D919=""),"",IF(TRIM(C919)="",0,LEN(C919)-LEN(SUBSTITUTE(C919,",",""))+1))</f>
        <v/>
      </c>
      <c r="F919" s="21">
        <f>IF(AND(A919="",B919="",C919="",D919=""),"",IF(TRIM(D919)="",0,LEN(D919)-LEN(SUBSTITUTE(D919,",",""))+1))</f>
        <v/>
      </c>
      <c r="G919" s="21">
        <f>IF(B919="","",IF(COUNTIF($B$6:B919,B919)&gt;1,"중복",""))</f>
        <v/>
      </c>
      <c r="H919" s="21">
        <f>IF(AND(A919="",B919="",C919="",D919=""),"",IF(AND(E919&lt;=3,F919&lt;=3,G919=""),1,0))</f>
        <v/>
      </c>
      <c r="I919" s="22">
        <f>IF(H919=0,IF(G919="중복","제외: 같은 이메일 중복 응답","제외: 3개 넘게 선택"),"")</f>
        <v/>
      </c>
    </row>
    <row r="920">
      <c r="A920" s="15" t="n"/>
      <c r="B920" s="15" t="n"/>
      <c r="C920" s="16" t="n"/>
      <c r="D920" s="16" t="n"/>
      <c r="E920" s="21">
        <f>IF(AND(A920="",B920="",C920="",D920=""),"",IF(TRIM(C920)="",0,LEN(C920)-LEN(SUBSTITUTE(C920,",",""))+1))</f>
        <v/>
      </c>
      <c r="F920" s="21">
        <f>IF(AND(A920="",B920="",C920="",D920=""),"",IF(TRIM(D920)="",0,LEN(D920)-LEN(SUBSTITUTE(D920,",",""))+1))</f>
        <v/>
      </c>
      <c r="G920" s="21">
        <f>IF(B920="","",IF(COUNTIF($B$6:B920,B920)&gt;1,"중복",""))</f>
        <v/>
      </c>
      <c r="H920" s="21">
        <f>IF(AND(A920="",B920="",C920="",D920=""),"",IF(AND(E920&lt;=3,F920&lt;=3,G920=""),1,0))</f>
        <v/>
      </c>
      <c r="I920" s="22">
        <f>IF(H920=0,IF(G920="중복","제외: 같은 이메일 중복 응답","제외: 3개 넘게 선택"),"")</f>
        <v/>
      </c>
    </row>
    <row r="921">
      <c r="A921" s="15" t="n"/>
      <c r="B921" s="15" t="n"/>
      <c r="C921" s="16" t="n"/>
      <c r="D921" s="16" t="n"/>
      <c r="E921" s="21">
        <f>IF(AND(A921="",B921="",C921="",D921=""),"",IF(TRIM(C921)="",0,LEN(C921)-LEN(SUBSTITUTE(C921,",",""))+1))</f>
        <v/>
      </c>
      <c r="F921" s="21">
        <f>IF(AND(A921="",B921="",C921="",D921=""),"",IF(TRIM(D921)="",0,LEN(D921)-LEN(SUBSTITUTE(D921,",",""))+1))</f>
        <v/>
      </c>
      <c r="G921" s="21">
        <f>IF(B921="","",IF(COUNTIF($B$6:B921,B921)&gt;1,"중복",""))</f>
        <v/>
      </c>
      <c r="H921" s="21">
        <f>IF(AND(A921="",B921="",C921="",D921=""),"",IF(AND(E921&lt;=3,F921&lt;=3,G921=""),1,0))</f>
        <v/>
      </c>
      <c r="I921" s="22">
        <f>IF(H921=0,IF(G921="중복","제외: 같은 이메일 중복 응답","제외: 3개 넘게 선택"),"")</f>
        <v/>
      </c>
    </row>
    <row r="922">
      <c r="A922" s="15" t="n"/>
      <c r="B922" s="15" t="n"/>
      <c r="C922" s="16" t="n"/>
      <c r="D922" s="16" t="n"/>
      <c r="E922" s="21">
        <f>IF(AND(A922="",B922="",C922="",D922=""),"",IF(TRIM(C922)="",0,LEN(C922)-LEN(SUBSTITUTE(C922,",",""))+1))</f>
        <v/>
      </c>
      <c r="F922" s="21">
        <f>IF(AND(A922="",B922="",C922="",D922=""),"",IF(TRIM(D922)="",0,LEN(D922)-LEN(SUBSTITUTE(D922,",",""))+1))</f>
        <v/>
      </c>
      <c r="G922" s="21">
        <f>IF(B922="","",IF(COUNTIF($B$6:B922,B922)&gt;1,"중복",""))</f>
        <v/>
      </c>
      <c r="H922" s="21">
        <f>IF(AND(A922="",B922="",C922="",D922=""),"",IF(AND(E922&lt;=3,F922&lt;=3,G922=""),1,0))</f>
        <v/>
      </c>
      <c r="I922" s="22">
        <f>IF(H922=0,IF(G922="중복","제외: 같은 이메일 중복 응답","제외: 3개 넘게 선택"),"")</f>
        <v/>
      </c>
    </row>
    <row r="923">
      <c r="A923" s="15" t="n"/>
      <c r="B923" s="15" t="n"/>
      <c r="C923" s="16" t="n"/>
      <c r="D923" s="16" t="n"/>
      <c r="E923" s="21">
        <f>IF(AND(A923="",B923="",C923="",D923=""),"",IF(TRIM(C923)="",0,LEN(C923)-LEN(SUBSTITUTE(C923,",",""))+1))</f>
        <v/>
      </c>
      <c r="F923" s="21">
        <f>IF(AND(A923="",B923="",C923="",D923=""),"",IF(TRIM(D923)="",0,LEN(D923)-LEN(SUBSTITUTE(D923,",",""))+1))</f>
        <v/>
      </c>
      <c r="G923" s="21">
        <f>IF(B923="","",IF(COUNTIF($B$6:B923,B923)&gt;1,"중복",""))</f>
        <v/>
      </c>
      <c r="H923" s="21">
        <f>IF(AND(A923="",B923="",C923="",D923=""),"",IF(AND(E923&lt;=3,F923&lt;=3,G923=""),1,0))</f>
        <v/>
      </c>
      <c r="I923" s="22">
        <f>IF(H923=0,IF(G923="중복","제외: 같은 이메일 중복 응답","제외: 3개 넘게 선택"),"")</f>
        <v/>
      </c>
    </row>
    <row r="924">
      <c r="A924" s="15" t="n"/>
      <c r="B924" s="15" t="n"/>
      <c r="C924" s="16" t="n"/>
      <c r="D924" s="16" t="n"/>
      <c r="E924" s="21">
        <f>IF(AND(A924="",B924="",C924="",D924=""),"",IF(TRIM(C924)="",0,LEN(C924)-LEN(SUBSTITUTE(C924,",",""))+1))</f>
        <v/>
      </c>
      <c r="F924" s="21">
        <f>IF(AND(A924="",B924="",C924="",D924=""),"",IF(TRIM(D924)="",0,LEN(D924)-LEN(SUBSTITUTE(D924,",",""))+1))</f>
        <v/>
      </c>
      <c r="G924" s="21">
        <f>IF(B924="","",IF(COUNTIF($B$6:B924,B924)&gt;1,"중복",""))</f>
        <v/>
      </c>
      <c r="H924" s="21">
        <f>IF(AND(A924="",B924="",C924="",D924=""),"",IF(AND(E924&lt;=3,F924&lt;=3,G924=""),1,0))</f>
        <v/>
      </c>
      <c r="I924" s="22">
        <f>IF(H924=0,IF(G924="중복","제외: 같은 이메일 중복 응답","제외: 3개 넘게 선택"),"")</f>
        <v/>
      </c>
    </row>
    <row r="925">
      <c r="A925" s="15" t="n"/>
      <c r="B925" s="15" t="n"/>
      <c r="C925" s="16" t="n"/>
      <c r="D925" s="16" t="n"/>
      <c r="E925" s="21">
        <f>IF(AND(A925="",B925="",C925="",D925=""),"",IF(TRIM(C925)="",0,LEN(C925)-LEN(SUBSTITUTE(C925,",",""))+1))</f>
        <v/>
      </c>
      <c r="F925" s="21">
        <f>IF(AND(A925="",B925="",C925="",D925=""),"",IF(TRIM(D925)="",0,LEN(D925)-LEN(SUBSTITUTE(D925,",",""))+1))</f>
        <v/>
      </c>
      <c r="G925" s="21">
        <f>IF(B925="","",IF(COUNTIF($B$6:B925,B925)&gt;1,"중복",""))</f>
        <v/>
      </c>
      <c r="H925" s="21">
        <f>IF(AND(A925="",B925="",C925="",D925=""),"",IF(AND(E925&lt;=3,F925&lt;=3,G925=""),1,0))</f>
        <v/>
      </c>
      <c r="I925" s="22">
        <f>IF(H925=0,IF(G925="중복","제외: 같은 이메일 중복 응답","제외: 3개 넘게 선택"),"")</f>
        <v/>
      </c>
    </row>
    <row r="926">
      <c r="A926" s="15" t="n"/>
      <c r="B926" s="15" t="n"/>
      <c r="C926" s="16" t="n"/>
      <c r="D926" s="16" t="n"/>
      <c r="E926" s="21">
        <f>IF(AND(A926="",B926="",C926="",D926=""),"",IF(TRIM(C926)="",0,LEN(C926)-LEN(SUBSTITUTE(C926,",",""))+1))</f>
        <v/>
      </c>
      <c r="F926" s="21">
        <f>IF(AND(A926="",B926="",C926="",D926=""),"",IF(TRIM(D926)="",0,LEN(D926)-LEN(SUBSTITUTE(D926,",",""))+1))</f>
        <v/>
      </c>
      <c r="G926" s="21">
        <f>IF(B926="","",IF(COUNTIF($B$6:B926,B926)&gt;1,"중복",""))</f>
        <v/>
      </c>
      <c r="H926" s="21">
        <f>IF(AND(A926="",B926="",C926="",D926=""),"",IF(AND(E926&lt;=3,F926&lt;=3,G926=""),1,0))</f>
        <v/>
      </c>
      <c r="I926" s="22">
        <f>IF(H926=0,IF(G926="중복","제외: 같은 이메일 중복 응답","제외: 3개 넘게 선택"),"")</f>
        <v/>
      </c>
    </row>
    <row r="927">
      <c r="A927" s="15" t="n"/>
      <c r="B927" s="15" t="n"/>
      <c r="C927" s="16" t="n"/>
      <c r="D927" s="16" t="n"/>
      <c r="E927" s="21">
        <f>IF(AND(A927="",B927="",C927="",D927=""),"",IF(TRIM(C927)="",0,LEN(C927)-LEN(SUBSTITUTE(C927,",",""))+1))</f>
        <v/>
      </c>
      <c r="F927" s="21">
        <f>IF(AND(A927="",B927="",C927="",D927=""),"",IF(TRIM(D927)="",0,LEN(D927)-LEN(SUBSTITUTE(D927,",",""))+1))</f>
        <v/>
      </c>
      <c r="G927" s="21">
        <f>IF(B927="","",IF(COUNTIF($B$6:B927,B927)&gt;1,"중복",""))</f>
        <v/>
      </c>
      <c r="H927" s="21">
        <f>IF(AND(A927="",B927="",C927="",D927=""),"",IF(AND(E927&lt;=3,F927&lt;=3,G927=""),1,0))</f>
        <v/>
      </c>
      <c r="I927" s="22">
        <f>IF(H927=0,IF(G927="중복","제외: 같은 이메일 중복 응답","제외: 3개 넘게 선택"),"")</f>
        <v/>
      </c>
    </row>
    <row r="928">
      <c r="A928" s="15" t="n"/>
      <c r="B928" s="15" t="n"/>
      <c r="C928" s="16" t="n"/>
      <c r="D928" s="16" t="n"/>
      <c r="E928" s="21">
        <f>IF(AND(A928="",B928="",C928="",D928=""),"",IF(TRIM(C928)="",0,LEN(C928)-LEN(SUBSTITUTE(C928,",",""))+1))</f>
        <v/>
      </c>
      <c r="F928" s="21">
        <f>IF(AND(A928="",B928="",C928="",D928=""),"",IF(TRIM(D928)="",0,LEN(D928)-LEN(SUBSTITUTE(D928,",",""))+1))</f>
        <v/>
      </c>
      <c r="G928" s="21">
        <f>IF(B928="","",IF(COUNTIF($B$6:B928,B928)&gt;1,"중복",""))</f>
        <v/>
      </c>
      <c r="H928" s="21">
        <f>IF(AND(A928="",B928="",C928="",D928=""),"",IF(AND(E928&lt;=3,F928&lt;=3,G928=""),1,0))</f>
        <v/>
      </c>
      <c r="I928" s="22">
        <f>IF(H928=0,IF(G928="중복","제외: 같은 이메일 중복 응답","제외: 3개 넘게 선택"),"")</f>
        <v/>
      </c>
    </row>
    <row r="929">
      <c r="A929" s="15" t="n"/>
      <c r="B929" s="15" t="n"/>
      <c r="C929" s="16" t="n"/>
      <c r="D929" s="16" t="n"/>
      <c r="E929" s="21">
        <f>IF(AND(A929="",B929="",C929="",D929=""),"",IF(TRIM(C929)="",0,LEN(C929)-LEN(SUBSTITUTE(C929,",",""))+1))</f>
        <v/>
      </c>
      <c r="F929" s="21">
        <f>IF(AND(A929="",B929="",C929="",D929=""),"",IF(TRIM(D929)="",0,LEN(D929)-LEN(SUBSTITUTE(D929,",",""))+1))</f>
        <v/>
      </c>
      <c r="G929" s="21">
        <f>IF(B929="","",IF(COUNTIF($B$6:B929,B929)&gt;1,"중복",""))</f>
        <v/>
      </c>
      <c r="H929" s="21">
        <f>IF(AND(A929="",B929="",C929="",D929=""),"",IF(AND(E929&lt;=3,F929&lt;=3,G929=""),1,0))</f>
        <v/>
      </c>
      <c r="I929" s="22">
        <f>IF(H929=0,IF(G929="중복","제외: 같은 이메일 중복 응답","제외: 3개 넘게 선택"),"")</f>
        <v/>
      </c>
    </row>
    <row r="930">
      <c r="A930" s="15" t="n"/>
      <c r="B930" s="15" t="n"/>
      <c r="C930" s="16" t="n"/>
      <c r="D930" s="16" t="n"/>
      <c r="E930" s="21">
        <f>IF(AND(A930="",B930="",C930="",D930=""),"",IF(TRIM(C930)="",0,LEN(C930)-LEN(SUBSTITUTE(C930,",",""))+1))</f>
        <v/>
      </c>
      <c r="F930" s="21">
        <f>IF(AND(A930="",B930="",C930="",D930=""),"",IF(TRIM(D930)="",0,LEN(D930)-LEN(SUBSTITUTE(D930,",",""))+1))</f>
        <v/>
      </c>
      <c r="G930" s="21">
        <f>IF(B930="","",IF(COUNTIF($B$6:B930,B930)&gt;1,"중복",""))</f>
        <v/>
      </c>
      <c r="H930" s="21">
        <f>IF(AND(A930="",B930="",C930="",D930=""),"",IF(AND(E930&lt;=3,F930&lt;=3,G930=""),1,0))</f>
        <v/>
      </c>
      <c r="I930" s="22">
        <f>IF(H930=0,IF(G930="중복","제외: 같은 이메일 중복 응답","제외: 3개 넘게 선택"),"")</f>
        <v/>
      </c>
    </row>
    <row r="931">
      <c r="A931" s="15" t="n"/>
      <c r="B931" s="15" t="n"/>
      <c r="C931" s="16" t="n"/>
      <c r="D931" s="16" t="n"/>
      <c r="E931" s="21">
        <f>IF(AND(A931="",B931="",C931="",D931=""),"",IF(TRIM(C931)="",0,LEN(C931)-LEN(SUBSTITUTE(C931,",",""))+1))</f>
        <v/>
      </c>
      <c r="F931" s="21">
        <f>IF(AND(A931="",B931="",C931="",D931=""),"",IF(TRIM(D931)="",0,LEN(D931)-LEN(SUBSTITUTE(D931,",",""))+1))</f>
        <v/>
      </c>
      <c r="G931" s="21">
        <f>IF(B931="","",IF(COUNTIF($B$6:B931,B931)&gt;1,"중복",""))</f>
        <v/>
      </c>
      <c r="H931" s="21">
        <f>IF(AND(A931="",B931="",C931="",D931=""),"",IF(AND(E931&lt;=3,F931&lt;=3,G931=""),1,0))</f>
        <v/>
      </c>
      <c r="I931" s="22">
        <f>IF(H931=0,IF(G931="중복","제외: 같은 이메일 중복 응답","제외: 3개 넘게 선택"),"")</f>
        <v/>
      </c>
    </row>
    <row r="932">
      <c r="A932" s="15" t="n"/>
      <c r="B932" s="15" t="n"/>
      <c r="C932" s="16" t="n"/>
      <c r="D932" s="16" t="n"/>
      <c r="E932" s="21">
        <f>IF(AND(A932="",B932="",C932="",D932=""),"",IF(TRIM(C932)="",0,LEN(C932)-LEN(SUBSTITUTE(C932,",",""))+1))</f>
        <v/>
      </c>
      <c r="F932" s="21">
        <f>IF(AND(A932="",B932="",C932="",D932=""),"",IF(TRIM(D932)="",0,LEN(D932)-LEN(SUBSTITUTE(D932,",",""))+1))</f>
        <v/>
      </c>
      <c r="G932" s="21">
        <f>IF(B932="","",IF(COUNTIF($B$6:B932,B932)&gt;1,"중복",""))</f>
        <v/>
      </c>
      <c r="H932" s="21">
        <f>IF(AND(A932="",B932="",C932="",D932=""),"",IF(AND(E932&lt;=3,F932&lt;=3,G932=""),1,0))</f>
        <v/>
      </c>
      <c r="I932" s="22">
        <f>IF(H932=0,IF(G932="중복","제외: 같은 이메일 중복 응답","제외: 3개 넘게 선택"),"")</f>
        <v/>
      </c>
    </row>
    <row r="933">
      <c r="A933" s="15" t="n"/>
      <c r="B933" s="15" t="n"/>
      <c r="C933" s="16" t="n"/>
      <c r="D933" s="16" t="n"/>
      <c r="E933" s="21">
        <f>IF(AND(A933="",B933="",C933="",D933=""),"",IF(TRIM(C933)="",0,LEN(C933)-LEN(SUBSTITUTE(C933,",",""))+1))</f>
        <v/>
      </c>
      <c r="F933" s="21">
        <f>IF(AND(A933="",B933="",C933="",D933=""),"",IF(TRIM(D933)="",0,LEN(D933)-LEN(SUBSTITUTE(D933,",",""))+1))</f>
        <v/>
      </c>
      <c r="G933" s="21">
        <f>IF(B933="","",IF(COUNTIF($B$6:B933,B933)&gt;1,"중복",""))</f>
        <v/>
      </c>
      <c r="H933" s="21">
        <f>IF(AND(A933="",B933="",C933="",D933=""),"",IF(AND(E933&lt;=3,F933&lt;=3,G933=""),1,0))</f>
        <v/>
      </c>
      <c r="I933" s="22">
        <f>IF(H933=0,IF(G933="중복","제외: 같은 이메일 중복 응답","제외: 3개 넘게 선택"),"")</f>
        <v/>
      </c>
    </row>
    <row r="934">
      <c r="A934" s="15" t="n"/>
      <c r="B934" s="15" t="n"/>
      <c r="C934" s="16" t="n"/>
      <c r="D934" s="16" t="n"/>
      <c r="E934" s="21">
        <f>IF(AND(A934="",B934="",C934="",D934=""),"",IF(TRIM(C934)="",0,LEN(C934)-LEN(SUBSTITUTE(C934,",",""))+1))</f>
        <v/>
      </c>
      <c r="F934" s="21">
        <f>IF(AND(A934="",B934="",C934="",D934=""),"",IF(TRIM(D934)="",0,LEN(D934)-LEN(SUBSTITUTE(D934,",",""))+1))</f>
        <v/>
      </c>
      <c r="G934" s="21">
        <f>IF(B934="","",IF(COUNTIF($B$6:B934,B934)&gt;1,"중복",""))</f>
        <v/>
      </c>
      <c r="H934" s="21">
        <f>IF(AND(A934="",B934="",C934="",D934=""),"",IF(AND(E934&lt;=3,F934&lt;=3,G934=""),1,0))</f>
        <v/>
      </c>
      <c r="I934" s="22">
        <f>IF(H934=0,IF(G934="중복","제외: 같은 이메일 중복 응답","제외: 3개 넘게 선택"),"")</f>
        <v/>
      </c>
    </row>
    <row r="935">
      <c r="A935" s="15" t="n"/>
      <c r="B935" s="15" t="n"/>
      <c r="C935" s="16" t="n"/>
      <c r="D935" s="16" t="n"/>
      <c r="E935" s="21">
        <f>IF(AND(A935="",B935="",C935="",D935=""),"",IF(TRIM(C935)="",0,LEN(C935)-LEN(SUBSTITUTE(C935,",",""))+1))</f>
        <v/>
      </c>
      <c r="F935" s="21">
        <f>IF(AND(A935="",B935="",C935="",D935=""),"",IF(TRIM(D935)="",0,LEN(D935)-LEN(SUBSTITUTE(D935,",",""))+1))</f>
        <v/>
      </c>
      <c r="G935" s="21">
        <f>IF(B935="","",IF(COUNTIF($B$6:B935,B935)&gt;1,"중복",""))</f>
        <v/>
      </c>
      <c r="H935" s="21">
        <f>IF(AND(A935="",B935="",C935="",D935=""),"",IF(AND(E935&lt;=3,F935&lt;=3,G935=""),1,0))</f>
        <v/>
      </c>
      <c r="I935" s="22">
        <f>IF(H935=0,IF(G935="중복","제외: 같은 이메일 중복 응답","제외: 3개 넘게 선택"),"")</f>
        <v/>
      </c>
    </row>
    <row r="936">
      <c r="A936" s="15" t="n"/>
      <c r="B936" s="15" t="n"/>
      <c r="C936" s="16" t="n"/>
      <c r="D936" s="16" t="n"/>
      <c r="E936" s="21">
        <f>IF(AND(A936="",B936="",C936="",D936=""),"",IF(TRIM(C936)="",0,LEN(C936)-LEN(SUBSTITUTE(C936,",",""))+1))</f>
        <v/>
      </c>
      <c r="F936" s="21">
        <f>IF(AND(A936="",B936="",C936="",D936=""),"",IF(TRIM(D936)="",0,LEN(D936)-LEN(SUBSTITUTE(D936,",",""))+1))</f>
        <v/>
      </c>
      <c r="G936" s="21">
        <f>IF(B936="","",IF(COUNTIF($B$6:B936,B936)&gt;1,"중복",""))</f>
        <v/>
      </c>
      <c r="H936" s="21">
        <f>IF(AND(A936="",B936="",C936="",D936=""),"",IF(AND(E936&lt;=3,F936&lt;=3,G936=""),1,0))</f>
        <v/>
      </c>
      <c r="I936" s="22">
        <f>IF(H936=0,IF(G936="중복","제외: 같은 이메일 중복 응답","제외: 3개 넘게 선택"),"")</f>
        <v/>
      </c>
    </row>
    <row r="937">
      <c r="A937" s="15" t="n"/>
      <c r="B937" s="15" t="n"/>
      <c r="C937" s="16" t="n"/>
      <c r="D937" s="16" t="n"/>
      <c r="E937" s="21">
        <f>IF(AND(A937="",B937="",C937="",D937=""),"",IF(TRIM(C937)="",0,LEN(C937)-LEN(SUBSTITUTE(C937,",",""))+1))</f>
        <v/>
      </c>
      <c r="F937" s="21">
        <f>IF(AND(A937="",B937="",C937="",D937=""),"",IF(TRIM(D937)="",0,LEN(D937)-LEN(SUBSTITUTE(D937,",",""))+1))</f>
        <v/>
      </c>
      <c r="G937" s="21">
        <f>IF(B937="","",IF(COUNTIF($B$6:B937,B937)&gt;1,"중복",""))</f>
        <v/>
      </c>
      <c r="H937" s="21">
        <f>IF(AND(A937="",B937="",C937="",D937=""),"",IF(AND(E937&lt;=3,F937&lt;=3,G937=""),1,0))</f>
        <v/>
      </c>
      <c r="I937" s="22">
        <f>IF(H937=0,IF(G937="중복","제외: 같은 이메일 중복 응답","제외: 3개 넘게 선택"),"")</f>
        <v/>
      </c>
    </row>
    <row r="938">
      <c r="A938" s="15" t="n"/>
      <c r="B938" s="15" t="n"/>
      <c r="C938" s="16" t="n"/>
      <c r="D938" s="16" t="n"/>
      <c r="E938" s="21">
        <f>IF(AND(A938="",B938="",C938="",D938=""),"",IF(TRIM(C938)="",0,LEN(C938)-LEN(SUBSTITUTE(C938,",",""))+1))</f>
        <v/>
      </c>
      <c r="F938" s="21">
        <f>IF(AND(A938="",B938="",C938="",D938=""),"",IF(TRIM(D938)="",0,LEN(D938)-LEN(SUBSTITUTE(D938,",",""))+1))</f>
        <v/>
      </c>
      <c r="G938" s="21">
        <f>IF(B938="","",IF(COUNTIF($B$6:B938,B938)&gt;1,"중복",""))</f>
        <v/>
      </c>
      <c r="H938" s="21">
        <f>IF(AND(A938="",B938="",C938="",D938=""),"",IF(AND(E938&lt;=3,F938&lt;=3,G938=""),1,0))</f>
        <v/>
      </c>
      <c r="I938" s="22">
        <f>IF(H938=0,IF(G938="중복","제외: 같은 이메일 중복 응답","제외: 3개 넘게 선택"),"")</f>
        <v/>
      </c>
    </row>
    <row r="939">
      <c r="A939" s="15" t="n"/>
      <c r="B939" s="15" t="n"/>
      <c r="C939" s="16" t="n"/>
      <c r="D939" s="16" t="n"/>
      <c r="E939" s="21">
        <f>IF(AND(A939="",B939="",C939="",D939=""),"",IF(TRIM(C939)="",0,LEN(C939)-LEN(SUBSTITUTE(C939,",",""))+1))</f>
        <v/>
      </c>
      <c r="F939" s="21">
        <f>IF(AND(A939="",B939="",C939="",D939=""),"",IF(TRIM(D939)="",0,LEN(D939)-LEN(SUBSTITUTE(D939,",",""))+1))</f>
        <v/>
      </c>
      <c r="G939" s="21">
        <f>IF(B939="","",IF(COUNTIF($B$6:B939,B939)&gt;1,"중복",""))</f>
        <v/>
      </c>
      <c r="H939" s="21">
        <f>IF(AND(A939="",B939="",C939="",D939=""),"",IF(AND(E939&lt;=3,F939&lt;=3,G939=""),1,0))</f>
        <v/>
      </c>
      <c r="I939" s="22">
        <f>IF(H939=0,IF(G939="중복","제외: 같은 이메일 중복 응답","제외: 3개 넘게 선택"),"")</f>
        <v/>
      </c>
    </row>
    <row r="940">
      <c r="A940" s="15" t="n"/>
      <c r="B940" s="15" t="n"/>
      <c r="C940" s="16" t="n"/>
      <c r="D940" s="16" t="n"/>
      <c r="E940" s="21">
        <f>IF(AND(A940="",B940="",C940="",D940=""),"",IF(TRIM(C940)="",0,LEN(C940)-LEN(SUBSTITUTE(C940,",",""))+1))</f>
        <v/>
      </c>
      <c r="F940" s="21">
        <f>IF(AND(A940="",B940="",C940="",D940=""),"",IF(TRIM(D940)="",0,LEN(D940)-LEN(SUBSTITUTE(D940,",",""))+1))</f>
        <v/>
      </c>
      <c r="G940" s="21">
        <f>IF(B940="","",IF(COUNTIF($B$6:B940,B940)&gt;1,"중복",""))</f>
        <v/>
      </c>
      <c r="H940" s="21">
        <f>IF(AND(A940="",B940="",C940="",D940=""),"",IF(AND(E940&lt;=3,F940&lt;=3,G940=""),1,0))</f>
        <v/>
      </c>
      <c r="I940" s="22">
        <f>IF(H940=0,IF(G940="중복","제외: 같은 이메일 중복 응답","제외: 3개 넘게 선택"),"")</f>
        <v/>
      </c>
    </row>
    <row r="941">
      <c r="A941" s="15" t="n"/>
      <c r="B941" s="15" t="n"/>
      <c r="C941" s="16" t="n"/>
      <c r="D941" s="16" t="n"/>
      <c r="E941" s="21">
        <f>IF(AND(A941="",B941="",C941="",D941=""),"",IF(TRIM(C941)="",0,LEN(C941)-LEN(SUBSTITUTE(C941,",",""))+1))</f>
        <v/>
      </c>
      <c r="F941" s="21">
        <f>IF(AND(A941="",B941="",C941="",D941=""),"",IF(TRIM(D941)="",0,LEN(D941)-LEN(SUBSTITUTE(D941,",",""))+1))</f>
        <v/>
      </c>
      <c r="G941" s="21">
        <f>IF(B941="","",IF(COUNTIF($B$6:B941,B941)&gt;1,"중복",""))</f>
        <v/>
      </c>
      <c r="H941" s="21">
        <f>IF(AND(A941="",B941="",C941="",D941=""),"",IF(AND(E941&lt;=3,F941&lt;=3,G941=""),1,0))</f>
        <v/>
      </c>
      <c r="I941" s="22">
        <f>IF(H941=0,IF(G941="중복","제외: 같은 이메일 중복 응답","제외: 3개 넘게 선택"),"")</f>
        <v/>
      </c>
    </row>
    <row r="942">
      <c r="A942" s="15" t="n"/>
      <c r="B942" s="15" t="n"/>
      <c r="C942" s="16" t="n"/>
      <c r="D942" s="16" t="n"/>
      <c r="E942" s="21">
        <f>IF(AND(A942="",B942="",C942="",D942=""),"",IF(TRIM(C942)="",0,LEN(C942)-LEN(SUBSTITUTE(C942,",",""))+1))</f>
        <v/>
      </c>
      <c r="F942" s="21">
        <f>IF(AND(A942="",B942="",C942="",D942=""),"",IF(TRIM(D942)="",0,LEN(D942)-LEN(SUBSTITUTE(D942,",",""))+1))</f>
        <v/>
      </c>
      <c r="G942" s="21">
        <f>IF(B942="","",IF(COUNTIF($B$6:B942,B942)&gt;1,"중복",""))</f>
        <v/>
      </c>
      <c r="H942" s="21">
        <f>IF(AND(A942="",B942="",C942="",D942=""),"",IF(AND(E942&lt;=3,F942&lt;=3,G942=""),1,0))</f>
        <v/>
      </c>
      <c r="I942" s="22">
        <f>IF(H942=0,IF(G942="중복","제외: 같은 이메일 중복 응답","제외: 3개 넘게 선택"),"")</f>
        <v/>
      </c>
    </row>
    <row r="943">
      <c r="A943" s="15" t="n"/>
      <c r="B943" s="15" t="n"/>
      <c r="C943" s="16" t="n"/>
      <c r="D943" s="16" t="n"/>
      <c r="E943" s="21">
        <f>IF(AND(A943="",B943="",C943="",D943=""),"",IF(TRIM(C943)="",0,LEN(C943)-LEN(SUBSTITUTE(C943,",",""))+1))</f>
        <v/>
      </c>
      <c r="F943" s="21">
        <f>IF(AND(A943="",B943="",C943="",D943=""),"",IF(TRIM(D943)="",0,LEN(D943)-LEN(SUBSTITUTE(D943,",",""))+1))</f>
        <v/>
      </c>
      <c r="G943" s="21">
        <f>IF(B943="","",IF(COUNTIF($B$6:B943,B943)&gt;1,"중복",""))</f>
        <v/>
      </c>
      <c r="H943" s="21">
        <f>IF(AND(A943="",B943="",C943="",D943=""),"",IF(AND(E943&lt;=3,F943&lt;=3,G943=""),1,0))</f>
        <v/>
      </c>
      <c r="I943" s="22">
        <f>IF(H943=0,IF(G943="중복","제외: 같은 이메일 중복 응답","제외: 3개 넘게 선택"),"")</f>
        <v/>
      </c>
    </row>
    <row r="944">
      <c r="A944" s="15" t="n"/>
      <c r="B944" s="15" t="n"/>
      <c r="C944" s="16" t="n"/>
      <c r="D944" s="16" t="n"/>
      <c r="E944" s="21">
        <f>IF(AND(A944="",B944="",C944="",D944=""),"",IF(TRIM(C944)="",0,LEN(C944)-LEN(SUBSTITUTE(C944,",",""))+1))</f>
        <v/>
      </c>
      <c r="F944" s="21">
        <f>IF(AND(A944="",B944="",C944="",D944=""),"",IF(TRIM(D944)="",0,LEN(D944)-LEN(SUBSTITUTE(D944,",",""))+1))</f>
        <v/>
      </c>
      <c r="G944" s="21">
        <f>IF(B944="","",IF(COUNTIF($B$6:B944,B944)&gt;1,"중복",""))</f>
        <v/>
      </c>
      <c r="H944" s="21">
        <f>IF(AND(A944="",B944="",C944="",D944=""),"",IF(AND(E944&lt;=3,F944&lt;=3,G944=""),1,0))</f>
        <v/>
      </c>
      <c r="I944" s="22">
        <f>IF(H944=0,IF(G944="중복","제외: 같은 이메일 중복 응답","제외: 3개 넘게 선택"),"")</f>
        <v/>
      </c>
    </row>
    <row r="945">
      <c r="A945" s="15" t="n"/>
      <c r="B945" s="15" t="n"/>
      <c r="C945" s="16" t="n"/>
      <c r="D945" s="16" t="n"/>
      <c r="E945" s="21">
        <f>IF(AND(A945="",B945="",C945="",D945=""),"",IF(TRIM(C945)="",0,LEN(C945)-LEN(SUBSTITUTE(C945,",",""))+1))</f>
        <v/>
      </c>
      <c r="F945" s="21">
        <f>IF(AND(A945="",B945="",C945="",D945=""),"",IF(TRIM(D945)="",0,LEN(D945)-LEN(SUBSTITUTE(D945,",",""))+1))</f>
        <v/>
      </c>
      <c r="G945" s="21">
        <f>IF(B945="","",IF(COUNTIF($B$6:B945,B945)&gt;1,"중복",""))</f>
        <v/>
      </c>
      <c r="H945" s="21">
        <f>IF(AND(A945="",B945="",C945="",D945=""),"",IF(AND(E945&lt;=3,F945&lt;=3,G945=""),1,0))</f>
        <v/>
      </c>
      <c r="I945" s="22">
        <f>IF(H945=0,IF(G945="중복","제외: 같은 이메일 중복 응답","제외: 3개 넘게 선택"),"")</f>
        <v/>
      </c>
    </row>
    <row r="946">
      <c r="A946" s="15" t="n"/>
      <c r="B946" s="15" t="n"/>
      <c r="C946" s="16" t="n"/>
      <c r="D946" s="16" t="n"/>
      <c r="E946" s="21">
        <f>IF(AND(A946="",B946="",C946="",D946=""),"",IF(TRIM(C946)="",0,LEN(C946)-LEN(SUBSTITUTE(C946,",",""))+1))</f>
        <v/>
      </c>
      <c r="F946" s="21">
        <f>IF(AND(A946="",B946="",C946="",D946=""),"",IF(TRIM(D946)="",0,LEN(D946)-LEN(SUBSTITUTE(D946,",",""))+1))</f>
        <v/>
      </c>
      <c r="G946" s="21">
        <f>IF(B946="","",IF(COUNTIF($B$6:B946,B946)&gt;1,"중복",""))</f>
        <v/>
      </c>
      <c r="H946" s="21">
        <f>IF(AND(A946="",B946="",C946="",D946=""),"",IF(AND(E946&lt;=3,F946&lt;=3,G946=""),1,0))</f>
        <v/>
      </c>
      <c r="I946" s="22">
        <f>IF(H946=0,IF(G946="중복","제외: 같은 이메일 중복 응답","제외: 3개 넘게 선택"),"")</f>
        <v/>
      </c>
    </row>
    <row r="947">
      <c r="A947" s="15" t="n"/>
      <c r="B947" s="15" t="n"/>
      <c r="C947" s="16" t="n"/>
      <c r="D947" s="16" t="n"/>
      <c r="E947" s="21">
        <f>IF(AND(A947="",B947="",C947="",D947=""),"",IF(TRIM(C947)="",0,LEN(C947)-LEN(SUBSTITUTE(C947,",",""))+1))</f>
        <v/>
      </c>
      <c r="F947" s="21">
        <f>IF(AND(A947="",B947="",C947="",D947=""),"",IF(TRIM(D947)="",0,LEN(D947)-LEN(SUBSTITUTE(D947,",",""))+1))</f>
        <v/>
      </c>
      <c r="G947" s="21">
        <f>IF(B947="","",IF(COUNTIF($B$6:B947,B947)&gt;1,"중복",""))</f>
        <v/>
      </c>
      <c r="H947" s="21">
        <f>IF(AND(A947="",B947="",C947="",D947=""),"",IF(AND(E947&lt;=3,F947&lt;=3,G947=""),1,0))</f>
        <v/>
      </c>
      <c r="I947" s="22">
        <f>IF(H947=0,IF(G947="중복","제외: 같은 이메일 중복 응답","제외: 3개 넘게 선택"),"")</f>
        <v/>
      </c>
    </row>
    <row r="948">
      <c r="A948" s="15" t="n"/>
      <c r="B948" s="15" t="n"/>
      <c r="C948" s="16" t="n"/>
      <c r="D948" s="16" t="n"/>
      <c r="E948" s="21">
        <f>IF(AND(A948="",B948="",C948="",D948=""),"",IF(TRIM(C948)="",0,LEN(C948)-LEN(SUBSTITUTE(C948,",",""))+1))</f>
        <v/>
      </c>
      <c r="F948" s="21">
        <f>IF(AND(A948="",B948="",C948="",D948=""),"",IF(TRIM(D948)="",0,LEN(D948)-LEN(SUBSTITUTE(D948,",",""))+1))</f>
        <v/>
      </c>
      <c r="G948" s="21">
        <f>IF(B948="","",IF(COUNTIF($B$6:B948,B948)&gt;1,"중복",""))</f>
        <v/>
      </c>
      <c r="H948" s="21">
        <f>IF(AND(A948="",B948="",C948="",D948=""),"",IF(AND(E948&lt;=3,F948&lt;=3,G948=""),1,0))</f>
        <v/>
      </c>
      <c r="I948" s="22">
        <f>IF(H948=0,IF(G948="중복","제외: 같은 이메일 중복 응답","제외: 3개 넘게 선택"),"")</f>
        <v/>
      </c>
    </row>
    <row r="949">
      <c r="A949" s="15" t="n"/>
      <c r="B949" s="15" t="n"/>
      <c r="C949" s="16" t="n"/>
      <c r="D949" s="16" t="n"/>
      <c r="E949" s="21">
        <f>IF(AND(A949="",B949="",C949="",D949=""),"",IF(TRIM(C949)="",0,LEN(C949)-LEN(SUBSTITUTE(C949,",",""))+1))</f>
        <v/>
      </c>
      <c r="F949" s="21">
        <f>IF(AND(A949="",B949="",C949="",D949=""),"",IF(TRIM(D949)="",0,LEN(D949)-LEN(SUBSTITUTE(D949,",",""))+1))</f>
        <v/>
      </c>
      <c r="G949" s="21">
        <f>IF(B949="","",IF(COUNTIF($B$6:B949,B949)&gt;1,"중복",""))</f>
        <v/>
      </c>
      <c r="H949" s="21">
        <f>IF(AND(A949="",B949="",C949="",D949=""),"",IF(AND(E949&lt;=3,F949&lt;=3,G949=""),1,0))</f>
        <v/>
      </c>
      <c r="I949" s="22">
        <f>IF(H949=0,IF(G949="중복","제외: 같은 이메일 중복 응답","제외: 3개 넘게 선택"),"")</f>
        <v/>
      </c>
    </row>
    <row r="950">
      <c r="A950" s="15" t="n"/>
      <c r="B950" s="15" t="n"/>
      <c r="C950" s="16" t="n"/>
      <c r="D950" s="16" t="n"/>
      <c r="E950" s="21">
        <f>IF(AND(A950="",B950="",C950="",D950=""),"",IF(TRIM(C950)="",0,LEN(C950)-LEN(SUBSTITUTE(C950,",",""))+1))</f>
        <v/>
      </c>
      <c r="F950" s="21">
        <f>IF(AND(A950="",B950="",C950="",D950=""),"",IF(TRIM(D950)="",0,LEN(D950)-LEN(SUBSTITUTE(D950,",",""))+1))</f>
        <v/>
      </c>
      <c r="G950" s="21">
        <f>IF(B950="","",IF(COUNTIF($B$6:B950,B950)&gt;1,"중복",""))</f>
        <v/>
      </c>
      <c r="H950" s="21">
        <f>IF(AND(A950="",B950="",C950="",D950=""),"",IF(AND(E950&lt;=3,F950&lt;=3,G950=""),1,0))</f>
        <v/>
      </c>
      <c r="I950" s="22">
        <f>IF(H950=0,IF(G950="중복","제외: 같은 이메일 중복 응답","제외: 3개 넘게 선택"),"")</f>
        <v/>
      </c>
    </row>
    <row r="951">
      <c r="A951" s="15" t="n"/>
      <c r="B951" s="15" t="n"/>
      <c r="C951" s="16" t="n"/>
      <c r="D951" s="16" t="n"/>
      <c r="E951" s="21">
        <f>IF(AND(A951="",B951="",C951="",D951=""),"",IF(TRIM(C951)="",0,LEN(C951)-LEN(SUBSTITUTE(C951,",",""))+1))</f>
        <v/>
      </c>
      <c r="F951" s="21">
        <f>IF(AND(A951="",B951="",C951="",D951=""),"",IF(TRIM(D951)="",0,LEN(D951)-LEN(SUBSTITUTE(D951,",",""))+1))</f>
        <v/>
      </c>
      <c r="G951" s="21">
        <f>IF(B951="","",IF(COUNTIF($B$6:B951,B951)&gt;1,"중복",""))</f>
        <v/>
      </c>
      <c r="H951" s="21">
        <f>IF(AND(A951="",B951="",C951="",D951=""),"",IF(AND(E951&lt;=3,F951&lt;=3,G951=""),1,0))</f>
        <v/>
      </c>
      <c r="I951" s="22">
        <f>IF(H951=0,IF(G951="중복","제외: 같은 이메일 중복 응답","제외: 3개 넘게 선택"),"")</f>
        <v/>
      </c>
    </row>
    <row r="952">
      <c r="A952" s="15" t="n"/>
      <c r="B952" s="15" t="n"/>
      <c r="C952" s="16" t="n"/>
      <c r="D952" s="16" t="n"/>
      <c r="E952" s="21">
        <f>IF(AND(A952="",B952="",C952="",D952=""),"",IF(TRIM(C952)="",0,LEN(C952)-LEN(SUBSTITUTE(C952,",",""))+1))</f>
        <v/>
      </c>
      <c r="F952" s="21">
        <f>IF(AND(A952="",B952="",C952="",D952=""),"",IF(TRIM(D952)="",0,LEN(D952)-LEN(SUBSTITUTE(D952,",",""))+1))</f>
        <v/>
      </c>
      <c r="G952" s="21">
        <f>IF(B952="","",IF(COUNTIF($B$6:B952,B952)&gt;1,"중복",""))</f>
        <v/>
      </c>
      <c r="H952" s="21">
        <f>IF(AND(A952="",B952="",C952="",D952=""),"",IF(AND(E952&lt;=3,F952&lt;=3,G952=""),1,0))</f>
        <v/>
      </c>
      <c r="I952" s="22">
        <f>IF(H952=0,IF(G952="중복","제외: 같은 이메일 중복 응답","제외: 3개 넘게 선택"),"")</f>
        <v/>
      </c>
    </row>
    <row r="953">
      <c r="A953" s="15" t="n"/>
      <c r="B953" s="15" t="n"/>
      <c r="C953" s="16" t="n"/>
      <c r="D953" s="16" t="n"/>
      <c r="E953" s="21">
        <f>IF(AND(A953="",B953="",C953="",D953=""),"",IF(TRIM(C953)="",0,LEN(C953)-LEN(SUBSTITUTE(C953,",",""))+1))</f>
        <v/>
      </c>
      <c r="F953" s="21">
        <f>IF(AND(A953="",B953="",C953="",D953=""),"",IF(TRIM(D953)="",0,LEN(D953)-LEN(SUBSTITUTE(D953,",",""))+1))</f>
        <v/>
      </c>
      <c r="G953" s="21">
        <f>IF(B953="","",IF(COUNTIF($B$6:B953,B953)&gt;1,"중복",""))</f>
        <v/>
      </c>
      <c r="H953" s="21">
        <f>IF(AND(A953="",B953="",C953="",D953=""),"",IF(AND(E953&lt;=3,F953&lt;=3,G953=""),1,0))</f>
        <v/>
      </c>
      <c r="I953" s="22">
        <f>IF(H953=0,IF(G953="중복","제외: 같은 이메일 중복 응답","제외: 3개 넘게 선택"),"")</f>
        <v/>
      </c>
    </row>
    <row r="954">
      <c r="A954" s="15" t="n"/>
      <c r="B954" s="15" t="n"/>
      <c r="C954" s="16" t="n"/>
      <c r="D954" s="16" t="n"/>
      <c r="E954" s="21">
        <f>IF(AND(A954="",B954="",C954="",D954=""),"",IF(TRIM(C954)="",0,LEN(C954)-LEN(SUBSTITUTE(C954,",",""))+1))</f>
        <v/>
      </c>
      <c r="F954" s="21">
        <f>IF(AND(A954="",B954="",C954="",D954=""),"",IF(TRIM(D954)="",0,LEN(D954)-LEN(SUBSTITUTE(D954,",",""))+1))</f>
        <v/>
      </c>
      <c r="G954" s="21">
        <f>IF(B954="","",IF(COUNTIF($B$6:B954,B954)&gt;1,"중복",""))</f>
        <v/>
      </c>
      <c r="H954" s="21">
        <f>IF(AND(A954="",B954="",C954="",D954=""),"",IF(AND(E954&lt;=3,F954&lt;=3,G954=""),1,0))</f>
        <v/>
      </c>
      <c r="I954" s="22">
        <f>IF(H954=0,IF(G954="중복","제외: 같은 이메일 중복 응답","제외: 3개 넘게 선택"),"")</f>
        <v/>
      </c>
    </row>
    <row r="955">
      <c r="A955" s="15" t="n"/>
      <c r="B955" s="15" t="n"/>
      <c r="C955" s="16" t="n"/>
      <c r="D955" s="16" t="n"/>
      <c r="E955" s="21">
        <f>IF(AND(A955="",B955="",C955="",D955=""),"",IF(TRIM(C955)="",0,LEN(C955)-LEN(SUBSTITUTE(C955,",",""))+1))</f>
        <v/>
      </c>
      <c r="F955" s="21">
        <f>IF(AND(A955="",B955="",C955="",D955=""),"",IF(TRIM(D955)="",0,LEN(D955)-LEN(SUBSTITUTE(D955,",",""))+1))</f>
        <v/>
      </c>
      <c r="G955" s="21">
        <f>IF(B955="","",IF(COUNTIF($B$6:B955,B955)&gt;1,"중복",""))</f>
        <v/>
      </c>
      <c r="H955" s="21">
        <f>IF(AND(A955="",B955="",C955="",D955=""),"",IF(AND(E955&lt;=3,F955&lt;=3,G955=""),1,0))</f>
        <v/>
      </c>
      <c r="I955" s="22">
        <f>IF(H955=0,IF(G955="중복","제외: 같은 이메일 중복 응답","제외: 3개 넘게 선택"),"")</f>
        <v/>
      </c>
    </row>
    <row r="956">
      <c r="A956" s="15" t="n"/>
      <c r="B956" s="15" t="n"/>
      <c r="C956" s="16" t="n"/>
      <c r="D956" s="16" t="n"/>
      <c r="E956" s="21">
        <f>IF(AND(A956="",B956="",C956="",D956=""),"",IF(TRIM(C956)="",0,LEN(C956)-LEN(SUBSTITUTE(C956,",",""))+1))</f>
        <v/>
      </c>
      <c r="F956" s="21">
        <f>IF(AND(A956="",B956="",C956="",D956=""),"",IF(TRIM(D956)="",0,LEN(D956)-LEN(SUBSTITUTE(D956,",",""))+1))</f>
        <v/>
      </c>
      <c r="G956" s="21">
        <f>IF(B956="","",IF(COUNTIF($B$6:B956,B956)&gt;1,"중복",""))</f>
        <v/>
      </c>
      <c r="H956" s="21">
        <f>IF(AND(A956="",B956="",C956="",D956=""),"",IF(AND(E956&lt;=3,F956&lt;=3,G956=""),1,0))</f>
        <v/>
      </c>
      <c r="I956" s="22">
        <f>IF(H956=0,IF(G956="중복","제외: 같은 이메일 중복 응답","제외: 3개 넘게 선택"),"")</f>
        <v/>
      </c>
    </row>
    <row r="957">
      <c r="A957" s="15" t="n"/>
      <c r="B957" s="15" t="n"/>
      <c r="C957" s="16" t="n"/>
      <c r="D957" s="16" t="n"/>
      <c r="E957" s="21">
        <f>IF(AND(A957="",B957="",C957="",D957=""),"",IF(TRIM(C957)="",0,LEN(C957)-LEN(SUBSTITUTE(C957,",",""))+1))</f>
        <v/>
      </c>
      <c r="F957" s="21">
        <f>IF(AND(A957="",B957="",C957="",D957=""),"",IF(TRIM(D957)="",0,LEN(D957)-LEN(SUBSTITUTE(D957,",",""))+1))</f>
        <v/>
      </c>
      <c r="G957" s="21">
        <f>IF(B957="","",IF(COUNTIF($B$6:B957,B957)&gt;1,"중복",""))</f>
        <v/>
      </c>
      <c r="H957" s="21">
        <f>IF(AND(A957="",B957="",C957="",D957=""),"",IF(AND(E957&lt;=3,F957&lt;=3,G957=""),1,0))</f>
        <v/>
      </c>
      <c r="I957" s="22">
        <f>IF(H957=0,IF(G957="중복","제외: 같은 이메일 중복 응답","제외: 3개 넘게 선택"),"")</f>
        <v/>
      </c>
    </row>
    <row r="958">
      <c r="A958" s="15" t="n"/>
      <c r="B958" s="15" t="n"/>
      <c r="C958" s="16" t="n"/>
      <c r="D958" s="16" t="n"/>
      <c r="E958" s="21">
        <f>IF(AND(A958="",B958="",C958="",D958=""),"",IF(TRIM(C958)="",0,LEN(C958)-LEN(SUBSTITUTE(C958,",",""))+1))</f>
        <v/>
      </c>
      <c r="F958" s="21">
        <f>IF(AND(A958="",B958="",C958="",D958=""),"",IF(TRIM(D958)="",0,LEN(D958)-LEN(SUBSTITUTE(D958,",",""))+1))</f>
        <v/>
      </c>
      <c r="G958" s="21">
        <f>IF(B958="","",IF(COUNTIF($B$6:B958,B958)&gt;1,"중복",""))</f>
        <v/>
      </c>
      <c r="H958" s="21">
        <f>IF(AND(A958="",B958="",C958="",D958=""),"",IF(AND(E958&lt;=3,F958&lt;=3,G958=""),1,0))</f>
        <v/>
      </c>
      <c r="I958" s="22">
        <f>IF(H958=0,IF(G958="중복","제외: 같은 이메일 중복 응답","제외: 3개 넘게 선택"),"")</f>
        <v/>
      </c>
    </row>
    <row r="959">
      <c r="A959" s="15" t="n"/>
      <c r="B959" s="15" t="n"/>
      <c r="C959" s="16" t="n"/>
      <c r="D959" s="16" t="n"/>
      <c r="E959" s="21">
        <f>IF(AND(A959="",B959="",C959="",D959=""),"",IF(TRIM(C959)="",0,LEN(C959)-LEN(SUBSTITUTE(C959,",",""))+1))</f>
        <v/>
      </c>
      <c r="F959" s="21">
        <f>IF(AND(A959="",B959="",C959="",D959=""),"",IF(TRIM(D959)="",0,LEN(D959)-LEN(SUBSTITUTE(D959,",",""))+1))</f>
        <v/>
      </c>
      <c r="G959" s="21">
        <f>IF(B959="","",IF(COUNTIF($B$6:B959,B959)&gt;1,"중복",""))</f>
        <v/>
      </c>
      <c r="H959" s="21">
        <f>IF(AND(A959="",B959="",C959="",D959=""),"",IF(AND(E959&lt;=3,F959&lt;=3,G959=""),1,0))</f>
        <v/>
      </c>
      <c r="I959" s="22">
        <f>IF(H959=0,IF(G959="중복","제외: 같은 이메일 중복 응답","제외: 3개 넘게 선택"),"")</f>
        <v/>
      </c>
    </row>
    <row r="960">
      <c r="A960" s="15" t="n"/>
      <c r="B960" s="15" t="n"/>
      <c r="C960" s="16" t="n"/>
      <c r="D960" s="16" t="n"/>
      <c r="E960" s="21">
        <f>IF(AND(A960="",B960="",C960="",D960=""),"",IF(TRIM(C960)="",0,LEN(C960)-LEN(SUBSTITUTE(C960,",",""))+1))</f>
        <v/>
      </c>
      <c r="F960" s="21">
        <f>IF(AND(A960="",B960="",C960="",D960=""),"",IF(TRIM(D960)="",0,LEN(D960)-LEN(SUBSTITUTE(D960,",",""))+1))</f>
        <v/>
      </c>
      <c r="G960" s="21">
        <f>IF(B960="","",IF(COUNTIF($B$6:B960,B960)&gt;1,"중복",""))</f>
        <v/>
      </c>
      <c r="H960" s="21">
        <f>IF(AND(A960="",B960="",C960="",D960=""),"",IF(AND(E960&lt;=3,F960&lt;=3,G960=""),1,0))</f>
        <v/>
      </c>
      <c r="I960" s="22">
        <f>IF(H960=0,IF(G960="중복","제외: 같은 이메일 중복 응답","제외: 3개 넘게 선택"),"")</f>
        <v/>
      </c>
    </row>
    <row r="961">
      <c r="A961" s="15" t="n"/>
      <c r="B961" s="15" t="n"/>
      <c r="C961" s="16" t="n"/>
      <c r="D961" s="16" t="n"/>
      <c r="E961" s="21">
        <f>IF(AND(A961="",B961="",C961="",D961=""),"",IF(TRIM(C961)="",0,LEN(C961)-LEN(SUBSTITUTE(C961,",",""))+1))</f>
        <v/>
      </c>
      <c r="F961" s="21">
        <f>IF(AND(A961="",B961="",C961="",D961=""),"",IF(TRIM(D961)="",0,LEN(D961)-LEN(SUBSTITUTE(D961,",",""))+1))</f>
        <v/>
      </c>
      <c r="G961" s="21">
        <f>IF(B961="","",IF(COUNTIF($B$6:B961,B961)&gt;1,"중복",""))</f>
        <v/>
      </c>
      <c r="H961" s="21">
        <f>IF(AND(A961="",B961="",C961="",D961=""),"",IF(AND(E961&lt;=3,F961&lt;=3,G961=""),1,0))</f>
        <v/>
      </c>
      <c r="I961" s="22">
        <f>IF(H961=0,IF(G961="중복","제외: 같은 이메일 중복 응답","제외: 3개 넘게 선택"),"")</f>
        <v/>
      </c>
    </row>
    <row r="962">
      <c r="A962" s="15" t="n"/>
      <c r="B962" s="15" t="n"/>
      <c r="C962" s="16" t="n"/>
      <c r="D962" s="16" t="n"/>
      <c r="E962" s="21">
        <f>IF(AND(A962="",B962="",C962="",D962=""),"",IF(TRIM(C962)="",0,LEN(C962)-LEN(SUBSTITUTE(C962,",",""))+1))</f>
        <v/>
      </c>
      <c r="F962" s="21">
        <f>IF(AND(A962="",B962="",C962="",D962=""),"",IF(TRIM(D962)="",0,LEN(D962)-LEN(SUBSTITUTE(D962,",",""))+1))</f>
        <v/>
      </c>
      <c r="G962" s="21">
        <f>IF(B962="","",IF(COUNTIF($B$6:B962,B962)&gt;1,"중복",""))</f>
        <v/>
      </c>
      <c r="H962" s="21">
        <f>IF(AND(A962="",B962="",C962="",D962=""),"",IF(AND(E962&lt;=3,F962&lt;=3,G962=""),1,0))</f>
        <v/>
      </c>
      <c r="I962" s="22">
        <f>IF(H962=0,IF(G962="중복","제외: 같은 이메일 중복 응답","제외: 3개 넘게 선택"),"")</f>
        <v/>
      </c>
    </row>
    <row r="963">
      <c r="A963" s="15" t="n"/>
      <c r="B963" s="15" t="n"/>
      <c r="C963" s="16" t="n"/>
      <c r="D963" s="16" t="n"/>
      <c r="E963" s="21">
        <f>IF(AND(A963="",B963="",C963="",D963=""),"",IF(TRIM(C963)="",0,LEN(C963)-LEN(SUBSTITUTE(C963,",",""))+1))</f>
        <v/>
      </c>
      <c r="F963" s="21">
        <f>IF(AND(A963="",B963="",C963="",D963=""),"",IF(TRIM(D963)="",0,LEN(D963)-LEN(SUBSTITUTE(D963,",",""))+1))</f>
        <v/>
      </c>
      <c r="G963" s="21">
        <f>IF(B963="","",IF(COUNTIF($B$6:B963,B963)&gt;1,"중복",""))</f>
        <v/>
      </c>
      <c r="H963" s="21">
        <f>IF(AND(A963="",B963="",C963="",D963=""),"",IF(AND(E963&lt;=3,F963&lt;=3,G963=""),1,0))</f>
        <v/>
      </c>
      <c r="I963" s="22">
        <f>IF(H963=0,IF(G963="중복","제외: 같은 이메일 중복 응답","제외: 3개 넘게 선택"),"")</f>
        <v/>
      </c>
    </row>
    <row r="964">
      <c r="A964" s="15" t="n"/>
      <c r="B964" s="15" t="n"/>
      <c r="C964" s="16" t="n"/>
      <c r="D964" s="16" t="n"/>
      <c r="E964" s="21">
        <f>IF(AND(A964="",B964="",C964="",D964=""),"",IF(TRIM(C964)="",0,LEN(C964)-LEN(SUBSTITUTE(C964,",",""))+1))</f>
        <v/>
      </c>
      <c r="F964" s="21">
        <f>IF(AND(A964="",B964="",C964="",D964=""),"",IF(TRIM(D964)="",0,LEN(D964)-LEN(SUBSTITUTE(D964,",",""))+1))</f>
        <v/>
      </c>
      <c r="G964" s="21">
        <f>IF(B964="","",IF(COUNTIF($B$6:B964,B964)&gt;1,"중복",""))</f>
        <v/>
      </c>
      <c r="H964" s="21">
        <f>IF(AND(A964="",B964="",C964="",D964=""),"",IF(AND(E964&lt;=3,F964&lt;=3,G964=""),1,0))</f>
        <v/>
      </c>
      <c r="I964" s="22">
        <f>IF(H964=0,IF(G964="중복","제외: 같은 이메일 중복 응답","제외: 3개 넘게 선택"),"")</f>
        <v/>
      </c>
    </row>
    <row r="965">
      <c r="A965" s="15" t="n"/>
      <c r="B965" s="15" t="n"/>
      <c r="C965" s="16" t="n"/>
      <c r="D965" s="16" t="n"/>
      <c r="E965" s="21">
        <f>IF(AND(A965="",B965="",C965="",D965=""),"",IF(TRIM(C965)="",0,LEN(C965)-LEN(SUBSTITUTE(C965,",",""))+1))</f>
        <v/>
      </c>
      <c r="F965" s="21">
        <f>IF(AND(A965="",B965="",C965="",D965=""),"",IF(TRIM(D965)="",0,LEN(D965)-LEN(SUBSTITUTE(D965,",",""))+1))</f>
        <v/>
      </c>
      <c r="G965" s="21">
        <f>IF(B965="","",IF(COUNTIF($B$6:B965,B965)&gt;1,"중복",""))</f>
        <v/>
      </c>
      <c r="H965" s="21">
        <f>IF(AND(A965="",B965="",C965="",D965=""),"",IF(AND(E965&lt;=3,F965&lt;=3,G965=""),1,0))</f>
        <v/>
      </c>
      <c r="I965" s="22">
        <f>IF(H965=0,IF(G965="중복","제외: 같은 이메일 중복 응답","제외: 3개 넘게 선택"),"")</f>
        <v/>
      </c>
    </row>
    <row r="966">
      <c r="A966" s="15" t="n"/>
      <c r="B966" s="15" t="n"/>
      <c r="C966" s="16" t="n"/>
      <c r="D966" s="16" t="n"/>
      <c r="E966" s="21">
        <f>IF(AND(A966="",B966="",C966="",D966=""),"",IF(TRIM(C966)="",0,LEN(C966)-LEN(SUBSTITUTE(C966,",",""))+1))</f>
        <v/>
      </c>
      <c r="F966" s="21">
        <f>IF(AND(A966="",B966="",C966="",D966=""),"",IF(TRIM(D966)="",0,LEN(D966)-LEN(SUBSTITUTE(D966,",",""))+1))</f>
        <v/>
      </c>
      <c r="G966" s="21">
        <f>IF(B966="","",IF(COUNTIF($B$6:B966,B966)&gt;1,"중복",""))</f>
        <v/>
      </c>
      <c r="H966" s="21">
        <f>IF(AND(A966="",B966="",C966="",D966=""),"",IF(AND(E966&lt;=3,F966&lt;=3,G966=""),1,0))</f>
        <v/>
      </c>
      <c r="I966" s="22">
        <f>IF(H966=0,IF(G966="중복","제외: 같은 이메일 중복 응답","제외: 3개 넘게 선택"),"")</f>
        <v/>
      </c>
    </row>
    <row r="967">
      <c r="A967" s="15" t="n"/>
      <c r="B967" s="15" t="n"/>
      <c r="C967" s="16" t="n"/>
      <c r="D967" s="16" t="n"/>
      <c r="E967" s="21">
        <f>IF(AND(A967="",B967="",C967="",D967=""),"",IF(TRIM(C967)="",0,LEN(C967)-LEN(SUBSTITUTE(C967,",",""))+1))</f>
        <v/>
      </c>
      <c r="F967" s="21">
        <f>IF(AND(A967="",B967="",C967="",D967=""),"",IF(TRIM(D967)="",0,LEN(D967)-LEN(SUBSTITUTE(D967,",",""))+1))</f>
        <v/>
      </c>
      <c r="G967" s="21">
        <f>IF(B967="","",IF(COUNTIF($B$6:B967,B967)&gt;1,"중복",""))</f>
        <v/>
      </c>
      <c r="H967" s="21">
        <f>IF(AND(A967="",B967="",C967="",D967=""),"",IF(AND(E967&lt;=3,F967&lt;=3,G967=""),1,0))</f>
        <v/>
      </c>
      <c r="I967" s="22">
        <f>IF(H967=0,IF(G967="중복","제외: 같은 이메일 중복 응답","제외: 3개 넘게 선택"),"")</f>
        <v/>
      </c>
    </row>
    <row r="968">
      <c r="A968" s="15" t="n"/>
      <c r="B968" s="15" t="n"/>
      <c r="C968" s="16" t="n"/>
      <c r="D968" s="16" t="n"/>
      <c r="E968" s="21">
        <f>IF(AND(A968="",B968="",C968="",D968=""),"",IF(TRIM(C968)="",0,LEN(C968)-LEN(SUBSTITUTE(C968,",",""))+1))</f>
        <v/>
      </c>
      <c r="F968" s="21">
        <f>IF(AND(A968="",B968="",C968="",D968=""),"",IF(TRIM(D968)="",0,LEN(D968)-LEN(SUBSTITUTE(D968,",",""))+1))</f>
        <v/>
      </c>
      <c r="G968" s="21">
        <f>IF(B968="","",IF(COUNTIF($B$6:B968,B968)&gt;1,"중복",""))</f>
        <v/>
      </c>
      <c r="H968" s="21">
        <f>IF(AND(A968="",B968="",C968="",D968=""),"",IF(AND(E968&lt;=3,F968&lt;=3,G968=""),1,0))</f>
        <v/>
      </c>
      <c r="I968" s="22">
        <f>IF(H968=0,IF(G968="중복","제외: 같은 이메일 중복 응답","제외: 3개 넘게 선택"),"")</f>
        <v/>
      </c>
    </row>
    <row r="969">
      <c r="A969" s="15" t="n"/>
      <c r="B969" s="15" t="n"/>
      <c r="C969" s="16" t="n"/>
      <c r="D969" s="16" t="n"/>
      <c r="E969" s="21">
        <f>IF(AND(A969="",B969="",C969="",D969=""),"",IF(TRIM(C969)="",0,LEN(C969)-LEN(SUBSTITUTE(C969,",",""))+1))</f>
        <v/>
      </c>
      <c r="F969" s="21">
        <f>IF(AND(A969="",B969="",C969="",D969=""),"",IF(TRIM(D969)="",0,LEN(D969)-LEN(SUBSTITUTE(D969,",",""))+1))</f>
        <v/>
      </c>
      <c r="G969" s="21">
        <f>IF(B969="","",IF(COUNTIF($B$6:B969,B969)&gt;1,"중복",""))</f>
        <v/>
      </c>
      <c r="H969" s="21">
        <f>IF(AND(A969="",B969="",C969="",D969=""),"",IF(AND(E969&lt;=3,F969&lt;=3,G969=""),1,0))</f>
        <v/>
      </c>
      <c r="I969" s="22">
        <f>IF(H969=0,IF(G969="중복","제외: 같은 이메일 중복 응답","제외: 3개 넘게 선택"),"")</f>
        <v/>
      </c>
    </row>
    <row r="970">
      <c r="A970" s="15" t="n"/>
      <c r="B970" s="15" t="n"/>
      <c r="C970" s="16" t="n"/>
      <c r="D970" s="16" t="n"/>
      <c r="E970" s="21">
        <f>IF(AND(A970="",B970="",C970="",D970=""),"",IF(TRIM(C970)="",0,LEN(C970)-LEN(SUBSTITUTE(C970,",",""))+1))</f>
        <v/>
      </c>
      <c r="F970" s="21">
        <f>IF(AND(A970="",B970="",C970="",D970=""),"",IF(TRIM(D970)="",0,LEN(D970)-LEN(SUBSTITUTE(D970,",",""))+1))</f>
        <v/>
      </c>
      <c r="G970" s="21">
        <f>IF(B970="","",IF(COUNTIF($B$6:B970,B970)&gt;1,"중복",""))</f>
        <v/>
      </c>
      <c r="H970" s="21">
        <f>IF(AND(A970="",B970="",C970="",D970=""),"",IF(AND(E970&lt;=3,F970&lt;=3,G970=""),1,0))</f>
        <v/>
      </c>
      <c r="I970" s="22">
        <f>IF(H970=0,IF(G970="중복","제외: 같은 이메일 중복 응답","제외: 3개 넘게 선택"),"")</f>
        <v/>
      </c>
    </row>
    <row r="971">
      <c r="A971" s="15" t="n"/>
      <c r="B971" s="15" t="n"/>
      <c r="C971" s="16" t="n"/>
      <c r="D971" s="16" t="n"/>
      <c r="E971" s="21">
        <f>IF(AND(A971="",B971="",C971="",D971=""),"",IF(TRIM(C971)="",0,LEN(C971)-LEN(SUBSTITUTE(C971,",",""))+1))</f>
        <v/>
      </c>
      <c r="F971" s="21">
        <f>IF(AND(A971="",B971="",C971="",D971=""),"",IF(TRIM(D971)="",0,LEN(D971)-LEN(SUBSTITUTE(D971,",",""))+1))</f>
        <v/>
      </c>
      <c r="G971" s="21">
        <f>IF(B971="","",IF(COUNTIF($B$6:B971,B971)&gt;1,"중복",""))</f>
        <v/>
      </c>
      <c r="H971" s="21">
        <f>IF(AND(A971="",B971="",C971="",D971=""),"",IF(AND(E971&lt;=3,F971&lt;=3,G971=""),1,0))</f>
        <v/>
      </c>
      <c r="I971" s="22">
        <f>IF(H971=0,IF(G971="중복","제외: 같은 이메일 중복 응답","제외: 3개 넘게 선택"),"")</f>
        <v/>
      </c>
    </row>
    <row r="972">
      <c r="A972" s="15" t="n"/>
      <c r="B972" s="15" t="n"/>
      <c r="C972" s="16" t="n"/>
      <c r="D972" s="16" t="n"/>
      <c r="E972" s="21">
        <f>IF(AND(A972="",B972="",C972="",D972=""),"",IF(TRIM(C972)="",0,LEN(C972)-LEN(SUBSTITUTE(C972,",",""))+1))</f>
        <v/>
      </c>
      <c r="F972" s="21">
        <f>IF(AND(A972="",B972="",C972="",D972=""),"",IF(TRIM(D972)="",0,LEN(D972)-LEN(SUBSTITUTE(D972,",",""))+1))</f>
        <v/>
      </c>
      <c r="G972" s="21">
        <f>IF(B972="","",IF(COUNTIF($B$6:B972,B972)&gt;1,"중복",""))</f>
        <v/>
      </c>
      <c r="H972" s="21">
        <f>IF(AND(A972="",B972="",C972="",D972=""),"",IF(AND(E972&lt;=3,F972&lt;=3,G972=""),1,0))</f>
        <v/>
      </c>
      <c r="I972" s="22">
        <f>IF(H972=0,IF(G972="중복","제외: 같은 이메일 중복 응답","제외: 3개 넘게 선택"),"")</f>
        <v/>
      </c>
    </row>
    <row r="973">
      <c r="A973" s="15" t="n"/>
      <c r="B973" s="15" t="n"/>
      <c r="C973" s="16" t="n"/>
      <c r="D973" s="16" t="n"/>
      <c r="E973" s="21">
        <f>IF(AND(A973="",B973="",C973="",D973=""),"",IF(TRIM(C973)="",0,LEN(C973)-LEN(SUBSTITUTE(C973,",",""))+1))</f>
        <v/>
      </c>
      <c r="F973" s="21">
        <f>IF(AND(A973="",B973="",C973="",D973=""),"",IF(TRIM(D973)="",0,LEN(D973)-LEN(SUBSTITUTE(D973,",",""))+1))</f>
        <v/>
      </c>
      <c r="G973" s="21">
        <f>IF(B973="","",IF(COUNTIF($B$6:B973,B973)&gt;1,"중복",""))</f>
        <v/>
      </c>
      <c r="H973" s="21">
        <f>IF(AND(A973="",B973="",C973="",D973=""),"",IF(AND(E973&lt;=3,F973&lt;=3,G973=""),1,0))</f>
        <v/>
      </c>
      <c r="I973" s="22">
        <f>IF(H973=0,IF(G973="중복","제외: 같은 이메일 중복 응답","제외: 3개 넘게 선택"),"")</f>
        <v/>
      </c>
    </row>
    <row r="974">
      <c r="A974" s="15" t="n"/>
      <c r="B974" s="15" t="n"/>
      <c r="C974" s="16" t="n"/>
      <c r="D974" s="16" t="n"/>
      <c r="E974" s="21">
        <f>IF(AND(A974="",B974="",C974="",D974=""),"",IF(TRIM(C974)="",0,LEN(C974)-LEN(SUBSTITUTE(C974,",",""))+1))</f>
        <v/>
      </c>
      <c r="F974" s="21">
        <f>IF(AND(A974="",B974="",C974="",D974=""),"",IF(TRIM(D974)="",0,LEN(D974)-LEN(SUBSTITUTE(D974,",",""))+1))</f>
        <v/>
      </c>
      <c r="G974" s="21">
        <f>IF(B974="","",IF(COUNTIF($B$6:B974,B974)&gt;1,"중복",""))</f>
        <v/>
      </c>
      <c r="H974" s="21">
        <f>IF(AND(A974="",B974="",C974="",D974=""),"",IF(AND(E974&lt;=3,F974&lt;=3,G974=""),1,0))</f>
        <v/>
      </c>
      <c r="I974" s="22">
        <f>IF(H974=0,IF(G974="중복","제외: 같은 이메일 중복 응답","제외: 3개 넘게 선택"),"")</f>
        <v/>
      </c>
    </row>
    <row r="975">
      <c r="A975" s="15" t="n"/>
      <c r="B975" s="15" t="n"/>
      <c r="C975" s="16" t="n"/>
      <c r="D975" s="16" t="n"/>
      <c r="E975" s="21">
        <f>IF(AND(A975="",B975="",C975="",D975=""),"",IF(TRIM(C975)="",0,LEN(C975)-LEN(SUBSTITUTE(C975,",",""))+1))</f>
        <v/>
      </c>
      <c r="F975" s="21">
        <f>IF(AND(A975="",B975="",C975="",D975=""),"",IF(TRIM(D975)="",0,LEN(D975)-LEN(SUBSTITUTE(D975,",",""))+1))</f>
        <v/>
      </c>
      <c r="G975" s="21">
        <f>IF(B975="","",IF(COUNTIF($B$6:B975,B975)&gt;1,"중복",""))</f>
        <v/>
      </c>
      <c r="H975" s="21">
        <f>IF(AND(A975="",B975="",C975="",D975=""),"",IF(AND(E975&lt;=3,F975&lt;=3,G975=""),1,0))</f>
        <v/>
      </c>
      <c r="I975" s="22">
        <f>IF(H975=0,IF(G975="중복","제외: 같은 이메일 중복 응답","제외: 3개 넘게 선택"),"")</f>
        <v/>
      </c>
    </row>
    <row r="976">
      <c r="A976" s="15" t="n"/>
      <c r="B976" s="15" t="n"/>
      <c r="C976" s="16" t="n"/>
      <c r="D976" s="16" t="n"/>
      <c r="E976" s="21">
        <f>IF(AND(A976="",B976="",C976="",D976=""),"",IF(TRIM(C976)="",0,LEN(C976)-LEN(SUBSTITUTE(C976,",",""))+1))</f>
        <v/>
      </c>
      <c r="F976" s="21">
        <f>IF(AND(A976="",B976="",C976="",D976=""),"",IF(TRIM(D976)="",0,LEN(D976)-LEN(SUBSTITUTE(D976,",",""))+1))</f>
        <v/>
      </c>
      <c r="G976" s="21">
        <f>IF(B976="","",IF(COUNTIF($B$6:B976,B976)&gt;1,"중복",""))</f>
        <v/>
      </c>
      <c r="H976" s="21">
        <f>IF(AND(A976="",B976="",C976="",D976=""),"",IF(AND(E976&lt;=3,F976&lt;=3,G976=""),1,0))</f>
        <v/>
      </c>
      <c r="I976" s="22">
        <f>IF(H976=0,IF(G976="중복","제외: 같은 이메일 중복 응답","제외: 3개 넘게 선택"),"")</f>
        <v/>
      </c>
    </row>
    <row r="977">
      <c r="A977" s="15" t="n"/>
      <c r="B977" s="15" t="n"/>
      <c r="C977" s="16" t="n"/>
      <c r="D977" s="16" t="n"/>
      <c r="E977" s="21">
        <f>IF(AND(A977="",B977="",C977="",D977=""),"",IF(TRIM(C977)="",0,LEN(C977)-LEN(SUBSTITUTE(C977,",",""))+1))</f>
        <v/>
      </c>
      <c r="F977" s="21">
        <f>IF(AND(A977="",B977="",C977="",D977=""),"",IF(TRIM(D977)="",0,LEN(D977)-LEN(SUBSTITUTE(D977,",",""))+1))</f>
        <v/>
      </c>
      <c r="G977" s="21">
        <f>IF(B977="","",IF(COUNTIF($B$6:B977,B977)&gt;1,"중복",""))</f>
        <v/>
      </c>
      <c r="H977" s="21">
        <f>IF(AND(A977="",B977="",C977="",D977=""),"",IF(AND(E977&lt;=3,F977&lt;=3,G977=""),1,0))</f>
        <v/>
      </c>
      <c r="I977" s="22">
        <f>IF(H977=0,IF(G977="중복","제외: 같은 이메일 중복 응답","제외: 3개 넘게 선택"),"")</f>
        <v/>
      </c>
    </row>
    <row r="978">
      <c r="A978" s="15" t="n"/>
      <c r="B978" s="15" t="n"/>
      <c r="C978" s="16" t="n"/>
      <c r="D978" s="16" t="n"/>
      <c r="E978" s="21">
        <f>IF(AND(A978="",B978="",C978="",D978=""),"",IF(TRIM(C978)="",0,LEN(C978)-LEN(SUBSTITUTE(C978,",",""))+1))</f>
        <v/>
      </c>
      <c r="F978" s="21">
        <f>IF(AND(A978="",B978="",C978="",D978=""),"",IF(TRIM(D978)="",0,LEN(D978)-LEN(SUBSTITUTE(D978,",",""))+1))</f>
        <v/>
      </c>
      <c r="G978" s="21">
        <f>IF(B978="","",IF(COUNTIF($B$6:B978,B978)&gt;1,"중복",""))</f>
        <v/>
      </c>
      <c r="H978" s="21">
        <f>IF(AND(A978="",B978="",C978="",D978=""),"",IF(AND(E978&lt;=3,F978&lt;=3,G978=""),1,0))</f>
        <v/>
      </c>
      <c r="I978" s="22">
        <f>IF(H978=0,IF(G978="중복","제외: 같은 이메일 중복 응답","제외: 3개 넘게 선택"),"")</f>
        <v/>
      </c>
    </row>
    <row r="979">
      <c r="A979" s="15" t="n"/>
      <c r="B979" s="15" t="n"/>
      <c r="C979" s="16" t="n"/>
      <c r="D979" s="16" t="n"/>
      <c r="E979" s="21">
        <f>IF(AND(A979="",B979="",C979="",D979=""),"",IF(TRIM(C979)="",0,LEN(C979)-LEN(SUBSTITUTE(C979,",",""))+1))</f>
        <v/>
      </c>
      <c r="F979" s="21">
        <f>IF(AND(A979="",B979="",C979="",D979=""),"",IF(TRIM(D979)="",0,LEN(D979)-LEN(SUBSTITUTE(D979,",",""))+1))</f>
        <v/>
      </c>
      <c r="G979" s="21">
        <f>IF(B979="","",IF(COUNTIF($B$6:B979,B979)&gt;1,"중복",""))</f>
        <v/>
      </c>
      <c r="H979" s="21">
        <f>IF(AND(A979="",B979="",C979="",D979=""),"",IF(AND(E979&lt;=3,F979&lt;=3,G979=""),1,0))</f>
        <v/>
      </c>
      <c r="I979" s="22">
        <f>IF(H979=0,IF(G979="중복","제외: 같은 이메일 중복 응답","제외: 3개 넘게 선택"),"")</f>
        <v/>
      </c>
    </row>
    <row r="980">
      <c r="A980" s="15" t="n"/>
      <c r="B980" s="15" t="n"/>
      <c r="C980" s="16" t="n"/>
      <c r="D980" s="16" t="n"/>
      <c r="E980" s="21">
        <f>IF(AND(A980="",B980="",C980="",D980=""),"",IF(TRIM(C980)="",0,LEN(C980)-LEN(SUBSTITUTE(C980,",",""))+1))</f>
        <v/>
      </c>
      <c r="F980" s="21">
        <f>IF(AND(A980="",B980="",C980="",D980=""),"",IF(TRIM(D980)="",0,LEN(D980)-LEN(SUBSTITUTE(D980,",",""))+1))</f>
        <v/>
      </c>
      <c r="G980" s="21">
        <f>IF(B980="","",IF(COUNTIF($B$6:B980,B980)&gt;1,"중복",""))</f>
        <v/>
      </c>
      <c r="H980" s="21">
        <f>IF(AND(A980="",B980="",C980="",D980=""),"",IF(AND(E980&lt;=3,F980&lt;=3,G980=""),1,0))</f>
        <v/>
      </c>
      <c r="I980" s="22">
        <f>IF(H980=0,IF(G980="중복","제외: 같은 이메일 중복 응답","제외: 3개 넘게 선택"),"")</f>
        <v/>
      </c>
    </row>
    <row r="981">
      <c r="A981" s="15" t="n"/>
      <c r="B981" s="15" t="n"/>
      <c r="C981" s="16" t="n"/>
      <c r="D981" s="16" t="n"/>
      <c r="E981" s="21">
        <f>IF(AND(A981="",B981="",C981="",D981=""),"",IF(TRIM(C981)="",0,LEN(C981)-LEN(SUBSTITUTE(C981,",",""))+1))</f>
        <v/>
      </c>
      <c r="F981" s="21">
        <f>IF(AND(A981="",B981="",C981="",D981=""),"",IF(TRIM(D981)="",0,LEN(D981)-LEN(SUBSTITUTE(D981,",",""))+1))</f>
        <v/>
      </c>
      <c r="G981" s="21">
        <f>IF(B981="","",IF(COUNTIF($B$6:B981,B981)&gt;1,"중복",""))</f>
        <v/>
      </c>
      <c r="H981" s="21">
        <f>IF(AND(A981="",B981="",C981="",D981=""),"",IF(AND(E981&lt;=3,F981&lt;=3,G981=""),1,0))</f>
        <v/>
      </c>
      <c r="I981" s="22">
        <f>IF(H981=0,IF(G981="중복","제외: 같은 이메일 중복 응답","제외: 3개 넘게 선택"),"")</f>
        <v/>
      </c>
    </row>
    <row r="982">
      <c r="A982" s="15" t="n"/>
      <c r="B982" s="15" t="n"/>
      <c r="C982" s="16" t="n"/>
      <c r="D982" s="16" t="n"/>
      <c r="E982" s="21">
        <f>IF(AND(A982="",B982="",C982="",D982=""),"",IF(TRIM(C982)="",0,LEN(C982)-LEN(SUBSTITUTE(C982,",",""))+1))</f>
        <v/>
      </c>
      <c r="F982" s="21">
        <f>IF(AND(A982="",B982="",C982="",D982=""),"",IF(TRIM(D982)="",0,LEN(D982)-LEN(SUBSTITUTE(D982,",",""))+1))</f>
        <v/>
      </c>
      <c r="G982" s="21">
        <f>IF(B982="","",IF(COUNTIF($B$6:B982,B982)&gt;1,"중복",""))</f>
        <v/>
      </c>
      <c r="H982" s="21">
        <f>IF(AND(A982="",B982="",C982="",D982=""),"",IF(AND(E982&lt;=3,F982&lt;=3,G982=""),1,0))</f>
        <v/>
      </c>
      <c r="I982" s="22">
        <f>IF(H982=0,IF(G982="중복","제외: 같은 이메일 중복 응답","제외: 3개 넘게 선택"),"")</f>
        <v/>
      </c>
    </row>
    <row r="983">
      <c r="A983" s="15" t="n"/>
      <c r="B983" s="15" t="n"/>
      <c r="C983" s="16" t="n"/>
      <c r="D983" s="16" t="n"/>
      <c r="E983" s="21">
        <f>IF(AND(A983="",B983="",C983="",D983=""),"",IF(TRIM(C983)="",0,LEN(C983)-LEN(SUBSTITUTE(C983,",",""))+1))</f>
        <v/>
      </c>
      <c r="F983" s="21">
        <f>IF(AND(A983="",B983="",C983="",D983=""),"",IF(TRIM(D983)="",0,LEN(D983)-LEN(SUBSTITUTE(D983,",",""))+1))</f>
        <v/>
      </c>
      <c r="G983" s="21">
        <f>IF(B983="","",IF(COUNTIF($B$6:B983,B983)&gt;1,"중복",""))</f>
        <v/>
      </c>
      <c r="H983" s="21">
        <f>IF(AND(A983="",B983="",C983="",D983=""),"",IF(AND(E983&lt;=3,F983&lt;=3,G983=""),1,0))</f>
        <v/>
      </c>
      <c r="I983" s="22">
        <f>IF(H983=0,IF(G983="중복","제외: 같은 이메일 중복 응답","제외: 3개 넘게 선택"),"")</f>
        <v/>
      </c>
    </row>
    <row r="984">
      <c r="A984" s="15" t="n"/>
      <c r="B984" s="15" t="n"/>
      <c r="C984" s="16" t="n"/>
      <c r="D984" s="16" t="n"/>
      <c r="E984" s="21">
        <f>IF(AND(A984="",B984="",C984="",D984=""),"",IF(TRIM(C984)="",0,LEN(C984)-LEN(SUBSTITUTE(C984,",",""))+1))</f>
        <v/>
      </c>
      <c r="F984" s="21">
        <f>IF(AND(A984="",B984="",C984="",D984=""),"",IF(TRIM(D984)="",0,LEN(D984)-LEN(SUBSTITUTE(D984,",",""))+1))</f>
        <v/>
      </c>
      <c r="G984" s="21">
        <f>IF(B984="","",IF(COUNTIF($B$6:B984,B984)&gt;1,"중복",""))</f>
        <v/>
      </c>
      <c r="H984" s="21">
        <f>IF(AND(A984="",B984="",C984="",D984=""),"",IF(AND(E984&lt;=3,F984&lt;=3,G984=""),1,0))</f>
        <v/>
      </c>
      <c r="I984" s="22">
        <f>IF(H984=0,IF(G984="중복","제외: 같은 이메일 중복 응답","제외: 3개 넘게 선택"),"")</f>
        <v/>
      </c>
    </row>
    <row r="985">
      <c r="A985" s="15" t="n"/>
      <c r="B985" s="15" t="n"/>
      <c r="C985" s="16" t="n"/>
      <c r="D985" s="16" t="n"/>
      <c r="E985" s="21">
        <f>IF(AND(A985="",B985="",C985="",D985=""),"",IF(TRIM(C985)="",0,LEN(C985)-LEN(SUBSTITUTE(C985,",",""))+1))</f>
        <v/>
      </c>
      <c r="F985" s="21">
        <f>IF(AND(A985="",B985="",C985="",D985=""),"",IF(TRIM(D985)="",0,LEN(D985)-LEN(SUBSTITUTE(D985,",",""))+1))</f>
        <v/>
      </c>
      <c r="G985" s="21">
        <f>IF(B985="","",IF(COUNTIF($B$6:B985,B985)&gt;1,"중복",""))</f>
        <v/>
      </c>
      <c r="H985" s="21">
        <f>IF(AND(A985="",B985="",C985="",D985=""),"",IF(AND(E985&lt;=3,F985&lt;=3,G985=""),1,0))</f>
        <v/>
      </c>
      <c r="I985" s="22">
        <f>IF(H985=0,IF(G985="중복","제외: 같은 이메일 중복 응답","제외: 3개 넘게 선택"),"")</f>
        <v/>
      </c>
    </row>
    <row r="986">
      <c r="A986" s="15" t="n"/>
      <c r="B986" s="15" t="n"/>
      <c r="C986" s="16" t="n"/>
      <c r="D986" s="16" t="n"/>
      <c r="E986" s="21">
        <f>IF(AND(A986="",B986="",C986="",D986=""),"",IF(TRIM(C986)="",0,LEN(C986)-LEN(SUBSTITUTE(C986,",",""))+1))</f>
        <v/>
      </c>
      <c r="F986" s="21">
        <f>IF(AND(A986="",B986="",C986="",D986=""),"",IF(TRIM(D986)="",0,LEN(D986)-LEN(SUBSTITUTE(D986,",",""))+1))</f>
        <v/>
      </c>
      <c r="G986" s="21">
        <f>IF(B986="","",IF(COUNTIF($B$6:B986,B986)&gt;1,"중복",""))</f>
        <v/>
      </c>
      <c r="H986" s="21">
        <f>IF(AND(A986="",B986="",C986="",D986=""),"",IF(AND(E986&lt;=3,F986&lt;=3,G986=""),1,0))</f>
        <v/>
      </c>
      <c r="I986" s="22">
        <f>IF(H986=0,IF(G986="중복","제외: 같은 이메일 중복 응답","제외: 3개 넘게 선택"),"")</f>
        <v/>
      </c>
    </row>
    <row r="987">
      <c r="A987" s="15" t="n"/>
      <c r="B987" s="15" t="n"/>
      <c r="C987" s="16" t="n"/>
      <c r="D987" s="16" t="n"/>
      <c r="E987" s="21">
        <f>IF(AND(A987="",B987="",C987="",D987=""),"",IF(TRIM(C987)="",0,LEN(C987)-LEN(SUBSTITUTE(C987,",",""))+1))</f>
        <v/>
      </c>
      <c r="F987" s="21">
        <f>IF(AND(A987="",B987="",C987="",D987=""),"",IF(TRIM(D987)="",0,LEN(D987)-LEN(SUBSTITUTE(D987,",",""))+1))</f>
        <v/>
      </c>
      <c r="G987" s="21">
        <f>IF(B987="","",IF(COUNTIF($B$6:B987,B987)&gt;1,"중복",""))</f>
        <v/>
      </c>
      <c r="H987" s="21">
        <f>IF(AND(A987="",B987="",C987="",D987=""),"",IF(AND(E987&lt;=3,F987&lt;=3,G987=""),1,0))</f>
        <v/>
      </c>
      <c r="I987" s="22">
        <f>IF(H987=0,IF(G987="중복","제외: 같은 이메일 중복 응답","제외: 3개 넘게 선택"),"")</f>
        <v/>
      </c>
    </row>
    <row r="988">
      <c r="A988" s="15" t="n"/>
      <c r="B988" s="15" t="n"/>
      <c r="C988" s="16" t="n"/>
      <c r="D988" s="16" t="n"/>
      <c r="E988" s="21">
        <f>IF(AND(A988="",B988="",C988="",D988=""),"",IF(TRIM(C988)="",0,LEN(C988)-LEN(SUBSTITUTE(C988,",",""))+1))</f>
        <v/>
      </c>
      <c r="F988" s="21">
        <f>IF(AND(A988="",B988="",C988="",D988=""),"",IF(TRIM(D988)="",0,LEN(D988)-LEN(SUBSTITUTE(D988,",",""))+1))</f>
        <v/>
      </c>
      <c r="G988" s="21">
        <f>IF(B988="","",IF(COUNTIF($B$6:B988,B988)&gt;1,"중복",""))</f>
        <v/>
      </c>
      <c r="H988" s="21">
        <f>IF(AND(A988="",B988="",C988="",D988=""),"",IF(AND(E988&lt;=3,F988&lt;=3,G988=""),1,0))</f>
        <v/>
      </c>
      <c r="I988" s="22">
        <f>IF(H988=0,IF(G988="중복","제외: 같은 이메일 중복 응답","제외: 3개 넘게 선택"),"")</f>
        <v/>
      </c>
    </row>
    <row r="989">
      <c r="A989" s="15" t="n"/>
      <c r="B989" s="15" t="n"/>
      <c r="C989" s="16" t="n"/>
      <c r="D989" s="16" t="n"/>
      <c r="E989" s="21">
        <f>IF(AND(A989="",B989="",C989="",D989=""),"",IF(TRIM(C989)="",0,LEN(C989)-LEN(SUBSTITUTE(C989,",",""))+1))</f>
        <v/>
      </c>
      <c r="F989" s="21">
        <f>IF(AND(A989="",B989="",C989="",D989=""),"",IF(TRIM(D989)="",0,LEN(D989)-LEN(SUBSTITUTE(D989,",",""))+1))</f>
        <v/>
      </c>
      <c r="G989" s="21">
        <f>IF(B989="","",IF(COUNTIF($B$6:B989,B989)&gt;1,"중복",""))</f>
        <v/>
      </c>
      <c r="H989" s="21">
        <f>IF(AND(A989="",B989="",C989="",D989=""),"",IF(AND(E989&lt;=3,F989&lt;=3,G989=""),1,0))</f>
        <v/>
      </c>
      <c r="I989" s="22">
        <f>IF(H989=0,IF(G989="중복","제외: 같은 이메일 중복 응답","제외: 3개 넘게 선택"),"")</f>
        <v/>
      </c>
    </row>
    <row r="990">
      <c r="A990" s="15" t="n"/>
      <c r="B990" s="15" t="n"/>
      <c r="C990" s="16" t="n"/>
      <c r="D990" s="16" t="n"/>
      <c r="E990" s="21">
        <f>IF(AND(A990="",B990="",C990="",D990=""),"",IF(TRIM(C990)="",0,LEN(C990)-LEN(SUBSTITUTE(C990,",",""))+1))</f>
        <v/>
      </c>
      <c r="F990" s="21">
        <f>IF(AND(A990="",B990="",C990="",D990=""),"",IF(TRIM(D990)="",0,LEN(D990)-LEN(SUBSTITUTE(D990,",",""))+1))</f>
        <v/>
      </c>
      <c r="G990" s="21">
        <f>IF(B990="","",IF(COUNTIF($B$6:B990,B990)&gt;1,"중복",""))</f>
        <v/>
      </c>
      <c r="H990" s="21">
        <f>IF(AND(A990="",B990="",C990="",D990=""),"",IF(AND(E990&lt;=3,F990&lt;=3,G990=""),1,0))</f>
        <v/>
      </c>
      <c r="I990" s="22">
        <f>IF(H990=0,IF(G990="중복","제외: 같은 이메일 중복 응답","제외: 3개 넘게 선택"),"")</f>
        <v/>
      </c>
    </row>
    <row r="991">
      <c r="A991" s="15" t="n"/>
      <c r="B991" s="15" t="n"/>
      <c r="C991" s="16" t="n"/>
      <c r="D991" s="16" t="n"/>
      <c r="E991" s="21">
        <f>IF(AND(A991="",B991="",C991="",D991=""),"",IF(TRIM(C991)="",0,LEN(C991)-LEN(SUBSTITUTE(C991,",",""))+1))</f>
        <v/>
      </c>
      <c r="F991" s="21">
        <f>IF(AND(A991="",B991="",C991="",D991=""),"",IF(TRIM(D991)="",0,LEN(D991)-LEN(SUBSTITUTE(D991,",",""))+1))</f>
        <v/>
      </c>
      <c r="G991" s="21">
        <f>IF(B991="","",IF(COUNTIF($B$6:B991,B991)&gt;1,"중복",""))</f>
        <v/>
      </c>
      <c r="H991" s="21">
        <f>IF(AND(A991="",B991="",C991="",D991=""),"",IF(AND(E991&lt;=3,F991&lt;=3,G991=""),1,0))</f>
        <v/>
      </c>
      <c r="I991" s="22">
        <f>IF(H991=0,IF(G991="중복","제외: 같은 이메일 중복 응답","제외: 3개 넘게 선택"),"")</f>
        <v/>
      </c>
    </row>
    <row r="992">
      <c r="A992" s="15" t="n"/>
      <c r="B992" s="15" t="n"/>
      <c r="C992" s="16" t="n"/>
      <c r="D992" s="16" t="n"/>
      <c r="E992" s="21">
        <f>IF(AND(A992="",B992="",C992="",D992=""),"",IF(TRIM(C992)="",0,LEN(C992)-LEN(SUBSTITUTE(C992,",",""))+1))</f>
        <v/>
      </c>
      <c r="F992" s="21">
        <f>IF(AND(A992="",B992="",C992="",D992=""),"",IF(TRIM(D992)="",0,LEN(D992)-LEN(SUBSTITUTE(D992,",",""))+1))</f>
        <v/>
      </c>
      <c r="G992" s="21">
        <f>IF(B992="","",IF(COUNTIF($B$6:B992,B992)&gt;1,"중복",""))</f>
        <v/>
      </c>
      <c r="H992" s="21">
        <f>IF(AND(A992="",B992="",C992="",D992=""),"",IF(AND(E992&lt;=3,F992&lt;=3,G992=""),1,0))</f>
        <v/>
      </c>
      <c r="I992" s="22">
        <f>IF(H992=0,IF(G992="중복","제외: 같은 이메일 중복 응답","제외: 3개 넘게 선택"),"")</f>
        <v/>
      </c>
    </row>
    <row r="993">
      <c r="A993" s="15" t="n"/>
      <c r="B993" s="15" t="n"/>
      <c r="C993" s="16" t="n"/>
      <c r="D993" s="16" t="n"/>
      <c r="E993" s="21">
        <f>IF(AND(A993="",B993="",C993="",D993=""),"",IF(TRIM(C993)="",0,LEN(C993)-LEN(SUBSTITUTE(C993,",",""))+1))</f>
        <v/>
      </c>
      <c r="F993" s="21">
        <f>IF(AND(A993="",B993="",C993="",D993=""),"",IF(TRIM(D993)="",0,LEN(D993)-LEN(SUBSTITUTE(D993,",",""))+1))</f>
        <v/>
      </c>
      <c r="G993" s="21">
        <f>IF(B993="","",IF(COUNTIF($B$6:B993,B993)&gt;1,"중복",""))</f>
        <v/>
      </c>
      <c r="H993" s="21">
        <f>IF(AND(A993="",B993="",C993="",D993=""),"",IF(AND(E993&lt;=3,F993&lt;=3,G993=""),1,0))</f>
        <v/>
      </c>
      <c r="I993" s="22">
        <f>IF(H993=0,IF(G993="중복","제외: 같은 이메일 중복 응답","제외: 3개 넘게 선택"),"")</f>
        <v/>
      </c>
    </row>
    <row r="994">
      <c r="A994" s="15" t="n"/>
      <c r="B994" s="15" t="n"/>
      <c r="C994" s="16" t="n"/>
      <c r="D994" s="16" t="n"/>
      <c r="E994" s="21">
        <f>IF(AND(A994="",B994="",C994="",D994=""),"",IF(TRIM(C994)="",0,LEN(C994)-LEN(SUBSTITUTE(C994,",",""))+1))</f>
        <v/>
      </c>
      <c r="F994" s="21">
        <f>IF(AND(A994="",B994="",C994="",D994=""),"",IF(TRIM(D994)="",0,LEN(D994)-LEN(SUBSTITUTE(D994,",",""))+1))</f>
        <v/>
      </c>
      <c r="G994" s="21">
        <f>IF(B994="","",IF(COUNTIF($B$6:B994,B994)&gt;1,"중복",""))</f>
        <v/>
      </c>
      <c r="H994" s="21">
        <f>IF(AND(A994="",B994="",C994="",D994=""),"",IF(AND(E994&lt;=3,F994&lt;=3,G994=""),1,0))</f>
        <v/>
      </c>
      <c r="I994" s="22">
        <f>IF(H994=0,IF(G994="중복","제외: 같은 이메일 중복 응답","제외: 3개 넘게 선택"),"")</f>
        <v/>
      </c>
    </row>
    <row r="995">
      <c r="A995" s="15" t="n"/>
      <c r="B995" s="15" t="n"/>
      <c r="C995" s="16" t="n"/>
      <c r="D995" s="16" t="n"/>
      <c r="E995" s="21">
        <f>IF(AND(A995="",B995="",C995="",D995=""),"",IF(TRIM(C995)="",0,LEN(C995)-LEN(SUBSTITUTE(C995,",",""))+1))</f>
        <v/>
      </c>
      <c r="F995" s="21">
        <f>IF(AND(A995="",B995="",C995="",D995=""),"",IF(TRIM(D995)="",0,LEN(D995)-LEN(SUBSTITUTE(D995,",",""))+1))</f>
        <v/>
      </c>
      <c r="G995" s="21">
        <f>IF(B995="","",IF(COUNTIF($B$6:B995,B995)&gt;1,"중복",""))</f>
        <v/>
      </c>
      <c r="H995" s="21">
        <f>IF(AND(A995="",B995="",C995="",D995=""),"",IF(AND(E995&lt;=3,F995&lt;=3,G995=""),1,0))</f>
        <v/>
      </c>
      <c r="I995" s="22">
        <f>IF(H995=0,IF(G995="중복","제외: 같은 이메일 중복 응답","제외: 3개 넘게 선택"),"")</f>
        <v/>
      </c>
    </row>
    <row r="996">
      <c r="A996" s="15" t="n"/>
      <c r="B996" s="15" t="n"/>
      <c r="C996" s="16" t="n"/>
      <c r="D996" s="16" t="n"/>
      <c r="E996" s="21">
        <f>IF(AND(A996="",B996="",C996="",D996=""),"",IF(TRIM(C996)="",0,LEN(C996)-LEN(SUBSTITUTE(C996,",",""))+1))</f>
        <v/>
      </c>
      <c r="F996" s="21">
        <f>IF(AND(A996="",B996="",C996="",D996=""),"",IF(TRIM(D996)="",0,LEN(D996)-LEN(SUBSTITUTE(D996,",",""))+1))</f>
        <v/>
      </c>
      <c r="G996" s="21">
        <f>IF(B996="","",IF(COUNTIF($B$6:B996,B996)&gt;1,"중복",""))</f>
        <v/>
      </c>
      <c r="H996" s="21">
        <f>IF(AND(A996="",B996="",C996="",D996=""),"",IF(AND(E996&lt;=3,F996&lt;=3,G996=""),1,0))</f>
        <v/>
      </c>
      <c r="I996" s="22">
        <f>IF(H996=0,IF(G996="중복","제외: 같은 이메일 중복 응답","제외: 3개 넘게 선택"),"")</f>
        <v/>
      </c>
    </row>
    <row r="997">
      <c r="A997" s="15" t="n"/>
      <c r="B997" s="15" t="n"/>
      <c r="C997" s="16" t="n"/>
      <c r="D997" s="16" t="n"/>
      <c r="E997" s="21">
        <f>IF(AND(A997="",B997="",C997="",D997=""),"",IF(TRIM(C997)="",0,LEN(C997)-LEN(SUBSTITUTE(C997,",",""))+1))</f>
        <v/>
      </c>
      <c r="F997" s="21">
        <f>IF(AND(A997="",B997="",C997="",D997=""),"",IF(TRIM(D997)="",0,LEN(D997)-LEN(SUBSTITUTE(D997,",",""))+1))</f>
        <v/>
      </c>
      <c r="G997" s="21">
        <f>IF(B997="","",IF(COUNTIF($B$6:B997,B997)&gt;1,"중복",""))</f>
        <v/>
      </c>
      <c r="H997" s="21">
        <f>IF(AND(A997="",B997="",C997="",D997=""),"",IF(AND(E997&lt;=3,F997&lt;=3,G997=""),1,0))</f>
        <v/>
      </c>
      <c r="I997" s="22">
        <f>IF(H997=0,IF(G997="중복","제외: 같은 이메일 중복 응답","제외: 3개 넘게 선택"),"")</f>
        <v/>
      </c>
    </row>
    <row r="998">
      <c r="A998" s="15" t="n"/>
      <c r="B998" s="15" t="n"/>
      <c r="C998" s="16" t="n"/>
      <c r="D998" s="16" t="n"/>
      <c r="E998" s="21">
        <f>IF(AND(A998="",B998="",C998="",D998=""),"",IF(TRIM(C998)="",0,LEN(C998)-LEN(SUBSTITUTE(C998,",",""))+1))</f>
        <v/>
      </c>
      <c r="F998" s="21">
        <f>IF(AND(A998="",B998="",C998="",D998=""),"",IF(TRIM(D998)="",0,LEN(D998)-LEN(SUBSTITUTE(D998,",",""))+1))</f>
        <v/>
      </c>
      <c r="G998" s="21">
        <f>IF(B998="","",IF(COUNTIF($B$6:B998,B998)&gt;1,"중복",""))</f>
        <v/>
      </c>
      <c r="H998" s="21">
        <f>IF(AND(A998="",B998="",C998="",D998=""),"",IF(AND(E998&lt;=3,F998&lt;=3,G998=""),1,0))</f>
        <v/>
      </c>
      <c r="I998" s="22">
        <f>IF(H998=0,IF(G998="중복","제외: 같은 이메일 중복 응답","제외: 3개 넘게 선택"),"")</f>
        <v/>
      </c>
    </row>
    <row r="999">
      <c r="A999" s="15" t="n"/>
      <c r="B999" s="15" t="n"/>
      <c r="C999" s="16" t="n"/>
      <c r="D999" s="16" t="n"/>
      <c r="E999" s="21">
        <f>IF(AND(A999="",B999="",C999="",D999=""),"",IF(TRIM(C999)="",0,LEN(C999)-LEN(SUBSTITUTE(C999,",",""))+1))</f>
        <v/>
      </c>
      <c r="F999" s="21">
        <f>IF(AND(A999="",B999="",C999="",D999=""),"",IF(TRIM(D999)="",0,LEN(D999)-LEN(SUBSTITUTE(D999,",",""))+1))</f>
        <v/>
      </c>
      <c r="G999" s="21">
        <f>IF(B999="","",IF(COUNTIF($B$6:B999,B999)&gt;1,"중복",""))</f>
        <v/>
      </c>
      <c r="H999" s="21">
        <f>IF(AND(A999="",B999="",C999="",D999=""),"",IF(AND(E999&lt;=3,F999&lt;=3,G999=""),1,0))</f>
        <v/>
      </c>
      <c r="I999" s="22">
        <f>IF(H999=0,IF(G999="중복","제외: 같은 이메일 중복 응답","제외: 3개 넘게 선택"),"")</f>
        <v/>
      </c>
    </row>
    <row r="1000">
      <c r="A1000" s="15" t="n"/>
      <c r="B1000" s="15" t="n"/>
      <c r="C1000" s="16" t="n"/>
      <c r="D1000" s="16" t="n"/>
      <c r="E1000" s="21">
        <f>IF(AND(A1000="",B1000="",C1000="",D1000=""),"",IF(TRIM(C1000)="",0,LEN(C1000)-LEN(SUBSTITUTE(C1000,",",""))+1))</f>
        <v/>
      </c>
      <c r="F1000" s="21">
        <f>IF(AND(A1000="",B1000="",C1000="",D1000=""),"",IF(TRIM(D1000)="",0,LEN(D1000)-LEN(SUBSTITUTE(D1000,",",""))+1))</f>
        <v/>
      </c>
      <c r="G1000" s="21">
        <f>IF(B1000="","",IF(COUNTIF($B$6:B1000,B1000)&gt;1,"중복",""))</f>
        <v/>
      </c>
      <c r="H1000" s="21">
        <f>IF(AND(A1000="",B1000="",C1000="",D1000=""),"",IF(AND(E1000&lt;=3,F1000&lt;=3,G1000=""),1,0))</f>
        <v/>
      </c>
      <c r="I1000" s="22">
        <f>IF(H1000=0,IF(G1000="중복","제외: 같은 이메일 중복 응답","제외: 3개 넘게 선택"),"")</f>
        <v/>
      </c>
    </row>
    <row r="1001">
      <c r="A1001" s="15" t="n"/>
      <c r="B1001" s="15" t="n"/>
      <c r="C1001" s="16" t="n"/>
      <c r="D1001" s="16" t="n"/>
      <c r="E1001" s="21">
        <f>IF(AND(A1001="",B1001="",C1001="",D1001=""),"",IF(TRIM(C1001)="",0,LEN(C1001)-LEN(SUBSTITUTE(C1001,",",""))+1))</f>
        <v/>
      </c>
      <c r="F1001" s="21">
        <f>IF(AND(A1001="",B1001="",C1001="",D1001=""),"",IF(TRIM(D1001)="",0,LEN(D1001)-LEN(SUBSTITUTE(D1001,",",""))+1))</f>
        <v/>
      </c>
      <c r="G1001" s="21">
        <f>IF(B1001="","",IF(COUNTIF($B$6:B1001,B1001)&gt;1,"중복",""))</f>
        <v/>
      </c>
      <c r="H1001" s="21">
        <f>IF(AND(A1001="",B1001="",C1001="",D1001=""),"",IF(AND(E1001&lt;=3,F1001&lt;=3,G1001=""),1,0))</f>
        <v/>
      </c>
      <c r="I1001" s="22">
        <f>IF(H1001=0,IF(G1001="중복","제외: 같은 이메일 중복 응답","제외: 3개 넘게 선택"),"")</f>
        <v/>
      </c>
    </row>
    <row r="1002">
      <c r="A1002" s="15" t="n"/>
      <c r="B1002" s="15" t="n"/>
      <c r="C1002" s="16" t="n"/>
      <c r="D1002" s="16" t="n"/>
      <c r="E1002" s="21">
        <f>IF(AND(A1002="",B1002="",C1002="",D1002=""),"",IF(TRIM(C1002)="",0,LEN(C1002)-LEN(SUBSTITUTE(C1002,",",""))+1))</f>
        <v/>
      </c>
      <c r="F1002" s="21">
        <f>IF(AND(A1002="",B1002="",C1002="",D1002=""),"",IF(TRIM(D1002)="",0,LEN(D1002)-LEN(SUBSTITUTE(D1002,",",""))+1))</f>
        <v/>
      </c>
      <c r="G1002" s="21">
        <f>IF(B1002="","",IF(COUNTIF($B$6:B1002,B1002)&gt;1,"중복",""))</f>
        <v/>
      </c>
      <c r="H1002" s="21">
        <f>IF(AND(A1002="",B1002="",C1002="",D1002=""),"",IF(AND(E1002&lt;=3,F1002&lt;=3,G1002=""),1,0))</f>
        <v/>
      </c>
      <c r="I1002" s="22">
        <f>IF(H1002=0,IF(G1002="중복","제외: 같은 이메일 중복 응답","제외: 3개 넘게 선택"),"")</f>
        <v/>
      </c>
    </row>
    <row r="1003">
      <c r="A1003" s="15" t="n"/>
      <c r="B1003" s="15" t="n"/>
      <c r="C1003" s="16" t="n"/>
      <c r="D1003" s="16" t="n"/>
      <c r="E1003" s="21">
        <f>IF(AND(A1003="",B1003="",C1003="",D1003=""),"",IF(TRIM(C1003)="",0,LEN(C1003)-LEN(SUBSTITUTE(C1003,",",""))+1))</f>
        <v/>
      </c>
      <c r="F1003" s="21">
        <f>IF(AND(A1003="",B1003="",C1003="",D1003=""),"",IF(TRIM(D1003)="",0,LEN(D1003)-LEN(SUBSTITUTE(D1003,",",""))+1))</f>
        <v/>
      </c>
      <c r="G1003" s="21">
        <f>IF(B1003="","",IF(COUNTIF($B$6:B1003,B1003)&gt;1,"중복",""))</f>
        <v/>
      </c>
      <c r="H1003" s="21">
        <f>IF(AND(A1003="",B1003="",C1003="",D1003=""),"",IF(AND(E1003&lt;=3,F1003&lt;=3,G1003=""),1,0))</f>
        <v/>
      </c>
      <c r="I1003" s="22">
        <f>IF(H1003=0,IF(G1003="중복","제외: 같은 이메일 중복 응답","제외: 3개 넘게 선택"),"")</f>
        <v/>
      </c>
    </row>
    <row r="1004">
      <c r="A1004" s="15" t="n"/>
      <c r="B1004" s="15" t="n"/>
      <c r="C1004" s="16" t="n"/>
      <c r="D1004" s="16" t="n"/>
      <c r="E1004" s="21">
        <f>IF(AND(A1004="",B1004="",C1004="",D1004=""),"",IF(TRIM(C1004)="",0,LEN(C1004)-LEN(SUBSTITUTE(C1004,",",""))+1))</f>
        <v/>
      </c>
      <c r="F1004" s="21">
        <f>IF(AND(A1004="",B1004="",C1004="",D1004=""),"",IF(TRIM(D1004)="",0,LEN(D1004)-LEN(SUBSTITUTE(D1004,",",""))+1))</f>
        <v/>
      </c>
      <c r="G1004" s="21">
        <f>IF(B1004="","",IF(COUNTIF($B$6:B1004,B1004)&gt;1,"중복",""))</f>
        <v/>
      </c>
      <c r="H1004" s="21">
        <f>IF(AND(A1004="",B1004="",C1004="",D1004=""),"",IF(AND(E1004&lt;=3,F1004&lt;=3,G1004=""),1,0))</f>
        <v/>
      </c>
      <c r="I1004" s="22">
        <f>IF(H1004=0,IF(G1004="중복","제외: 같은 이메일 중복 응답","제외: 3개 넘게 선택"),"")</f>
        <v/>
      </c>
    </row>
    <row r="1005">
      <c r="A1005" s="15" t="n"/>
      <c r="B1005" s="15" t="n"/>
      <c r="C1005" s="16" t="n"/>
      <c r="D1005" s="16" t="n"/>
      <c r="E1005" s="21">
        <f>IF(AND(A1005="",B1005="",C1005="",D1005=""),"",IF(TRIM(C1005)="",0,LEN(C1005)-LEN(SUBSTITUTE(C1005,",",""))+1))</f>
        <v/>
      </c>
      <c r="F1005" s="21">
        <f>IF(AND(A1005="",B1005="",C1005="",D1005=""),"",IF(TRIM(D1005)="",0,LEN(D1005)-LEN(SUBSTITUTE(D1005,",",""))+1))</f>
        <v/>
      </c>
      <c r="G1005" s="21">
        <f>IF(B1005="","",IF(COUNTIF($B$6:B1005,B1005)&gt;1,"중복",""))</f>
        <v/>
      </c>
      <c r="H1005" s="21">
        <f>IF(AND(A1005="",B1005="",C1005="",D1005=""),"",IF(AND(E1005&lt;=3,F1005&lt;=3,G1005=""),1,0))</f>
        <v/>
      </c>
      <c r="I1005" s="22">
        <f>IF(H1005=0,IF(G1005="중복","제외: 같은 이메일 중복 응답","제외: 3개 넘게 선택"),"")</f>
        <v/>
      </c>
    </row>
  </sheetData>
  <conditionalFormatting sqref="A6:I1005">
    <cfRule type="expression" priority="1" dxfId="0">
      <formula>$H6=0</formula>
    </cfRule>
  </conditionalFormatting>
  <dataValidations count="1">
    <dataValidation sqref="O6:O105" showDropDown="0" showInputMessage="0" showErrorMessage="0" allowBlank="1" error="0 이상의 정수를 입력하세요." type="whole" operator="greaterThanOrEqual">
      <formula1>0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10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13" customWidth="1" min="4" max="4"/>
    <col width="26" customWidth="1" min="5" max="5"/>
    <col width="10" customWidth="1" min="6" max="6"/>
    <col width="14" customWidth="1" min="7" max="7"/>
    <col width="8" customWidth="1" min="8" max="8"/>
    <col width="10" customWidth="1" min="9" max="9"/>
    <col width="10" customWidth="1" min="10" max="10"/>
    <col width="9" customWidth="1" min="11" max="11"/>
    <col width="14" customWidth="1" min="12" max="12"/>
    <col width="9" customWidth="1" min="13" max="13"/>
    <col width="7" customWidth="1" min="14" max="14"/>
    <col width="10" customWidth="1" min="15" max="15"/>
  </cols>
  <sheetData>
    <row r="1" ht="28" customHeight="1">
      <c r="A1" s="1" t="inlineStr">
        <is>
          <t>최종 결과 — 심사 50 + 투표 50 = 100점</t>
        </is>
      </c>
    </row>
    <row r="2">
      <c r="A2" s="2" t="inlineStr">
        <is>
          <t>모든 칸이 자동 계산돼요(노란 칸만 입력). 필터(▼)로 부문을 고르고 '부문 내 순위'로 정렬해 보세요.</t>
        </is>
      </c>
    </row>
    <row r="4" ht="34" customHeight="1">
      <c r="A4" s="3" t="inlineStr">
        <is>
          <t>부문</t>
        </is>
      </c>
      <c r="B4" s="3" t="inlineStr">
        <is>
          <t>전체 참가
작품 수(입력)</t>
        </is>
      </c>
      <c r="C4" s="3" t="inlineStr">
        <is>
          <t>본선
작품 수</t>
        </is>
      </c>
      <c r="D4" s="3" t="inlineStr">
        <is>
          <t>수상 인원
(자동)</t>
        </is>
      </c>
      <c r="E4" s="3" t="inlineStr">
        <is>
          <t>최다 득표</t>
        </is>
      </c>
      <c r="G4" s="3" t="inlineStr">
        <is>
          <t>수상 비율</t>
        </is>
      </c>
    </row>
    <row r="5">
      <c r="A5" s="27" t="inlineStr">
        <is>
          <t>블록</t>
        </is>
      </c>
      <c r="B5" s="15" t="n">
        <v>45</v>
      </c>
      <c r="C5" s="21">
        <f>COUNTIF($B$11:$B$110,A5)</f>
        <v/>
      </c>
      <c r="D5" s="21">
        <f>IF(N(B5)+C5=0,0,MAX(1,ROUND(IF(N(B5)&gt;0,B5,C5)*$G$5,0)))</f>
        <v/>
      </c>
      <c r="E5" s="21">
        <f>_xlfn.MAXIFS($H$11:$H$110,$B$11:$B$110,A5)</f>
        <v/>
      </c>
      <c r="G5" s="28" t="n">
        <v>0.1</v>
      </c>
    </row>
    <row r="6">
      <c r="A6" s="27" t="inlineStr">
        <is>
          <t>바이브</t>
        </is>
      </c>
      <c r="B6" s="15" t="n">
        <v>38</v>
      </c>
      <c r="C6" s="21">
        <f>COUNTIF($B$11:$B$110,A6)</f>
        <v/>
      </c>
      <c r="D6" s="21">
        <f>IF(N(B6)+C6=0,0,MAX(1,ROUND(IF(N(B6)&gt;0,B6,C6)*$G$5,0)))</f>
        <v/>
      </c>
      <c r="E6" s="21">
        <f>_xlfn.MAXIFS($H$11:$H$110,$B$11:$B$110,A6)</f>
        <v/>
      </c>
    </row>
    <row r="7">
      <c r="A7" s="27" t="inlineStr">
        <is>
          <t>상상</t>
        </is>
      </c>
      <c r="B7" s="15" t="n">
        <v>60</v>
      </c>
      <c r="C7" s="21">
        <f>COUNTIF($B$11:$B$110,A7)</f>
        <v/>
      </c>
      <c r="D7" s="21">
        <f>IF(N(B7)+C7=0,0,MAX(1,ROUND(IF(N(B7)&gt;0,B7,C7)*$G$5,0)))</f>
        <v/>
      </c>
      <c r="E7" s="21">
        <f>_xlfn.MAXIFS($H$11:$H$110,$B$11:$B$110,A7)</f>
        <v/>
      </c>
    </row>
    <row r="8">
      <c r="A8" s="29" t="inlineStr">
        <is>
          <t>※ 전체 참가 작품 수 = 1차 심사 전에 제출된 모든 작품 수(예시 값: 블록 45, 바이브 38, 상상 60). 비워 두면 본선 작품 수로 계산. 수상 추천: 1위 최우수, 2~3위 우수, 4위부터 장려.</t>
        </is>
      </c>
    </row>
    <row r="10" ht="44" customHeight="1">
      <c r="A10" s="3" t="inlineStr">
        <is>
          <t>작품번호</t>
        </is>
      </c>
      <c r="B10" s="3" t="inlineStr">
        <is>
          <t>부문</t>
        </is>
      </c>
      <c r="C10" s="3" t="inlineStr">
        <is>
          <t>학년반</t>
        </is>
      </c>
      <c r="D10" s="3" t="inlineStr">
        <is>
          <t>이름(팀)</t>
        </is>
      </c>
      <c r="E10" s="3" t="inlineStr">
        <is>
          <t>작품 이름</t>
        </is>
      </c>
      <c r="F10" s="3" t="inlineStr">
        <is>
          <t>심사 점수
(50)</t>
        </is>
      </c>
      <c r="G10" s="3" t="inlineStr">
        <is>
          <t>동점 기준
(제작과정/독창성)</t>
        </is>
      </c>
      <c r="H10" s="3" t="inlineStr">
        <is>
          <t>득표 수</t>
        </is>
      </c>
      <c r="I10" s="3" t="inlineStr">
        <is>
          <t>부문
최다 득표</t>
        </is>
      </c>
      <c r="J10" s="3" t="inlineStr">
        <is>
          <t>투표 점수
(50)</t>
        </is>
      </c>
      <c r="K10" s="3" t="inlineStr">
        <is>
          <t>총점
(100)</t>
        </is>
      </c>
      <c r="L10" s="3" t="inlineStr">
        <is>
          <t>정렬 기준
(총점+동점/10000)</t>
        </is>
      </c>
      <c r="M10" s="3" t="inlineStr">
        <is>
          <t>부문 내
순위</t>
        </is>
      </c>
      <c r="N10" s="3" t="inlineStr">
        <is>
          <t>수상
인원</t>
        </is>
      </c>
      <c r="O10" s="3" t="inlineStr">
        <is>
          <t>수상 추천</t>
        </is>
      </c>
    </row>
    <row r="11">
      <c r="A11" s="27">
        <f>IF(작품목록!A4="","",작품목록!A4)</f>
        <v/>
      </c>
      <c r="B11" s="21">
        <f>IF($A11="","",작품목록!B4&amp;"")</f>
        <v/>
      </c>
      <c r="C11" s="21">
        <f>IF($A11="","",작품목록!C4&amp;"")</f>
        <v/>
      </c>
      <c r="D11" s="21">
        <f>IF($A11="","",작품목록!D4&amp;"")</f>
        <v/>
      </c>
      <c r="E11" s="22">
        <f>IF($A11="","",작품목록!F4&amp;"")</f>
        <v/>
      </c>
      <c r="F11" s="24">
        <f>IF(A11="","",IFERROR(IF(B11="상상",INDEX(심사_상상!$P$5:$P$104,MATCH($A11,심사_상상!$A$5:$A$104,0)),INDEX(심사_블록바이브!$S$5:$S$104,MATCH($A11,심사_블록바이브!$A$5:$A$104,0)))+0,0))</f>
        <v/>
      </c>
      <c r="G11" s="24">
        <f>IF(A11="","",IFERROR(IF(B11="상상",INDEX(심사_상상!$Q$5:$Q$104,MATCH($A11,심사_상상!$A$5:$A$104,0)),INDEX(심사_블록바이브!$T$5:$T$104,MATCH($A11,심사_블록바이브!$A$5:$A$104,0)))+0,0))</f>
        <v/>
      </c>
      <c r="H11" s="21">
        <f>IF(A11="","",IFERROR(INDEX(투표집계!$P$6:$P$1005,MATCH(A11,투표집계!$K$6:$K$1005,0))+0,0))</f>
        <v/>
      </c>
      <c r="I11" s="21">
        <f>IF(A11="","",_xlfn.MAXIFS($H$11:$H$110,$B$11:$B$110,B11))</f>
        <v/>
      </c>
      <c r="J11" s="30">
        <f>IF(A11="","",IF(N(I11)=0,0,ROUND(H11/I11*50,1)))</f>
        <v/>
      </c>
      <c r="K11" s="23">
        <f>IF(A11="","",ROUND(F11+J11,2))</f>
        <v/>
      </c>
      <c r="L11" s="31">
        <f>IF(A11="","",K11+G11/10000)</f>
        <v/>
      </c>
      <c r="M11" s="27">
        <f>IF(A11="","",COUNTIFS($B$11:$B$110,B11,$L$11:$L$110,"&gt;"&amp;L11)+1)</f>
        <v/>
      </c>
      <c r="N11" s="21">
        <f>IF(A11="","",IFERROR(INDEX($D$5:$D$7,MATCH(B11,$A$5:$A$7,0)),0))</f>
        <v/>
      </c>
      <c r="O11" s="27">
        <f>IF(A11="","",IF(M11&gt;N11,"",IF(M11=1,"최우수",IF(M11&lt;=3,"우수","장려"))))</f>
        <v/>
      </c>
    </row>
    <row r="12">
      <c r="A12" s="27">
        <f>IF(작품목록!A5="","",작품목록!A5)</f>
        <v/>
      </c>
      <c r="B12" s="21">
        <f>IF($A12="","",작품목록!B5&amp;"")</f>
        <v/>
      </c>
      <c r="C12" s="21">
        <f>IF($A12="","",작품목록!C5&amp;"")</f>
        <v/>
      </c>
      <c r="D12" s="21">
        <f>IF($A12="","",작품목록!D5&amp;"")</f>
        <v/>
      </c>
      <c r="E12" s="22">
        <f>IF($A12="","",작품목록!F5&amp;"")</f>
        <v/>
      </c>
      <c r="F12" s="24">
        <f>IF(A12="","",IFERROR(IF(B12="상상",INDEX(심사_상상!$P$5:$P$104,MATCH($A12,심사_상상!$A$5:$A$104,0)),INDEX(심사_블록바이브!$S$5:$S$104,MATCH($A12,심사_블록바이브!$A$5:$A$104,0)))+0,0))</f>
        <v/>
      </c>
      <c r="G12" s="24">
        <f>IF(A12="","",IFERROR(IF(B12="상상",INDEX(심사_상상!$Q$5:$Q$104,MATCH($A12,심사_상상!$A$5:$A$104,0)),INDEX(심사_블록바이브!$T$5:$T$104,MATCH($A12,심사_블록바이브!$A$5:$A$104,0)))+0,0))</f>
        <v/>
      </c>
      <c r="H12" s="21">
        <f>IF(A12="","",IFERROR(INDEX(투표집계!$P$6:$P$1005,MATCH(A12,투표집계!$K$6:$K$1005,0))+0,0))</f>
        <v/>
      </c>
      <c r="I12" s="21">
        <f>IF(A12="","",_xlfn.MAXIFS($H$11:$H$110,$B$11:$B$110,B12))</f>
        <v/>
      </c>
      <c r="J12" s="30">
        <f>IF(A12="","",IF(N(I12)=0,0,ROUND(H12/I12*50,1)))</f>
        <v/>
      </c>
      <c r="K12" s="23">
        <f>IF(A12="","",ROUND(F12+J12,2))</f>
        <v/>
      </c>
      <c r="L12" s="31">
        <f>IF(A12="","",K12+G12/10000)</f>
        <v/>
      </c>
      <c r="M12" s="27">
        <f>IF(A12="","",COUNTIFS($B$11:$B$110,B12,$L$11:$L$110,"&gt;"&amp;L12)+1)</f>
        <v/>
      </c>
      <c r="N12" s="21">
        <f>IF(A12="","",IFERROR(INDEX($D$5:$D$7,MATCH(B12,$A$5:$A$7,0)),0))</f>
        <v/>
      </c>
      <c r="O12" s="27">
        <f>IF(A12="","",IF(M12&gt;N12,"",IF(M12=1,"최우수",IF(M12&lt;=3,"우수","장려"))))</f>
        <v/>
      </c>
    </row>
    <row r="13">
      <c r="A13" s="27">
        <f>IF(작품목록!A6="","",작품목록!A6)</f>
        <v/>
      </c>
      <c r="B13" s="21">
        <f>IF($A13="","",작품목록!B6&amp;"")</f>
        <v/>
      </c>
      <c r="C13" s="21">
        <f>IF($A13="","",작품목록!C6&amp;"")</f>
        <v/>
      </c>
      <c r="D13" s="21">
        <f>IF($A13="","",작품목록!D6&amp;"")</f>
        <v/>
      </c>
      <c r="E13" s="22">
        <f>IF($A13="","",작품목록!F6&amp;"")</f>
        <v/>
      </c>
      <c r="F13" s="24">
        <f>IF(A13="","",IFERROR(IF(B13="상상",INDEX(심사_상상!$P$5:$P$104,MATCH($A13,심사_상상!$A$5:$A$104,0)),INDEX(심사_블록바이브!$S$5:$S$104,MATCH($A13,심사_블록바이브!$A$5:$A$104,0)))+0,0))</f>
        <v/>
      </c>
      <c r="G13" s="24">
        <f>IF(A13="","",IFERROR(IF(B13="상상",INDEX(심사_상상!$Q$5:$Q$104,MATCH($A13,심사_상상!$A$5:$A$104,0)),INDEX(심사_블록바이브!$T$5:$T$104,MATCH($A13,심사_블록바이브!$A$5:$A$104,0)))+0,0))</f>
        <v/>
      </c>
      <c r="H13" s="21">
        <f>IF(A13="","",IFERROR(INDEX(투표집계!$P$6:$P$1005,MATCH(A13,투표집계!$K$6:$K$1005,0))+0,0))</f>
        <v/>
      </c>
      <c r="I13" s="21">
        <f>IF(A13="","",_xlfn.MAXIFS($H$11:$H$110,$B$11:$B$110,B13))</f>
        <v/>
      </c>
      <c r="J13" s="30">
        <f>IF(A13="","",IF(N(I13)=0,0,ROUND(H13/I13*50,1)))</f>
        <v/>
      </c>
      <c r="K13" s="23">
        <f>IF(A13="","",ROUND(F13+J13,2))</f>
        <v/>
      </c>
      <c r="L13" s="31">
        <f>IF(A13="","",K13+G13/10000)</f>
        <v/>
      </c>
      <c r="M13" s="27">
        <f>IF(A13="","",COUNTIFS($B$11:$B$110,B13,$L$11:$L$110,"&gt;"&amp;L13)+1)</f>
        <v/>
      </c>
      <c r="N13" s="21">
        <f>IF(A13="","",IFERROR(INDEX($D$5:$D$7,MATCH(B13,$A$5:$A$7,0)),0))</f>
        <v/>
      </c>
      <c r="O13" s="27">
        <f>IF(A13="","",IF(M13&gt;N13,"",IF(M13=1,"최우수",IF(M13&lt;=3,"우수","장려"))))</f>
        <v/>
      </c>
    </row>
    <row r="14">
      <c r="A14" s="27">
        <f>IF(작품목록!A7="","",작품목록!A7)</f>
        <v/>
      </c>
      <c r="B14" s="21">
        <f>IF($A14="","",작품목록!B7&amp;"")</f>
        <v/>
      </c>
      <c r="C14" s="21">
        <f>IF($A14="","",작품목록!C7&amp;"")</f>
        <v/>
      </c>
      <c r="D14" s="21">
        <f>IF($A14="","",작품목록!D7&amp;"")</f>
        <v/>
      </c>
      <c r="E14" s="22">
        <f>IF($A14="","",작품목록!F7&amp;"")</f>
        <v/>
      </c>
      <c r="F14" s="24">
        <f>IF(A14="","",IFERROR(IF(B14="상상",INDEX(심사_상상!$P$5:$P$104,MATCH($A14,심사_상상!$A$5:$A$104,0)),INDEX(심사_블록바이브!$S$5:$S$104,MATCH($A14,심사_블록바이브!$A$5:$A$104,0)))+0,0))</f>
        <v/>
      </c>
      <c r="G14" s="24">
        <f>IF(A14="","",IFERROR(IF(B14="상상",INDEX(심사_상상!$Q$5:$Q$104,MATCH($A14,심사_상상!$A$5:$A$104,0)),INDEX(심사_블록바이브!$T$5:$T$104,MATCH($A14,심사_블록바이브!$A$5:$A$104,0)))+0,0))</f>
        <v/>
      </c>
      <c r="H14" s="21">
        <f>IF(A14="","",IFERROR(INDEX(투표집계!$P$6:$P$1005,MATCH(A14,투표집계!$K$6:$K$1005,0))+0,0))</f>
        <v/>
      </c>
      <c r="I14" s="21">
        <f>IF(A14="","",_xlfn.MAXIFS($H$11:$H$110,$B$11:$B$110,B14))</f>
        <v/>
      </c>
      <c r="J14" s="30">
        <f>IF(A14="","",IF(N(I14)=0,0,ROUND(H14/I14*50,1)))</f>
        <v/>
      </c>
      <c r="K14" s="23">
        <f>IF(A14="","",ROUND(F14+J14,2))</f>
        <v/>
      </c>
      <c r="L14" s="31">
        <f>IF(A14="","",K14+G14/10000)</f>
        <v/>
      </c>
      <c r="M14" s="27">
        <f>IF(A14="","",COUNTIFS($B$11:$B$110,B14,$L$11:$L$110,"&gt;"&amp;L14)+1)</f>
        <v/>
      </c>
      <c r="N14" s="21">
        <f>IF(A14="","",IFERROR(INDEX($D$5:$D$7,MATCH(B14,$A$5:$A$7,0)),0))</f>
        <v/>
      </c>
      <c r="O14" s="27">
        <f>IF(A14="","",IF(M14&gt;N14,"",IF(M14=1,"최우수",IF(M14&lt;=3,"우수","장려"))))</f>
        <v/>
      </c>
    </row>
    <row r="15">
      <c r="A15" s="27">
        <f>IF(작품목록!A8="","",작품목록!A8)</f>
        <v/>
      </c>
      <c r="B15" s="21">
        <f>IF($A15="","",작품목록!B8&amp;"")</f>
        <v/>
      </c>
      <c r="C15" s="21">
        <f>IF($A15="","",작품목록!C8&amp;"")</f>
        <v/>
      </c>
      <c r="D15" s="21">
        <f>IF($A15="","",작품목록!D8&amp;"")</f>
        <v/>
      </c>
      <c r="E15" s="22">
        <f>IF($A15="","",작품목록!F8&amp;"")</f>
        <v/>
      </c>
      <c r="F15" s="24">
        <f>IF(A15="","",IFERROR(IF(B15="상상",INDEX(심사_상상!$P$5:$P$104,MATCH($A15,심사_상상!$A$5:$A$104,0)),INDEX(심사_블록바이브!$S$5:$S$104,MATCH($A15,심사_블록바이브!$A$5:$A$104,0)))+0,0))</f>
        <v/>
      </c>
      <c r="G15" s="24">
        <f>IF(A15="","",IFERROR(IF(B15="상상",INDEX(심사_상상!$Q$5:$Q$104,MATCH($A15,심사_상상!$A$5:$A$104,0)),INDEX(심사_블록바이브!$T$5:$T$104,MATCH($A15,심사_블록바이브!$A$5:$A$104,0)))+0,0))</f>
        <v/>
      </c>
      <c r="H15" s="21">
        <f>IF(A15="","",IFERROR(INDEX(투표집계!$P$6:$P$1005,MATCH(A15,투표집계!$K$6:$K$1005,0))+0,0))</f>
        <v/>
      </c>
      <c r="I15" s="21">
        <f>IF(A15="","",_xlfn.MAXIFS($H$11:$H$110,$B$11:$B$110,B15))</f>
        <v/>
      </c>
      <c r="J15" s="30">
        <f>IF(A15="","",IF(N(I15)=0,0,ROUND(H15/I15*50,1)))</f>
        <v/>
      </c>
      <c r="K15" s="23">
        <f>IF(A15="","",ROUND(F15+J15,2))</f>
        <v/>
      </c>
      <c r="L15" s="31">
        <f>IF(A15="","",K15+G15/10000)</f>
        <v/>
      </c>
      <c r="M15" s="27">
        <f>IF(A15="","",COUNTIFS($B$11:$B$110,B15,$L$11:$L$110,"&gt;"&amp;L15)+1)</f>
        <v/>
      </c>
      <c r="N15" s="21">
        <f>IF(A15="","",IFERROR(INDEX($D$5:$D$7,MATCH(B15,$A$5:$A$7,0)),0))</f>
        <v/>
      </c>
      <c r="O15" s="27">
        <f>IF(A15="","",IF(M15&gt;N15,"",IF(M15=1,"최우수",IF(M15&lt;=3,"우수","장려"))))</f>
        <v/>
      </c>
    </row>
    <row r="16">
      <c r="A16" s="27">
        <f>IF(작품목록!A9="","",작품목록!A9)</f>
        <v/>
      </c>
      <c r="B16" s="21">
        <f>IF($A16="","",작품목록!B9&amp;"")</f>
        <v/>
      </c>
      <c r="C16" s="21">
        <f>IF($A16="","",작품목록!C9&amp;"")</f>
        <v/>
      </c>
      <c r="D16" s="21">
        <f>IF($A16="","",작품목록!D9&amp;"")</f>
        <v/>
      </c>
      <c r="E16" s="22">
        <f>IF($A16="","",작품목록!F9&amp;"")</f>
        <v/>
      </c>
      <c r="F16" s="24">
        <f>IF(A16="","",IFERROR(IF(B16="상상",INDEX(심사_상상!$P$5:$P$104,MATCH($A16,심사_상상!$A$5:$A$104,0)),INDEX(심사_블록바이브!$S$5:$S$104,MATCH($A16,심사_블록바이브!$A$5:$A$104,0)))+0,0))</f>
        <v/>
      </c>
      <c r="G16" s="24">
        <f>IF(A16="","",IFERROR(IF(B16="상상",INDEX(심사_상상!$Q$5:$Q$104,MATCH($A16,심사_상상!$A$5:$A$104,0)),INDEX(심사_블록바이브!$T$5:$T$104,MATCH($A16,심사_블록바이브!$A$5:$A$104,0)))+0,0))</f>
        <v/>
      </c>
      <c r="H16" s="21">
        <f>IF(A16="","",IFERROR(INDEX(투표집계!$P$6:$P$1005,MATCH(A16,투표집계!$K$6:$K$1005,0))+0,0))</f>
        <v/>
      </c>
      <c r="I16" s="21">
        <f>IF(A16="","",_xlfn.MAXIFS($H$11:$H$110,$B$11:$B$110,B16))</f>
        <v/>
      </c>
      <c r="J16" s="30">
        <f>IF(A16="","",IF(N(I16)=0,0,ROUND(H16/I16*50,1)))</f>
        <v/>
      </c>
      <c r="K16" s="23">
        <f>IF(A16="","",ROUND(F16+J16,2))</f>
        <v/>
      </c>
      <c r="L16" s="31">
        <f>IF(A16="","",K16+G16/10000)</f>
        <v/>
      </c>
      <c r="M16" s="27">
        <f>IF(A16="","",COUNTIFS($B$11:$B$110,B16,$L$11:$L$110,"&gt;"&amp;L16)+1)</f>
        <v/>
      </c>
      <c r="N16" s="21">
        <f>IF(A16="","",IFERROR(INDEX($D$5:$D$7,MATCH(B16,$A$5:$A$7,0)),0))</f>
        <v/>
      </c>
      <c r="O16" s="27">
        <f>IF(A16="","",IF(M16&gt;N16,"",IF(M16=1,"최우수",IF(M16&lt;=3,"우수","장려"))))</f>
        <v/>
      </c>
    </row>
    <row r="17">
      <c r="A17" s="27">
        <f>IF(작품목록!A10="","",작품목록!A10)</f>
        <v/>
      </c>
      <c r="B17" s="21">
        <f>IF($A17="","",작품목록!B10&amp;"")</f>
        <v/>
      </c>
      <c r="C17" s="21">
        <f>IF($A17="","",작품목록!C10&amp;"")</f>
        <v/>
      </c>
      <c r="D17" s="21">
        <f>IF($A17="","",작품목록!D10&amp;"")</f>
        <v/>
      </c>
      <c r="E17" s="22">
        <f>IF($A17="","",작품목록!F10&amp;"")</f>
        <v/>
      </c>
      <c r="F17" s="24">
        <f>IF(A17="","",IFERROR(IF(B17="상상",INDEX(심사_상상!$P$5:$P$104,MATCH($A17,심사_상상!$A$5:$A$104,0)),INDEX(심사_블록바이브!$S$5:$S$104,MATCH($A17,심사_블록바이브!$A$5:$A$104,0)))+0,0))</f>
        <v/>
      </c>
      <c r="G17" s="24">
        <f>IF(A17="","",IFERROR(IF(B17="상상",INDEX(심사_상상!$Q$5:$Q$104,MATCH($A17,심사_상상!$A$5:$A$104,0)),INDEX(심사_블록바이브!$T$5:$T$104,MATCH($A17,심사_블록바이브!$A$5:$A$104,0)))+0,0))</f>
        <v/>
      </c>
      <c r="H17" s="21">
        <f>IF(A17="","",IFERROR(INDEX(투표집계!$P$6:$P$1005,MATCH(A17,투표집계!$K$6:$K$1005,0))+0,0))</f>
        <v/>
      </c>
      <c r="I17" s="21">
        <f>IF(A17="","",_xlfn.MAXIFS($H$11:$H$110,$B$11:$B$110,B17))</f>
        <v/>
      </c>
      <c r="J17" s="30">
        <f>IF(A17="","",IF(N(I17)=0,0,ROUND(H17/I17*50,1)))</f>
        <v/>
      </c>
      <c r="K17" s="23">
        <f>IF(A17="","",ROUND(F17+J17,2))</f>
        <v/>
      </c>
      <c r="L17" s="31">
        <f>IF(A17="","",K17+G17/10000)</f>
        <v/>
      </c>
      <c r="M17" s="27">
        <f>IF(A17="","",COUNTIFS($B$11:$B$110,B17,$L$11:$L$110,"&gt;"&amp;L17)+1)</f>
        <v/>
      </c>
      <c r="N17" s="21">
        <f>IF(A17="","",IFERROR(INDEX($D$5:$D$7,MATCH(B17,$A$5:$A$7,0)),0))</f>
        <v/>
      </c>
      <c r="O17" s="27">
        <f>IF(A17="","",IF(M17&gt;N17,"",IF(M17=1,"최우수",IF(M17&lt;=3,"우수","장려"))))</f>
        <v/>
      </c>
    </row>
    <row r="18">
      <c r="A18" s="27">
        <f>IF(작품목록!A11="","",작품목록!A11)</f>
        <v/>
      </c>
      <c r="B18" s="21">
        <f>IF($A18="","",작품목록!B11&amp;"")</f>
        <v/>
      </c>
      <c r="C18" s="21">
        <f>IF($A18="","",작품목록!C11&amp;"")</f>
        <v/>
      </c>
      <c r="D18" s="21">
        <f>IF($A18="","",작품목록!D11&amp;"")</f>
        <v/>
      </c>
      <c r="E18" s="22">
        <f>IF($A18="","",작품목록!F11&amp;"")</f>
        <v/>
      </c>
      <c r="F18" s="24">
        <f>IF(A18="","",IFERROR(IF(B18="상상",INDEX(심사_상상!$P$5:$P$104,MATCH($A18,심사_상상!$A$5:$A$104,0)),INDEX(심사_블록바이브!$S$5:$S$104,MATCH($A18,심사_블록바이브!$A$5:$A$104,0)))+0,0))</f>
        <v/>
      </c>
      <c r="G18" s="24">
        <f>IF(A18="","",IFERROR(IF(B18="상상",INDEX(심사_상상!$Q$5:$Q$104,MATCH($A18,심사_상상!$A$5:$A$104,0)),INDEX(심사_블록바이브!$T$5:$T$104,MATCH($A18,심사_블록바이브!$A$5:$A$104,0)))+0,0))</f>
        <v/>
      </c>
      <c r="H18" s="21">
        <f>IF(A18="","",IFERROR(INDEX(투표집계!$P$6:$P$1005,MATCH(A18,투표집계!$K$6:$K$1005,0))+0,0))</f>
        <v/>
      </c>
      <c r="I18" s="21">
        <f>IF(A18="","",_xlfn.MAXIFS($H$11:$H$110,$B$11:$B$110,B18))</f>
        <v/>
      </c>
      <c r="J18" s="30">
        <f>IF(A18="","",IF(N(I18)=0,0,ROUND(H18/I18*50,1)))</f>
        <v/>
      </c>
      <c r="K18" s="23">
        <f>IF(A18="","",ROUND(F18+J18,2))</f>
        <v/>
      </c>
      <c r="L18" s="31">
        <f>IF(A18="","",K18+G18/10000)</f>
        <v/>
      </c>
      <c r="M18" s="27">
        <f>IF(A18="","",COUNTIFS($B$11:$B$110,B18,$L$11:$L$110,"&gt;"&amp;L18)+1)</f>
        <v/>
      </c>
      <c r="N18" s="21">
        <f>IF(A18="","",IFERROR(INDEX($D$5:$D$7,MATCH(B18,$A$5:$A$7,0)),0))</f>
        <v/>
      </c>
      <c r="O18" s="27">
        <f>IF(A18="","",IF(M18&gt;N18,"",IF(M18=1,"최우수",IF(M18&lt;=3,"우수","장려"))))</f>
        <v/>
      </c>
    </row>
    <row r="19">
      <c r="A19" s="27">
        <f>IF(작품목록!A12="","",작품목록!A12)</f>
        <v/>
      </c>
      <c r="B19" s="21">
        <f>IF($A19="","",작품목록!B12&amp;"")</f>
        <v/>
      </c>
      <c r="C19" s="21">
        <f>IF($A19="","",작품목록!C12&amp;"")</f>
        <v/>
      </c>
      <c r="D19" s="21">
        <f>IF($A19="","",작품목록!D12&amp;"")</f>
        <v/>
      </c>
      <c r="E19" s="22">
        <f>IF($A19="","",작품목록!F12&amp;"")</f>
        <v/>
      </c>
      <c r="F19" s="24">
        <f>IF(A19="","",IFERROR(IF(B19="상상",INDEX(심사_상상!$P$5:$P$104,MATCH($A19,심사_상상!$A$5:$A$104,0)),INDEX(심사_블록바이브!$S$5:$S$104,MATCH($A19,심사_블록바이브!$A$5:$A$104,0)))+0,0))</f>
        <v/>
      </c>
      <c r="G19" s="24">
        <f>IF(A19="","",IFERROR(IF(B19="상상",INDEX(심사_상상!$Q$5:$Q$104,MATCH($A19,심사_상상!$A$5:$A$104,0)),INDEX(심사_블록바이브!$T$5:$T$104,MATCH($A19,심사_블록바이브!$A$5:$A$104,0)))+0,0))</f>
        <v/>
      </c>
      <c r="H19" s="21">
        <f>IF(A19="","",IFERROR(INDEX(투표집계!$P$6:$P$1005,MATCH(A19,투표집계!$K$6:$K$1005,0))+0,0))</f>
        <v/>
      </c>
      <c r="I19" s="21">
        <f>IF(A19="","",_xlfn.MAXIFS($H$11:$H$110,$B$11:$B$110,B19))</f>
        <v/>
      </c>
      <c r="J19" s="30">
        <f>IF(A19="","",IF(N(I19)=0,0,ROUND(H19/I19*50,1)))</f>
        <v/>
      </c>
      <c r="K19" s="23">
        <f>IF(A19="","",ROUND(F19+J19,2))</f>
        <v/>
      </c>
      <c r="L19" s="31">
        <f>IF(A19="","",K19+G19/10000)</f>
        <v/>
      </c>
      <c r="M19" s="27">
        <f>IF(A19="","",COUNTIFS($B$11:$B$110,B19,$L$11:$L$110,"&gt;"&amp;L19)+1)</f>
        <v/>
      </c>
      <c r="N19" s="21">
        <f>IF(A19="","",IFERROR(INDEX($D$5:$D$7,MATCH(B19,$A$5:$A$7,0)),0))</f>
        <v/>
      </c>
      <c r="O19" s="27">
        <f>IF(A19="","",IF(M19&gt;N19,"",IF(M19=1,"최우수",IF(M19&lt;=3,"우수","장려"))))</f>
        <v/>
      </c>
    </row>
    <row r="20">
      <c r="A20" s="27">
        <f>IF(작품목록!A13="","",작품목록!A13)</f>
        <v/>
      </c>
      <c r="B20" s="21">
        <f>IF($A20="","",작품목록!B13&amp;"")</f>
        <v/>
      </c>
      <c r="C20" s="21">
        <f>IF($A20="","",작품목록!C13&amp;"")</f>
        <v/>
      </c>
      <c r="D20" s="21">
        <f>IF($A20="","",작품목록!D13&amp;"")</f>
        <v/>
      </c>
      <c r="E20" s="22">
        <f>IF($A20="","",작품목록!F13&amp;"")</f>
        <v/>
      </c>
      <c r="F20" s="24">
        <f>IF(A20="","",IFERROR(IF(B20="상상",INDEX(심사_상상!$P$5:$P$104,MATCH($A20,심사_상상!$A$5:$A$104,0)),INDEX(심사_블록바이브!$S$5:$S$104,MATCH($A20,심사_블록바이브!$A$5:$A$104,0)))+0,0))</f>
        <v/>
      </c>
      <c r="G20" s="24">
        <f>IF(A20="","",IFERROR(IF(B20="상상",INDEX(심사_상상!$Q$5:$Q$104,MATCH($A20,심사_상상!$A$5:$A$104,0)),INDEX(심사_블록바이브!$T$5:$T$104,MATCH($A20,심사_블록바이브!$A$5:$A$104,0)))+0,0))</f>
        <v/>
      </c>
      <c r="H20" s="21">
        <f>IF(A20="","",IFERROR(INDEX(투표집계!$P$6:$P$1005,MATCH(A20,투표집계!$K$6:$K$1005,0))+0,0))</f>
        <v/>
      </c>
      <c r="I20" s="21">
        <f>IF(A20="","",_xlfn.MAXIFS($H$11:$H$110,$B$11:$B$110,B20))</f>
        <v/>
      </c>
      <c r="J20" s="30">
        <f>IF(A20="","",IF(N(I20)=0,0,ROUND(H20/I20*50,1)))</f>
        <v/>
      </c>
      <c r="K20" s="23">
        <f>IF(A20="","",ROUND(F20+J20,2))</f>
        <v/>
      </c>
      <c r="L20" s="31">
        <f>IF(A20="","",K20+G20/10000)</f>
        <v/>
      </c>
      <c r="M20" s="27">
        <f>IF(A20="","",COUNTIFS($B$11:$B$110,B20,$L$11:$L$110,"&gt;"&amp;L20)+1)</f>
        <v/>
      </c>
      <c r="N20" s="21">
        <f>IF(A20="","",IFERROR(INDEX($D$5:$D$7,MATCH(B20,$A$5:$A$7,0)),0))</f>
        <v/>
      </c>
      <c r="O20" s="27">
        <f>IF(A20="","",IF(M20&gt;N20,"",IF(M20=1,"최우수",IF(M20&lt;=3,"우수","장려"))))</f>
        <v/>
      </c>
    </row>
    <row r="21">
      <c r="A21" s="27">
        <f>IF(작품목록!A14="","",작품목록!A14)</f>
        <v/>
      </c>
      <c r="B21" s="21">
        <f>IF($A21="","",작품목록!B14&amp;"")</f>
        <v/>
      </c>
      <c r="C21" s="21">
        <f>IF($A21="","",작품목록!C14&amp;"")</f>
        <v/>
      </c>
      <c r="D21" s="21">
        <f>IF($A21="","",작품목록!D14&amp;"")</f>
        <v/>
      </c>
      <c r="E21" s="22">
        <f>IF($A21="","",작품목록!F14&amp;"")</f>
        <v/>
      </c>
      <c r="F21" s="24">
        <f>IF(A21="","",IFERROR(IF(B21="상상",INDEX(심사_상상!$P$5:$P$104,MATCH($A21,심사_상상!$A$5:$A$104,0)),INDEX(심사_블록바이브!$S$5:$S$104,MATCH($A21,심사_블록바이브!$A$5:$A$104,0)))+0,0))</f>
        <v/>
      </c>
      <c r="G21" s="24">
        <f>IF(A21="","",IFERROR(IF(B21="상상",INDEX(심사_상상!$Q$5:$Q$104,MATCH($A21,심사_상상!$A$5:$A$104,0)),INDEX(심사_블록바이브!$T$5:$T$104,MATCH($A21,심사_블록바이브!$A$5:$A$104,0)))+0,0))</f>
        <v/>
      </c>
      <c r="H21" s="21">
        <f>IF(A21="","",IFERROR(INDEX(투표집계!$P$6:$P$1005,MATCH(A21,투표집계!$K$6:$K$1005,0))+0,0))</f>
        <v/>
      </c>
      <c r="I21" s="21">
        <f>IF(A21="","",_xlfn.MAXIFS($H$11:$H$110,$B$11:$B$110,B21))</f>
        <v/>
      </c>
      <c r="J21" s="30">
        <f>IF(A21="","",IF(N(I21)=0,0,ROUND(H21/I21*50,1)))</f>
        <v/>
      </c>
      <c r="K21" s="23">
        <f>IF(A21="","",ROUND(F21+J21,2))</f>
        <v/>
      </c>
      <c r="L21" s="31">
        <f>IF(A21="","",K21+G21/10000)</f>
        <v/>
      </c>
      <c r="M21" s="27">
        <f>IF(A21="","",COUNTIFS($B$11:$B$110,B21,$L$11:$L$110,"&gt;"&amp;L21)+1)</f>
        <v/>
      </c>
      <c r="N21" s="21">
        <f>IF(A21="","",IFERROR(INDEX($D$5:$D$7,MATCH(B21,$A$5:$A$7,0)),0))</f>
        <v/>
      </c>
      <c r="O21" s="27">
        <f>IF(A21="","",IF(M21&gt;N21,"",IF(M21=1,"최우수",IF(M21&lt;=3,"우수","장려"))))</f>
        <v/>
      </c>
    </row>
    <row r="22">
      <c r="A22" s="27">
        <f>IF(작품목록!A15="","",작품목록!A15)</f>
        <v/>
      </c>
      <c r="B22" s="21">
        <f>IF($A22="","",작품목록!B15&amp;"")</f>
        <v/>
      </c>
      <c r="C22" s="21">
        <f>IF($A22="","",작품목록!C15&amp;"")</f>
        <v/>
      </c>
      <c r="D22" s="21">
        <f>IF($A22="","",작품목록!D15&amp;"")</f>
        <v/>
      </c>
      <c r="E22" s="22">
        <f>IF($A22="","",작품목록!F15&amp;"")</f>
        <v/>
      </c>
      <c r="F22" s="24">
        <f>IF(A22="","",IFERROR(IF(B22="상상",INDEX(심사_상상!$P$5:$P$104,MATCH($A22,심사_상상!$A$5:$A$104,0)),INDEX(심사_블록바이브!$S$5:$S$104,MATCH($A22,심사_블록바이브!$A$5:$A$104,0)))+0,0))</f>
        <v/>
      </c>
      <c r="G22" s="24">
        <f>IF(A22="","",IFERROR(IF(B22="상상",INDEX(심사_상상!$Q$5:$Q$104,MATCH($A22,심사_상상!$A$5:$A$104,0)),INDEX(심사_블록바이브!$T$5:$T$104,MATCH($A22,심사_블록바이브!$A$5:$A$104,0)))+0,0))</f>
        <v/>
      </c>
      <c r="H22" s="21">
        <f>IF(A22="","",IFERROR(INDEX(투표집계!$P$6:$P$1005,MATCH(A22,투표집계!$K$6:$K$1005,0))+0,0))</f>
        <v/>
      </c>
      <c r="I22" s="21">
        <f>IF(A22="","",_xlfn.MAXIFS($H$11:$H$110,$B$11:$B$110,B22))</f>
        <v/>
      </c>
      <c r="J22" s="30">
        <f>IF(A22="","",IF(N(I22)=0,0,ROUND(H22/I22*50,1)))</f>
        <v/>
      </c>
      <c r="K22" s="23">
        <f>IF(A22="","",ROUND(F22+J22,2))</f>
        <v/>
      </c>
      <c r="L22" s="31">
        <f>IF(A22="","",K22+G22/10000)</f>
        <v/>
      </c>
      <c r="M22" s="27">
        <f>IF(A22="","",COUNTIFS($B$11:$B$110,B22,$L$11:$L$110,"&gt;"&amp;L22)+1)</f>
        <v/>
      </c>
      <c r="N22" s="21">
        <f>IF(A22="","",IFERROR(INDEX($D$5:$D$7,MATCH(B22,$A$5:$A$7,0)),0))</f>
        <v/>
      </c>
      <c r="O22" s="27">
        <f>IF(A22="","",IF(M22&gt;N22,"",IF(M22=1,"최우수",IF(M22&lt;=3,"우수","장려"))))</f>
        <v/>
      </c>
    </row>
    <row r="23">
      <c r="A23" s="27">
        <f>IF(작품목록!A16="","",작품목록!A16)</f>
        <v/>
      </c>
      <c r="B23" s="21">
        <f>IF($A23="","",작품목록!B16&amp;"")</f>
        <v/>
      </c>
      <c r="C23" s="21">
        <f>IF($A23="","",작품목록!C16&amp;"")</f>
        <v/>
      </c>
      <c r="D23" s="21">
        <f>IF($A23="","",작품목록!D16&amp;"")</f>
        <v/>
      </c>
      <c r="E23" s="22">
        <f>IF($A23="","",작품목록!F16&amp;"")</f>
        <v/>
      </c>
      <c r="F23" s="24">
        <f>IF(A23="","",IFERROR(IF(B23="상상",INDEX(심사_상상!$P$5:$P$104,MATCH($A23,심사_상상!$A$5:$A$104,0)),INDEX(심사_블록바이브!$S$5:$S$104,MATCH($A23,심사_블록바이브!$A$5:$A$104,0)))+0,0))</f>
        <v/>
      </c>
      <c r="G23" s="24">
        <f>IF(A23="","",IFERROR(IF(B23="상상",INDEX(심사_상상!$Q$5:$Q$104,MATCH($A23,심사_상상!$A$5:$A$104,0)),INDEX(심사_블록바이브!$T$5:$T$104,MATCH($A23,심사_블록바이브!$A$5:$A$104,0)))+0,0))</f>
        <v/>
      </c>
      <c r="H23" s="21">
        <f>IF(A23="","",IFERROR(INDEX(투표집계!$P$6:$P$1005,MATCH(A23,투표집계!$K$6:$K$1005,0))+0,0))</f>
        <v/>
      </c>
      <c r="I23" s="21">
        <f>IF(A23="","",_xlfn.MAXIFS($H$11:$H$110,$B$11:$B$110,B23))</f>
        <v/>
      </c>
      <c r="J23" s="30">
        <f>IF(A23="","",IF(N(I23)=0,0,ROUND(H23/I23*50,1)))</f>
        <v/>
      </c>
      <c r="K23" s="23">
        <f>IF(A23="","",ROUND(F23+J23,2))</f>
        <v/>
      </c>
      <c r="L23" s="31">
        <f>IF(A23="","",K23+G23/10000)</f>
        <v/>
      </c>
      <c r="M23" s="27">
        <f>IF(A23="","",COUNTIFS($B$11:$B$110,B23,$L$11:$L$110,"&gt;"&amp;L23)+1)</f>
        <v/>
      </c>
      <c r="N23" s="21">
        <f>IF(A23="","",IFERROR(INDEX($D$5:$D$7,MATCH(B23,$A$5:$A$7,0)),0))</f>
        <v/>
      </c>
      <c r="O23" s="27">
        <f>IF(A23="","",IF(M23&gt;N23,"",IF(M23=1,"최우수",IF(M23&lt;=3,"우수","장려"))))</f>
        <v/>
      </c>
    </row>
    <row r="24">
      <c r="A24" s="27">
        <f>IF(작품목록!A17="","",작품목록!A17)</f>
        <v/>
      </c>
      <c r="B24" s="21">
        <f>IF($A24="","",작품목록!B17&amp;"")</f>
        <v/>
      </c>
      <c r="C24" s="21">
        <f>IF($A24="","",작품목록!C17&amp;"")</f>
        <v/>
      </c>
      <c r="D24" s="21">
        <f>IF($A24="","",작품목록!D17&amp;"")</f>
        <v/>
      </c>
      <c r="E24" s="22">
        <f>IF($A24="","",작품목록!F17&amp;"")</f>
        <v/>
      </c>
      <c r="F24" s="24">
        <f>IF(A24="","",IFERROR(IF(B24="상상",INDEX(심사_상상!$P$5:$P$104,MATCH($A24,심사_상상!$A$5:$A$104,0)),INDEX(심사_블록바이브!$S$5:$S$104,MATCH($A24,심사_블록바이브!$A$5:$A$104,0)))+0,0))</f>
        <v/>
      </c>
      <c r="G24" s="24">
        <f>IF(A24="","",IFERROR(IF(B24="상상",INDEX(심사_상상!$Q$5:$Q$104,MATCH($A24,심사_상상!$A$5:$A$104,0)),INDEX(심사_블록바이브!$T$5:$T$104,MATCH($A24,심사_블록바이브!$A$5:$A$104,0)))+0,0))</f>
        <v/>
      </c>
      <c r="H24" s="21">
        <f>IF(A24="","",IFERROR(INDEX(투표집계!$P$6:$P$1005,MATCH(A24,투표집계!$K$6:$K$1005,0))+0,0))</f>
        <v/>
      </c>
      <c r="I24" s="21">
        <f>IF(A24="","",_xlfn.MAXIFS($H$11:$H$110,$B$11:$B$110,B24))</f>
        <v/>
      </c>
      <c r="J24" s="30">
        <f>IF(A24="","",IF(N(I24)=0,0,ROUND(H24/I24*50,1)))</f>
        <v/>
      </c>
      <c r="K24" s="23">
        <f>IF(A24="","",ROUND(F24+J24,2))</f>
        <v/>
      </c>
      <c r="L24" s="31">
        <f>IF(A24="","",K24+G24/10000)</f>
        <v/>
      </c>
      <c r="M24" s="27">
        <f>IF(A24="","",COUNTIFS($B$11:$B$110,B24,$L$11:$L$110,"&gt;"&amp;L24)+1)</f>
        <v/>
      </c>
      <c r="N24" s="21">
        <f>IF(A24="","",IFERROR(INDEX($D$5:$D$7,MATCH(B24,$A$5:$A$7,0)),0))</f>
        <v/>
      </c>
      <c r="O24" s="27">
        <f>IF(A24="","",IF(M24&gt;N24,"",IF(M24=1,"최우수",IF(M24&lt;=3,"우수","장려"))))</f>
        <v/>
      </c>
    </row>
    <row r="25">
      <c r="A25" s="27">
        <f>IF(작품목록!A18="","",작품목록!A18)</f>
        <v/>
      </c>
      <c r="B25" s="21">
        <f>IF($A25="","",작품목록!B18&amp;"")</f>
        <v/>
      </c>
      <c r="C25" s="21">
        <f>IF($A25="","",작품목록!C18&amp;"")</f>
        <v/>
      </c>
      <c r="D25" s="21">
        <f>IF($A25="","",작품목록!D18&amp;"")</f>
        <v/>
      </c>
      <c r="E25" s="22">
        <f>IF($A25="","",작품목록!F18&amp;"")</f>
        <v/>
      </c>
      <c r="F25" s="24">
        <f>IF(A25="","",IFERROR(IF(B25="상상",INDEX(심사_상상!$P$5:$P$104,MATCH($A25,심사_상상!$A$5:$A$104,0)),INDEX(심사_블록바이브!$S$5:$S$104,MATCH($A25,심사_블록바이브!$A$5:$A$104,0)))+0,0))</f>
        <v/>
      </c>
      <c r="G25" s="24">
        <f>IF(A25="","",IFERROR(IF(B25="상상",INDEX(심사_상상!$Q$5:$Q$104,MATCH($A25,심사_상상!$A$5:$A$104,0)),INDEX(심사_블록바이브!$T$5:$T$104,MATCH($A25,심사_블록바이브!$A$5:$A$104,0)))+0,0))</f>
        <v/>
      </c>
      <c r="H25" s="21">
        <f>IF(A25="","",IFERROR(INDEX(투표집계!$P$6:$P$1005,MATCH(A25,투표집계!$K$6:$K$1005,0))+0,0))</f>
        <v/>
      </c>
      <c r="I25" s="21">
        <f>IF(A25="","",_xlfn.MAXIFS($H$11:$H$110,$B$11:$B$110,B25))</f>
        <v/>
      </c>
      <c r="J25" s="30">
        <f>IF(A25="","",IF(N(I25)=0,0,ROUND(H25/I25*50,1)))</f>
        <v/>
      </c>
      <c r="K25" s="23">
        <f>IF(A25="","",ROUND(F25+J25,2))</f>
        <v/>
      </c>
      <c r="L25" s="31">
        <f>IF(A25="","",K25+G25/10000)</f>
        <v/>
      </c>
      <c r="M25" s="27">
        <f>IF(A25="","",COUNTIFS($B$11:$B$110,B25,$L$11:$L$110,"&gt;"&amp;L25)+1)</f>
        <v/>
      </c>
      <c r="N25" s="21">
        <f>IF(A25="","",IFERROR(INDEX($D$5:$D$7,MATCH(B25,$A$5:$A$7,0)),0))</f>
        <v/>
      </c>
      <c r="O25" s="27">
        <f>IF(A25="","",IF(M25&gt;N25,"",IF(M25=1,"최우수",IF(M25&lt;=3,"우수","장려"))))</f>
        <v/>
      </c>
    </row>
    <row r="26">
      <c r="A26" s="27">
        <f>IF(작품목록!A19="","",작품목록!A19)</f>
        <v/>
      </c>
      <c r="B26" s="21">
        <f>IF($A26="","",작품목록!B19&amp;"")</f>
        <v/>
      </c>
      <c r="C26" s="21">
        <f>IF($A26="","",작품목록!C19&amp;"")</f>
        <v/>
      </c>
      <c r="D26" s="21">
        <f>IF($A26="","",작품목록!D19&amp;"")</f>
        <v/>
      </c>
      <c r="E26" s="22">
        <f>IF($A26="","",작품목록!F19&amp;"")</f>
        <v/>
      </c>
      <c r="F26" s="24">
        <f>IF(A26="","",IFERROR(IF(B26="상상",INDEX(심사_상상!$P$5:$P$104,MATCH($A26,심사_상상!$A$5:$A$104,0)),INDEX(심사_블록바이브!$S$5:$S$104,MATCH($A26,심사_블록바이브!$A$5:$A$104,0)))+0,0))</f>
        <v/>
      </c>
      <c r="G26" s="24">
        <f>IF(A26="","",IFERROR(IF(B26="상상",INDEX(심사_상상!$Q$5:$Q$104,MATCH($A26,심사_상상!$A$5:$A$104,0)),INDEX(심사_블록바이브!$T$5:$T$104,MATCH($A26,심사_블록바이브!$A$5:$A$104,0)))+0,0))</f>
        <v/>
      </c>
      <c r="H26" s="21">
        <f>IF(A26="","",IFERROR(INDEX(투표집계!$P$6:$P$1005,MATCH(A26,투표집계!$K$6:$K$1005,0))+0,0))</f>
        <v/>
      </c>
      <c r="I26" s="21">
        <f>IF(A26="","",_xlfn.MAXIFS($H$11:$H$110,$B$11:$B$110,B26))</f>
        <v/>
      </c>
      <c r="J26" s="30">
        <f>IF(A26="","",IF(N(I26)=0,0,ROUND(H26/I26*50,1)))</f>
        <v/>
      </c>
      <c r="K26" s="23">
        <f>IF(A26="","",ROUND(F26+J26,2))</f>
        <v/>
      </c>
      <c r="L26" s="31">
        <f>IF(A26="","",K26+G26/10000)</f>
        <v/>
      </c>
      <c r="M26" s="27">
        <f>IF(A26="","",COUNTIFS($B$11:$B$110,B26,$L$11:$L$110,"&gt;"&amp;L26)+1)</f>
        <v/>
      </c>
      <c r="N26" s="21">
        <f>IF(A26="","",IFERROR(INDEX($D$5:$D$7,MATCH(B26,$A$5:$A$7,0)),0))</f>
        <v/>
      </c>
      <c r="O26" s="27">
        <f>IF(A26="","",IF(M26&gt;N26,"",IF(M26=1,"최우수",IF(M26&lt;=3,"우수","장려"))))</f>
        <v/>
      </c>
    </row>
    <row r="27">
      <c r="A27" s="27">
        <f>IF(작품목록!A20="","",작품목록!A20)</f>
        <v/>
      </c>
      <c r="B27" s="21">
        <f>IF($A27="","",작품목록!B20&amp;"")</f>
        <v/>
      </c>
      <c r="C27" s="21">
        <f>IF($A27="","",작품목록!C20&amp;"")</f>
        <v/>
      </c>
      <c r="D27" s="21">
        <f>IF($A27="","",작품목록!D20&amp;"")</f>
        <v/>
      </c>
      <c r="E27" s="22">
        <f>IF($A27="","",작품목록!F20&amp;"")</f>
        <v/>
      </c>
      <c r="F27" s="24">
        <f>IF(A27="","",IFERROR(IF(B27="상상",INDEX(심사_상상!$P$5:$P$104,MATCH($A27,심사_상상!$A$5:$A$104,0)),INDEX(심사_블록바이브!$S$5:$S$104,MATCH($A27,심사_블록바이브!$A$5:$A$104,0)))+0,0))</f>
        <v/>
      </c>
      <c r="G27" s="24">
        <f>IF(A27="","",IFERROR(IF(B27="상상",INDEX(심사_상상!$Q$5:$Q$104,MATCH($A27,심사_상상!$A$5:$A$104,0)),INDEX(심사_블록바이브!$T$5:$T$104,MATCH($A27,심사_블록바이브!$A$5:$A$104,0)))+0,0))</f>
        <v/>
      </c>
      <c r="H27" s="21">
        <f>IF(A27="","",IFERROR(INDEX(투표집계!$P$6:$P$1005,MATCH(A27,투표집계!$K$6:$K$1005,0))+0,0))</f>
        <v/>
      </c>
      <c r="I27" s="21">
        <f>IF(A27="","",_xlfn.MAXIFS($H$11:$H$110,$B$11:$B$110,B27))</f>
        <v/>
      </c>
      <c r="J27" s="30">
        <f>IF(A27="","",IF(N(I27)=0,0,ROUND(H27/I27*50,1)))</f>
        <v/>
      </c>
      <c r="K27" s="23">
        <f>IF(A27="","",ROUND(F27+J27,2))</f>
        <v/>
      </c>
      <c r="L27" s="31">
        <f>IF(A27="","",K27+G27/10000)</f>
        <v/>
      </c>
      <c r="M27" s="27">
        <f>IF(A27="","",COUNTIFS($B$11:$B$110,B27,$L$11:$L$110,"&gt;"&amp;L27)+1)</f>
        <v/>
      </c>
      <c r="N27" s="21">
        <f>IF(A27="","",IFERROR(INDEX($D$5:$D$7,MATCH(B27,$A$5:$A$7,0)),0))</f>
        <v/>
      </c>
      <c r="O27" s="27">
        <f>IF(A27="","",IF(M27&gt;N27,"",IF(M27=1,"최우수",IF(M27&lt;=3,"우수","장려"))))</f>
        <v/>
      </c>
    </row>
    <row r="28">
      <c r="A28" s="27">
        <f>IF(작품목록!A21="","",작품목록!A21)</f>
        <v/>
      </c>
      <c r="B28" s="21">
        <f>IF($A28="","",작품목록!B21&amp;"")</f>
        <v/>
      </c>
      <c r="C28" s="21">
        <f>IF($A28="","",작품목록!C21&amp;"")</f>
        <v/>
      </c>
      <c r="D28" s="21">
        <f>IF($A28="","",작품목록!D21&amp;"")</f>
        <v/>
      </c>
      <c r="E28" s="22">
        <f>IF($A28="","",작품목록!F21&amp;"")</f>
        <v/>
      </c>
      <c r="F28" s="24">
        <f>IF(A28="","",IFERROR(IF(B28="상상",INDEX(심사_상상!$P$5:$P$104,MATCH($A28,심사_상상!$A$5:$A$104,0)),INDEX(심사_블록바이브!$S$5:$S$104,MATCH($A28,심사_블록바이브!$A$5:$A$104,0)))+0,0))</f>
        <v/>
      </c>
      <c r="G28" s="24">
        <f>IF(A28="","",IFERROR(IF(B28="상상",INDEX(심사_상상!$Q$5:$Q$104,MATCH($A28,심사_상상!$A$5:$A$104,0)),INDEX(심사_블록바이브!$T$5:$T$104,MATCH($A28,심사_블록바이브!$A$5:$A$104,0)))+0,0))</f>
        <v/>
      </c>
      <c r="H28" s="21">
        <f>IF(A28="","",IFERROR(INDEX(투표집계!$P$6:$P$1005,MATCH(A28,투표집계!$K$6:$K$1005,0))+0,0))</f>
        <v/>
      </c>
      <c r="I28" s="21">
        <f>IF(A28="","",_xlfn.MAXIFS($H$11:$H$110,$B$11:$B$110,B28))</f>
        <v/>
      </c>
      <c r="J28" s="30">
        <f>IF(A28="","",IF(N(I28)=0,0,ROUND(H28/I28*50,1)))</f>
        <v/>
      </c>
      <c r="K28" s="23">
        <f>IF(A28="","",ROUND(F28+J28,2))</f>
        <v/>
      </c>
      <c r="L28" s="31">
        <f>IF(A28="","",K28+G28/10000)</f>
        <v/>
      </c>
      <c r="M28" s="27">
        <f>IF(A28="","",COUNTIFS($B$11:$B$110,B28,$L$11:$L$110,"&gt;"&amp;L28)+1)</f>
        <v/>
      </c>
      <c r="N28" s="21">
        <f>IF(A28="","",IFERROR(INDEX($D$5:$D$7,MATCH(B28,$A$5:$A$7,0)),0))</f>
        <v/>
      </c>
      <c r="O28" s="27">
        <f>IF(A28="","",IF(M28&gt;N28,"",IF(M28=1,"최우수",IF(M28&lt;=3,"우수","장려"))))</f>
        <v/>
      </c>
    </row>
    <row r="29">
      <c r="A29" s="27">
        <f>IF(작품목록!A22="","",작품목록!A22)</f>
        <v/>
      </c>
      <c r="B29" s="21">
        <f>IF($A29="","",작품목록!B22&amp;"")</f>
        <v/>
      </c>
      <c r="C29" s="21">
        <f>IF($A29="","",작품목록!C22&amp;"")</f>
        <v/>
      </c>
      <c r="D29" s="21">
        <f>IF($A29="","",작품목록!D22&amp;"")</f>
        <v/>
      </c>
      <c r="E29" s="22">
        <f>IF($A29="","",작품목록!F22&amp;"")</f>
        <v/>
      </c>
      <c r="F29" s="24">
        <f>IF(A29="","",IFERROR(IF(B29="상상",INDEX(심사_상상!$P$5:$P$104,MATCH($A29,심사_상상!$A$5:$A$104,0)),INDEX(심사_블록바이브!$S$5:$S$104,MATCH($A29,심사_블록바이브!$A$5:$A$104,0)))+0,0))</f>
        <v/>
      </c>
      <c r="G29" s="24">
        <f>IF(A29="","",IFERROR(IF(B29="상상",INDEX(심사_상상!$Q$5:$Q$104,MATCH($A29,심사_상상!$A$5:$A$104,0)),INDEX(심사_블록바이브!$T$5:$T$104,MATCH($A29,심사_블록바이브!$A$5:$A$104,0)))+0,0))</f>
        <v/>
      </c>
      <c r="H29" s="21">
        <f>IF(A29="","",IFERROR(INDEX(투표집계!$P$6:$P$1005,MATCH(A29,투표집계!$K$6:$K$1005,0))+0,0))</f>
        <v/>
      </c>
      <c r="I29" s="21">
        <f>IF(A29="","",_xlfn.MAXIFS($H$11:$H$110,$B$11:$B$110,B29))</f>
        <v/>
      </c>
      <c r="J29" s="30">
        <f>IF(A29="","",IF(N(I29)=0,0,ROUND(H29/I29*50,1)))</f>
        <v/>
      </c>
      <c r="K29" s="23">
        <f>IF(A29="","",ROUND(F29+J29,2))</f>
        <v/>
      </c>
      <c r="L29" s="31">
        <f>IF(A29="","",K29+G29/10000)</f>
        <v/>
      </c>
      <c r="M29" s="27">
        <f>IF(A29="","",COUNTIFS($B$11:$B$110,B29,$L$11:$L$110,"&gt;"&amp;L29)+1)</f>
        <v/>
      </c>
      <c r="N29" s="21">
        <f>IF(A29="","",IFERROR(INDEX($D$5:$D$7,MATCH(B29,$A$5:$A$7,0)),0))</f>
        <v/>
      </c>
      <c r="O29" s="27">
        <f>IF(A29="","",IF(M29&gt;N29,"",IF(M29=1,"최우수",IF(M29&lt;=3,"우수","장려"))))</f>
        <v/>
      </c>
    </row>
    <row r="30">
      <c r="A30" s="27">
        <f>IF(작품목록!A23="","",작품목록!A23)</f>
        <v/>
      </c>
      <c r="B30" s="21">
        <f>IF($A30="","",작품목록!B23&amp;"")</f>
        <v/>
      </c>
      <c r="C30" s="21">
        <f>IF($A30="","",작품목록!C23&amp;"")</f>
        <v/>
      </c>
      <c r="D30" s="21">
        <f>IF($A30="","",작품목록!D23&amp;"")</f>
        <v/>
      </c>
      <c r="E30" s="22">
        <f>IF($A30="","",작품목록!F23&amp;"")</f>
        <v/>
      </c>
      <c r="F30" s="24">
        <f>IF(A30="","",IFERROR(IF(B30="상상",INDEX(심사_상상!$P$5:$P$104,MATCH($A30,심사_상상!$A$5:$A$104,0)),INDEX(심사_블록바이브!$S$5:$S$104,MATCH($A30,심사_블록바이브!$A$5:$A$104,0)))+0,0))</f>
        <v/>
      </c>
      <c r="G30" s="24">
        <f>IF(A30="","",IFERROR(IF(B30="상상",INDEX(심사_상상!$Q$5:$Q$104,MATCH($A30,심사_상상!$A$5:$A$104,0)),INDEX(심사_블록바이브!$T$5:$T$104,MATCH($A30,심사_블록바이브!$A$5:$A$104,0)))+0,0))</f>
        <v/>
      </c>
      <c r="H30" s="21">
        <f>IF(A30="","",IFERROR(INDEX(투표집계!$P$6:$P$1005,MATCH(A30,투표집계!$K$6:$K$1005,0))+0,0))</f>
        <v/>
      </c>
      <c r="I30" s="21">
        <f>IF(A30="","",_xlfn.MAXIFS($H$11:$H$110,$B$11:$B$110,B30))</f>
        <v/>
      </c>
      <c r="J30" s="30">
        <f>IF(A30="","",IF(N(I30)=0,0,ROUND(H30/I30*50,1)))</f>
        <v/>
      </c>
      <c r="K30" s="23">
        <f>IF(A30="","",ROUND(F30+J30,2))</f>
        <v/>
      </c>
      <c r="L30" s="31">
        <f>IF(A30="","",K30+G30/10000)</f>
        <v/>
      </c>
      <c r="M30" s="27">
        <f>IF(A30="","",COUNTIFS($B$11:$B$110,B30,$L$11:$L$110,"&gt;"&amp;L30)+1)</f>
        <v/>
      </c>
      <c r="N30" s="21">
        <f>IF(A30="","",IFERROR(INDEX($D$5:$D$7,MATCH(B30,$A$5:$A$7,0)),0))</f>
        <v/>
      </c>
      <c r="O30" s="27">
        <f>IF(A30="","",IF(M30&gt;N30,"",IF(M30=1,"최우수",IF(M30&lt;=3,"우수","장려"))))</f>
        <v/>
      </c>
    </row>
    <row r="31">
      <c r="A31" s="27">
        <f>IF(작품목록!A24="","",작품목록!A24)</f>
        <v/>
      </c>
      <c r="B31" s="21">
        <f>IF($A31="","",작품목록!B24&amp;"")</f>
        <v/>
      </c>
      <c r="C31" s="21">
        <f>IF($A31="","",작품목록!C24&amp;"")</f>
        <v/>
      </c>
      <c r="D31" s="21">
        <f>IF($A31="","",작품목록!D24&amp;"")</f>
        <v/>
      </c>
      <c r="E31" s="22">
        <f>IF($A31="","",작품목록!F24&amp;"")</f>
        <v/>
      </c>
      <c r="F31" s="24">
        <f>IF(A31="","",IFERROR(IF(B31="상상",INDEX(심사_상상!$P$5:$P$104,MATCH($A31,심사_상상!$A$5:$A$104,0)),INDEX(심사_블록바이브!$S$5:$S$104,MATCH($A31,심사_블록바이브!$A$5:$A$104,0)))+0,0))</f>
        <v/>
      </c>
      <c r="G31" s="24">
        <f>IF(A31="","",IFERROR(IF(B31="상상",INDEX(심사_상상!$Q$5:$Q$104,MATCH($A31,심사_상상!$A$5:$A$104,0)),INDEX(심사_블록바이브!$T$5:$T$104,MATCH($A31,심사_블록바이브!$A$5:$A$104,0)))+0,0))</f>
        <v/>
      </c>
      <c r="H31" s="21">
        <f>IF(A31="","",IFERROR(INDEX(투표집계!$P$6:$P$1005,MATCH(A31,투표집계!$K$6:$K$1005,0))+0,0))</f>
        <v/>
      </c>
      <c r="I31" s="21">
        <f>IF(A31="","",_xlfn.MAXIFS($H$11:$H$110,$B$11:$B$110,B31))</f>
        <v/>
      </c>
      <c r="J31" s="30">
        <f>IF(A31="","",IF(N(I31)=0,0,ROUND(H31/I31*50,1)))</f>
        <v/>
      </c>
      <c r="K31" s="23">
        <f>IF(A31="","",ROUND(F31+J31,2))</f>
        <v/>
      </c>
      <c r="L31" s="31">
        <f>IF(A31="","",K31+G31/10000)</f>
        <v/>
      </c>
      <c r="M31" s="27">
        <f>IF(A31="","",COUNTIFS($B$11:$B$110,B31,$L$11:$L$110,"&gt;"&amp;L31)+1)</f>
        <v/>
      </c>
      <c r="N31" s="21">
        <f>IF(A31="","",IFERROR(INDEX($D$5:$D$7,MATCH(B31,$A$5:$A$7,0)),0))</f>
        <v/>
      </c>
      <c r="O31" s="27">
        <f>IF(A31="","",IF(M31&gt;N31,"",IF(M31=1,"최우수",IF(M31&lt;=3,"우수","장려"))))</f>
        <v/>
      </c>
    </row>
    <row r="32">
      <c r="A32" s="27">
        <f>IF(작품목록!A25="","",작품목록!A25)</f>
        <v/>
      </c>
      <c r="B32" s="21">
        <f>IF($A32="","",작품목록!B25&amp;"")</f>
        <v/>
      </c>
      <c r="C32" s="21">
        <f>IF($A32="","",작품목록!C25&amp;"")</f>
        <v/>
      </c>
      <c r="D32" s="21">
        <f>IF($A32="","",작품목록!D25&amp;"")</f>
        <v/>
      </c>
      <c r="E32" s="22">
        <f>IF($A32="","",작품목록!F25&amp;"")</f>
        <v/>
      </c>
      <c r="F32" s="24">
        <f>IF(A32="","",IFERROR(IF(B32="상상",INDEX(심사_상상!$P$5:$P$104,MATCH($A32,심사_상상!$A$5:$A$104,0)),INDEX(심사_블록바이브!$S$5:$S$104,MATCH($A32,심사_블록바이브!$A$5:$A$104,0)))+0,0))</f>
        <v/>
      </c>
      <c r="G32" s="24">
        <f>IF(A32="","",IFERROR(IF(B32="상상",INDEX(심사_상상!$Q$5:$Q$104,MATCH($A32,심사_상상!$A$5:$A$104,0)),INDEX(심사_블록바이브!$T$5:$T$104,MATCH($A32,심사_블록바이브!$A$5:$A$104,0)))+0,0))</f>
        <v/>
      </c>
      <c r="H32" s="21">
        <f>IF(A32="","",IFERROR(INDEX(투표집계!$P$6:$P$1005,MATCH(A32,투표집계!$K$6:$K$1005,0))+0,0))</f>
        <v/>
      </c>
      <c r="I32" s="21">
        <f>IF(A32="","",_xlfn.MAXIFS($H$11:$H$110,$B$11:$B$110,B32))</f>
        <v/>
      </c>
      <c r="J32" s="30">
        <f>IF(A32="","",IF(N(I32)=0,0,ROUND(H32/I32*50,1)))</f>
        <v/>
      </c>
      <c r="K32" s="23">
        <f>IF(A32="","",ROUND(F32+J32,2))</f>
        <v/>
      </c>
      <c r="L32" s="31">
        <f>IF(A32="","",K32+G32/10000)</f>
        <v/>
      </c>
      <c r="M32" s="27">
        <f>IF(A32="","",COUNTIFS($B$11:$B$110,B32,$L$11:$L$110,"&gt;"&amp;L32)+1)</f>
        <v/>
      </c>
      <c r="N32" s="21">
        <f>IF(A32="","",IFERROR(INDEX($D$5:$D$7,MATCH(B32,$A$5:$A$7,0)),0))</f>
        <v/>
      </c>
      <c r="O32" s="27">
        <f>IF(A32="","",IF(M32&gt;N32,"",IF(M32=1,"최우수",IF(M32&lt;=3,"우수","장려"))))</f>
        <v/>
      </c>
    </row>
    <row r="33">
      <c r="A33" s="27">
        <f>IF(작품목록!A26="","",작품목록!A26)</f>
        <v/>
      </c>
      <c r="B33" s="21">
        <f>IF($A33="","",작품목록!B26&amp;"")</f>
        <v/>
      </c>
      <c r="C33" s="21">
        <f>IF($A33="","",작품목록!C26&amp;"")</f>
        <v/>
      </c>
      <c r="D33" s="21">
        <f>IF($A33="","",작품목록!D26&amp;"")</f>
        <v/>
      </c>
      <c r="E33" s="22">
        <f>IF($A33="","",작품목록!F26&amp;"")</f>
        <v/>
      </c>
      <c r="F33" s="24">
        <f>IF(A33="","",IFERROR(IF(B33="상상",INDEX(심사_상상!$P$5:$P$104,MATCH($A33,심사_상상!$A$5:$A$104,0)),INDEX(심사_블록바이브!$S$5:$S$104,MATCH($A33,심사_블록바이브!$A$5:$A$104,0)))+0,0))</f>
        <v/>
      </c>
      <c r="G33" s="24">
        <f>IF(A33="","",IFERROR(IF(B33="상상",INDEX(심사_상상!$Q$5:$Q$104,MATCH($A33,심사_상상!$A$5:$A$104,0)),INDEX(심사_블록바이브!$T$5:$T$104,MATCH($A33,심사_블록바이브!$A$5:$A$104,0)))+0,0))</f>
        <v/>
      </c>
      <c r="H33" s="21">
        <f>IF(A33="","",IFERROR(INDEX(투표집계!$P$6:$P$1005,MATCH(A33,투표집계!$K$6:$K$1005,0))+0,0))</f>
        <v/>
      </c>
      <c r="I33" s="21">
        <f>IF(A33="","",_xlfn.MAXIFS($H$11:$H$110,$B$11:$B$110,B33))</f>
        <v/>
      </c>
      <c r="J33" s="30">
        <f>IF(A33="","",IF(N(I33)=0,0,ROUND(H33/I33*50,1)))</f>
        <v/>
      </c>
      <c r="K33" s="23">
        <f>IF(A33="","",ROUND(F33+J33,2))</f>
        <v/>
      </c>
      <c r="L33" s="31">
        <f>IF(A33="","",K33+G33/10000)</f>
        <v/>
      </c>
      <c r="M33" s="27">
        <f>IF(A33="","",COUNTIFS($B$11:$B$110,B33,$L$11:$L$110,"&gt;"&amp;L33)+1)</f>
        <v/>
      </c>
      <c r="N33" s="21">
        <f>IF(A33="","",IFERROR(INDEX($D$5:$D$7,MATCH(B33,$A$5:$A$7,0)),0))</f>
        <v/>
      </c>
      <c r="O33" s="27">
        <f>IF(A33="","",IF(M33&gt;N33,"",IF(M33=1,"최우수",IF(M33&lt;=3,"우수","장려"))))</f>
        <v/>
      </c>
    </row>
    <row r="34">
      <c r="A34" s="27">
        <f>IF(작품목록!A27="","",작품목록!A27)</f>
        <v/>
      </c>
      <c r="B34" s="21">
        <f>IF($A34="","",작품목록!B27&amp;"")</f>
        <v/>
      </c>
      <c r="C34" s="21">
        <f>IF($A34="","",작품목록!C27&amp;"")</f>
        <v/>
      </c>
      <c r="D34" s="21">
        <f>IF($A34="","",작품목록!D27&amp;"")</f>
        <v/>
      </c>
      <c r="E34" s="22">
        <f>IF($A34="","",작품목록!F27&amp;"")</f>
        <v/>
      </c>
      <c r="F34" s="24">
        <f>IF(A34="","",IFERROR(IF(B34="상상",INDEX(심사_상상!$P$5:$P$104,MATCH($A34,심사_상상!$A$5:$A$104,0)),INDEX(심사_블록바이브!$S$5:$S$104,MATCH($A34,심사_블록바이브!$A$5:$A$104,0)))+0,0))</f>
        <v/>
      </c>
      <c r="G34" s="24">
        <f>IF(A34="","",IFERROR(IF(B34="상상",INDEX(심사_상상!$Q$5:$Q$104,MATCH($A34,심사_상상!$A$5:$A$104,0)),INDEX(심사_블록바이브!$T$5:$T$104,MATCH($A34,심사_블록바이브!$A$5:$A$104,0)))+0,0))</f>
        <v/>
      </c>
      <c r="H34" s="21">
        <f>IF(A34="","",IFERROR(INDEX(투표집계!$P$6:$P$1005,MATCH(A34,투표집계!$K$6:$K$1005,0))+0,0))</f>
        <v/>
      </c>
      <c r="I34" s="21">
        <f>IF(A34="","",_xlfn.MAXIFS($H$11:$H$110,$B$11:$B$110,B34))</f>
        <v/>
      </c>
      <c r="J34" s="30">
        <f>IF(A34="","",IF(N(I34)=0,0,ROUND(H34/I34*50,1)))</f>
        <v/>
      </c>
      <c r="K34" s="23">
        <f>IF(A34="","",ROUND(F34+J34,2))</f>
        <v/>
      </c>
      <c r="L34" s="31">
        <f>IF(A34="","",K34+G34/10000)</f>
        <v/>
      </c>
      <c r="M34" s="27">
        <f>IF(A34="","",COUNTIFS($B$11:$B$110,B34,$L$11:$L$110,"&gt;"&amp;L34)+1)</f>
        <v/>
      </c>
      <c r="N34" s="21">
        <f>IF(A34="","",IFERROR(INDEX($D$5:$D$7,MATCH(B34,$A$5:$A$7,0)),0))</f>
        <v/>
      </c>
      <c r="O34" s="27">
        <f>IF(A34="","",IF(M34&gt;N34,"",IF(M34=1,"최우수",IF(M34&lt;=3,"우수","장려"))))</f>
        <v/>
      </c>
    </row>
    <row r="35">
      <c r="A35" s="27">
        <f>IF(작품목록!A28="","",작품목록!A28)</f>
        <v/>
      </c>
      <c r="B35" s="21">
        <f>IF($A35="","",작품목록!B28&amp;"")</f>
        <v/>
      </c>
      <c r="C35" s="21">
        <f>IF($A35="","",작품목록!C28&amp;"")</f>
        <v/>
      </c>
      <c r="D35" s="21">
        <f>IF($A35="","",작품목록!D28&amp;"")</f>
        <v/>
      </c>
      <c r="E35" s="22">
        <f>IF($A35="","",작품목록!F28&amp;"")</f>
        <v/>
      </c>
      <c r="F35" s="24">
        <f>IF(A35="","",IFERROR(IF(B35="상상",INDEX(심사_상상!$P$5:$P$104,MATCH($A35,심사_상상!$A$5:$A$104,0)),INDEX(심사_블록바이브!$S$5:$S$104,MATCH($A35,심사_블록바이브!$A$5:$A$104,0)))+0,0))</f>
        <v/>
      </c>
      <c r="G35" s="24">
        <f>IF(A35="","",IFERROR(IF(B35="상상",INDEX(심사_상상!$Q$5:$Q$104,MATCH($A35,심사_상상!$A$5:$A$104,0)),INDEX(심사_블록바이브!$T$5:$T$104,MATCH($A35,심사_블록바이브!$A$5:$A$104,0)))+0,0))</f>
        <v/>
      </c>
      <c r="H35" s="21">
        <f>IF(A35="","",IFERROR(INDEX(투표집계!$P$6:$P$1005,MATCH(A35,투표집계!$K$6:$K$1005,0))+0,0))</f>
        <v/>
      </c>
      <c r="I35" s="21">
        <f>IF(A35="","",_xlfn.MAXIFS($H$11:$H$110,$B$11:$B$110,B35))</f>
        <v/>
      </c>
      <c r="J35" s="30">
        <f>IF(A35="","",IF(N(I35)=0,0,ROUND(H35/I35*50,1)))</f>
        <v/>
      </c>
      <c r="K35" s="23">
        <f>IF(A35="","",ROUND(F35+J35,2))</f>
        <v/>
      </c>
      <c r="L35" s="31">
        <f>IF(A35="","",K35+G35/10000)</f>
        <v/>
      </c>
      <c r="M35" s="27">
        <f>IF(A35="","",COUNTIFS($B$11:$B$110,B35,$L$11:$L$110,"&gt;"&amp;L35)+1)</f>
        <v/>
      </c>
      <c r="N35" s="21">
        <f>IF(A35="","",IFERROR(INDEX($D$5:$D$7,MATCH(B35,$A$5:$A$7,0)),0))</f>
        <v/>
      </c>
      <c r="O35" s="27">
        <f>IF(A35="","",IF(M35&gt;N35,"",IF(M35=1,"최우수",IF(M35&lt;=3,"우수","장려"))))</f>
        <v/>
      </c>
    </row>
    <row r="36">
      <c r="A36" s="27">
        <f>IF(작품목록!A29="","",작품목록!A29)</f>
        <v/>
      </c>
      <c r="B36" s="21">
        <f>IF($A36="","",작품목록!B29&amp;"")</f>
        <v/>
      </c>
      <c r="C36" s="21">
        <f>IF($A36="","",작품목록!C29&amp;"")</f>
        <v/>
      </c>
      <c r="D36" s="21">
        <f>IF($A36="","",작품목록!D29&amp;"")</f>
        <v/>
      </c>
      <c r="E36" s="22">
        <f>IF($A36="","",작품목록!F29&amp;"")</f>
        <v/>
      </c>
      <c r="F36" s="24">
        <f>IF(A36="","",IFERROR(IF(B36="상상",INDEX(심사_상상!$P$5:$P$104,MATCH($A36,심사_상상!$A$5:$A$104,0)),INDEX(심사_블록바이브!$S$5:$S$104,MATCH($A36,심사_블록바이브!$A$5:$A$104,0)))+0,0))</f>
        <v/>
      </c>
      <c r="G36" s="24">
        <f>IF(A36="","",IFERROR(IF(B36="상상",INDEX(심사_상상!$Q$5:$Q$104,MATCH($A36,심사_상상!$A$5:$A$104,0)),INDEX(심사_블록바이브!$T$5:$T$104,MATCH($A36,심사_블록바이브!$A$5:$A$104,0)))+0,0))</f>
        <v/>
      </c>
      <c r="H36" s="21">
        <f>IF(A36="","",IFERROR(INDEX(투표집계!$P$6:$P$1005,MATCH(A36,투표집계!$K$6:$K$1005,0))+0,0))</f>
        <v/>
      </c>
      <c r="I36" s="21">
        <f>IF(A36="","",_xlfn.MAXIFS($H$11:$H$110,$B$11:$B$110,B36))</f>
        <v/>
      </c>
      <c r="J36" s="30">
        <f>IF(A36="","",IF(N(I36)=0,0,ROUND(H36/I36*50,1)))</f>
        <v/>
      </c>
      <c r="K36" s="23">
        <f>IF(A36="","",ROUND(F36+J36,2))</f>
        <v/>
      </c>
      <c r="L36" s="31">
        <f>IF(A36="","",K36+G36/10000)</f>
        <v/>
      </c>
      <c r="M36" s="27">
        <f>IF(A36="","",COUNTIFS($B$11:$B$110,B36,$L$11:$L$110,"&gt;"&amp;L36)+1)</f>
        <v/>
      </c>
      <c r="N36" s="21">
        <f>IF(A36="","",IFERROR(INDEX($D$5:$D$7,MATCH(B36,$A$5:$A$7,0)),0))</f>
        <v/>
      </c>
      <c r="O36" s="27">
        <f>IF(A36="","",IF(M36&gt;N36,"",IF(M36=1,"최우수",IF(M36&lt;=3,"우수","장려"))))</f>
        <v/>
      </c>
    </row>
    <row r="37">
      <c r="A37" s="27">
        <f>IF(작품목록!A30="","",작품목록!A30)</f>
        <v/>
      </c>
      <c r="B37" s="21">
        <f>IF($A37="","",작품목록!B30&amp;"")</f>
        <v/>
      </c>
      <c r="C37" s="21">
        <f>IF($A37="","",작품목록!C30&amp;"")</f>
        <v/>
      </c>
      <c r="D37" s="21">
        <f>IF($A37="","",작품목록!D30&amp;"")</f>
        <v/>
      </c>
      <c r="E37" s="22">
        <f>IF($A37="","",작품목록!F30&amp;"")</f>
        <v/>
      </c>
      <c r="F37" s="24">
        <f>IF(A37="","",IFERROR(IF(B37="상상",INDEX(심사_상상!$P$5:$P$104,MATCH($A37,심사_상상!$A$5:$A$104,0)),INDEX(심사_블록바이브!$S$5:$S$104,MATCH($A37,심사_블록바이브!$A$5:$A$104,0)))+0,0))</f>
        <v/>
      </c>
      <c r="G37" s="24">
        <f>IF(A37="","",IFERROR(IF(B37="상상",INDEX(심사_상상!$Q$5:$Q$104,MATCH($A37,심사_상상!$A$5:$A$104,0)),INDEX(심사_블록바이브!$T$5:$T$104,MATCH($A37,심사_블록바이브!$A$5:$A$104,0)))+0,0))</f>
        <v/>
      </c>
      <c r="H37" s="21">
        <f>IF(A37="","",IFERROR(INDEX(투표집계!$P$6:$P$1005,MATCH(A37,투표집계!$K$6:$K$1005,0))+0,0))</f>
        <v/>
      </c>
      <c r="I37" s="21">
        <f>IF(A37="","",_xlfn.MAXIFS($H$11:$H$110,$B$11:$B$110,B37))</f>
        <v/>
      </c>
      <c r="J37" s="30">
        <f>IF(A37="","",IF(N(I37)=0,0,ROUND(H37/I37*50,1)))</f>
        <v/>
      </c>
      <c r="K37" s="23">
        <f>IF(A37="","",ROUND(F37+J37,2))</f>
        <v/>
      </c>
      <c r="L37" s="31">
        <f>IF(A37="","",K37+G37/10000)</f>
        <v/>
      </c>
      <c r="M37" s="27">
        <f>IF(A37="","",COUNTIFS($B$11:$B$110,B37,$L$11:$L$110,"&gt;"&amp;L37)+1)</f>
        <v/>
      </c>
      <c r="N37" s="21">
        <f>IF(A37="","",IFERROR(INDEX($D$5:$D$7,MATCH(B37,$A$5:$A$7,0)),0))</f>
        <v/>
      </c>
      <c r="O37" s="27">
        <f>IF(A37="","",IF(M37&gt;N37,"",IF(M37=1,"최우수",IF(M37&lt;=3,"우수","장려"))))</f>
        <v/>
      </c>
    </row>
    <row r="38">
      <c r="A38" s="27">
        <f>IF(작품목록!A31="","",작품목록!A31)</f>
        <v/>
      </c>
      <c r="B38" s="21">
        <f>IF($A38="","",작품목록!B31&amp;"")</f>
        <v/>
      </c>
      <c r="C38" s="21">
        <f>IF($A38="","",작품목록!C31&amp;"")</f>
        <v/>
      </c>
      <c r="D38" s="21">
        <f>IF($A38="","",작품목록!D31&amp;"")</f>
        <v/>
      </c>
      <c r="E38" s="22">
        <f>IF($A38="","",작품목록!F31&amp;"")</f>
        <v/>
      </c>
      <c r="F38" s="24">
        <f>IF(A38="","",IFERROR(IF(B38="상상",INDEX(심사_상상!$P$5:$P$104,MATCH($A38,심사_상상!$A$5:$A$104,0)),INDEX(심사_블록바이브!$S$5:$S$104,MATCH($A38,심사_블록바이브!$A$5:$A$104,0)))+0,0))</f>
        <v/>
      </c>
      <c r="G38" s="24">
        <f>IF(A38="","",IFERROR(IF(B38="상상",INDEX(심사_상상!$Q$5:$Q$104,MATCH($A38,심사_상상!$A$5:$A$104,0)),INDEX(심사_블록바이브!$T$5:$T$104,MATCH($A38,심사_블록바이브!$A$5:$A$104,0)))+0,0))</f>
        <v/>
      </c>
      <c r="H38" s="21">
        <f>IF(A38="","",IFERROR(INDEX(투표집계!$P$6:$P$1005,MATCH(A38,투표집계!$K$6:$K$1005,0))+0,0))</f>
        <v/>
      </c>
      <c r="I38" s="21">
        <f>IF(A38="","",_xlfn.MAXIFS($H$11:$H$110,$B$11:$B$110,B38))</f>
        <v/>
      </c>
      <c r="J38" s="30">
        <f>IF(A38="","",IF(N(I38)=0,0,ROUND(H38/I38*50,1)))</f>
        <v/>
      </c>
      <c r="K38" s="23">
        <f>IF(A38="","",ROUND(F38+J38,2))</f>
        <v/>
      </c>
      <c r="L38" s="31">
        <f>IF(A38="","",K38+G38/10000)</f>
        <v/>
      </c>
      <c r="M38" s="27">
        <f>IF(A38="","",COUNTIFS($B$11:$B$110,B38,$L$11:$L$110,"&gt;"&amp;L38)+1)</f>
        <v/>
      </c>
      <c r="N38" s="21">
        <f>IF(A38="","",IFERROR(INDEX($D$5:$D$7,MATCH(B38,$A$5:$A$7,0)),0))</f>
        <v/>
      </c>
      <c r="O38" s="27">
        <f>IF(A38="","",IF(M38&gt;N38,"",IF(M38=1,"최우수",IF(M38&lt;=3,"우수","장려"))))</f>
        <v/>
      </c>
    </row>
    <row r="39">
      <c r="A39" s="27">
        <f>IF(작품목록!A32="","",작품목록!A32)</f>
        <v/>
      </c>
      <c r="B39" s="21">
        <f>IF($A39="","",작품목록!B32&amp;"")</f>
        <v/>
      </c>
      <c r="C39" s="21">
        <f>IF($A39="","",작품목록!C32&amp;"")</f>
        <v/>
      </c>
      <c r="D39" s="21">
        <f>IF($A39="","",작품목록!D32&amp;"")</f>
        <v/>
      </c>
      <c r="E39" s="22">
        <f>IF($A39="","",작품목록!F32&amp;"")</f>
        <v/>
      </c>
      <c r="F39" s="24">
        <f>IF(A39="","",IFERROR(IF(B39="상상",INDEX(심사_상상!$P$5:$P$104,MATCH($A39,심사_상상!$A$5:$A$104,0)),INDEX(심사_블록바이브!$S$5:$S$104,MATCH($A39,심사_블록바이브!$A$5:$A$104,0)))+0,0))</f>
        <v/>
      </c>
      <c r="G39" s="24">
        <f>IF(A39="","",IFERROR(IF(B39="상상",INDEX(심사_상상!$Q$5:$Q$104,MATCH($A39,심사_상상!$A$5:$A$104,0)),INDEX(심사_블록바이브!$T$5:$T$104,MATCH($A39,심사_블록바이브!$A$5:$A$104,0)))+0,0))</f>
        <v/>
      </c>
      <c r="H39" s="21">
        <f>IF(A39="","",IFERROR(INDEX(투표집계!$P$6:$P$1005,MATCH(A39,투표집계!$K$6:$K$1005,0))+0,0))</f>
        <v/>
      </c>
      <c r="I39" s="21">
        <f>IF(A39="","",_xlfn.MAXIFS($H$11:$H$110,$B$11:$B$110,B39))</f>
        <v/>
      </c>
      <c r="J39" s="30">
        <f>IF(A39="","",IF(N(I39)=0,0,ROUND(H39/I39*50,1)))</f>
        <v/>
      </c>
      <c r="K39" s="23">
        <f>IF(A39="","",ROUND(F39+J39,2))</f>
        <v/>
      </c>
      <c r="L39" s="31">
        <f>IF(A39="","",K39+G39/10000)</f>
        <v/>
      </c>
      <c r="M39" s="27">
        <f>IF(A39="","",COUNTIFS($B$11:$B$110,B39,$L$11:$L$110,"&gt;"&amp;L39)+1)</f>
        <v/>
      </c>
      <c r="N39" s="21">
        <f>IF(A39="","",IFERROR(INDEX($D$5:$D$7,MATCH(B39,$A$5:$A$7,0)),0))</f>
        <v/>
      </c>
      <c r="O39" s="27">
        <f>IF(A39="","",IF(M39&gt;N39,"",IF(M39=1,"최우수",IF(M39&lt;=3,"우수","장려"))))</f>
        <v/>
      </c>
    </row>
    <row r="40">
      <c r="A40" s="27">
        <f>IF(작품목록!A33="","",작품목록!A33)</f>
        <v/>
      </c>
      <c r="B40" s="21">
        <f>IF($A40="","",작품목록!B33&amp;"")</f>
        <v/>
      </c>
      <c r="C40" s="21">
        <f>IF($A40="","",작품목록!C33&amp;"")</f>
        <v/>
      </c>
      <c r="D40" s="21">
        <f>IF($A40="","",작품목록!D33&amp;"")</f>
        <v/>
      </c>
      <c r="E40" s="22">
        <f>IF($A40="","",작품목록!F33&amp;"")</f>
        <v/>
      </c>
      <c r="F40" s="24">
        <f>IF(A40="","",IFERROR(IF(B40="상상",INDEX(심사_상상!$P$5:$P$104,MATCH($A40,심사_상상!$A$5:$A$104,0)),INDEX(심사_블록바이브!$S$5:$S$104,MATCH($A40,심사_블록바이브!$A$5:$A$104,0)))+0,0))</f>
        <v/>
      </c>
      <c r="G40" s="24">
        <f>IF(A40="","",IFERROR(IF(B40="상상",INDEX(심사_상상!$Q$5:$Q$104,MATCH($A40,심사_상상!$A$5:$A$104,0)),INDEX(심사_블록바이브!$T$5:$T$104,MATCH($A40,심사_블록바이브!$A$5:$A$104,0)))+0,0))</f>
        <v/>
      </c>
      <c r="H40" s="21">
        <f>IF(A40="","",IFERROR(INDEX(투표집계!$P$6:$P$1005,MATCH(A40,투표집계!$K$6:$K$1005,0))+0,0))</f>
        <v/>
      </c>
      <c r="I40" s="21">
        <f>IF(A40="","",_xlfn.MAXIFS($H$11:$H$110,$B$11:$B$110,B40))</f>
        <v/>
      </c>
      <c r="J40" s="30">
        <f>IF(A40="","",IF(N(I40)=0,0,ROUND(H40/I40*50,1)))</f>
        <v/>
      </c>
      <c r="K40" s="23">
        <f>IF(A40="","",ROUND(F40+J40,2))</f>
        <v/>
      </c>
      <c r="L40" s="31">
        <f>IF(A40="","",K40+G40/10000)</f>
        <v/>
      </c>
      <c r="M40" s="27">
        <f>IF(A40="","",COUNTIFS($B$11:$B$110,B40,$L$11:$L$110,"&gt;"&amp;L40)+1)</f>
        <v/>
      </c>
      <c r="N40" s="21">
        <f>IF(A40="","",IFERROR(INDEX($D$5:$D$7,MATCH(B40,$A$5:$A$7,0)),0))</f>
        <v/>
      </c>
      <c r="O40" s="27">
        <f>IF(A40="","",IF(M40&gt;N40,"",IF(M40=1,"최우수",IF(M40&lt;=3,"우수","장려"))))</f>
        <v/>
      </c>
    </row>
    <row r="41">
      <c r="A41" s="27">
        <f>IF(작품목록!A34="","",작품목록!A34)</f>
        <v/>
      </c>
      <c r="B41" s="21">
        <f>IF($A41="","",작품목록!B34&amp;"")</f>
        <v/>
      </c>
      <c r="C41" s="21">
        <f>IF($A41="","",작품목록!C34&amp;"")</f>
        <v/>
      </c>
      <c r="D41" s="21">
        <f>IF($A41="","",작품목록!D34&amp;"")</f>
        <v/>
      </c>
      <c r="E41" s="22">
        <f>IF($A41="","",작품목록!F34&amp;"")</f>
        <v/>
      </c>
      <c r="F41" s="24">
        <f>IF(A41="","",IFERROR(IF(B41="상상",INDEX(심사_상상!$P$5:$P$104,MATCH($A41,심사_상상!$A$5:$A$104,0)),INDEX(심사_블록바이브!$S$5:$S$104,MATCH($A41,심사_블록바이브!$A$5:$A$104,0)))+0,0))</f>
        <v/>
      </c>
      <c r="G41" s="24">
        <f>IF(A41="","",IFERROR(IF(B41="상상",INDEX(심사_상상!$Q$5:$Q$104,MATCH($A41,심사_상상!$A$5:$A$104,0)),INDEX(심사_블록바이브!$T$5:$T$104,MATCH($A41,심사_블록바이브!$A$5:$A$104,0)))+0,0))</f>
        <v/>
      </c>
      <c r="H41" s="21">
        <f>IF(A41="","",IFERROR(INDEX(투표집계!$P$6:$P$1005,MATCH(A41,투표집계!$K$6:$K$1005,0))+0,0))</f>
        <v/>
      </c>
      <c r="I41" s="21">
        <f>IF(A41="","",_xlfn.MAXIFS($H$11:$H$110,$B$11:$B$110,B41))</f>
        <v/>
      </c>
      <c r="J41" s="30">
        <f>IF(A41="","",IF(N(I41)=0,0,ROUND(H41/I41*50,1)))</f>
        <v/>
      </c>
      <c r="K41" s="23">
        <f>IF(A41="","",ROUND(F41+J41,2))</f>
        <v/>
      </c>
      <c r="L41" s="31">
        <f>IF(A41="","",K41+G41/10000)</f>
        <v/>
      </c>
      <c r="M41" s="27">
        <f>IF(A41="","",COUNTIFS($B$11:$B$110,B41,$L$11:$L$110,"&gt;"&amp;L41)+1)</f>
        <v/>
      </c>
      <c r="N41" s="21">
        <f>IF(A41="","",IFERROR(INDEX($D$5:$D$7,MATCH(B41,$A$5:$A$7,0)),0))</f>
        <v/>
      </c>
      <c r="O41" s="27">
        <f>IF(A41="","",IF(M41&gt;N41,"",IF(M41=1,"최우수",IF(M41&lt;=3,"우수","장려"))))</f>
        <v/>
      </c>
    </row>
    <row r="42">
      <c r="A42" s="27">
        <f>IF(작품목록!A35="","",작품목록!A35)</f>
        <v/>
      </c>
      <c r="B42" s="21">
        <f>IF($A42="","",작품목록!B35&amp;"")</f>
        <v/>
      </c>
      <c r="C42" s="21">
        <f>IF($A42="","",작품목록!C35&amp;"")</f>
        <v/>
      </c>
      <c r="D42" s="21">
        <f>IF($A42="","",작품목록!D35&amp;"")</f>
        <v/>
      </c>
      <c r="E42" s="22">
        <f>IF($A42="","",작품목록!F35&amp;"")</f>
        <v/>
      </c>
      <c r="F42" s="24">
        <f>IF(A42="","",IFERROR(IF(B42="상상",INDEX(심사_상상!$P$5:$P$104,MATCH($A42,심사_상상!$A$5:$A$104,0)),INDEX(심사_블록바이브!$S$5:$S$104,MATCH($A42,심사_블록바이브!$A$5:$A$104,0)))+0,0))</f>
        <v/>
      </c>
      <c r="G42" s="24">
        <f>IF(A42="","",IFERROR(IF(B42="상상",INDEX(심사_상상!$Q$5:$Q$104,MATCH($A42,심사_상상!$A$5:$A$104,0)),INDEX(심사_블록바이브!$T$5:$T$104,MATCH($A42,심사_블록바이브!$A$5:$A$104,0)))+0,0))</f>
        <v/>
      </c>
      <c r="H42" s="21">
        <f>IF(A42="","",IFERROR(INDEX(투표집계!$P$6:$P$1005,MATCH(A42,투표집계!$K$6:$K$1005,0))+0,0))</f>
        <v/>
      </c>
      <c r="I42" s="21">
        <f>IF(A42="","",_xlfn.MAXIFS($H$11:$H$110,$B$11:$B$110,B42))</f>
        <v/>
      </c>
      <c r="J42" s="30">
        <f>IF(A42="","",IF(N(I42)=0,0,ROUND(H42/I42*50,1)))</f>
        <v/>
      </c>
      <c r="K42" s="23">
        <f>IF(A42="","",ROUND(F42+J42,2))</f>
        <v/>
      </c>
      <c r="L42" s="31">
        <f>IF(A42="","",K42+G42/10000)</f>
        <v/>
      </c>
      <c r="M42" s="27">
        <f>IF(A42="","",COUNTIFS($B$11:$B$110,B42,$L$11:$L$110,"&gt;"&amp;L42)+1)</f>
        <v/>
      </c>
      <c r="N42" s="21">
        <f>IF(A42="","",IFERROR(INDEX($D$5:$D$7,MATCH(B42,$A$5:$A$7,0)),0))</f>
        <v/>
      </c>
      <c r="O42" s="27">
        <f>IF(A42="","",IF(M42&gt;N42,"",IF(M42=1,"최우수",IF(M42&lt;=3,"우수","장려"))))</f>
        <v/>
      </c>
    </row>
    <row r="43">
      <c r="A43" s="27">
        <f>IF(작품목록!A36="","",작품목록!A36)</f>
        <v/>
      </c>
      <c r="B43" s="21">
        <f>IF($A43="","",작품목록!B36&amp;"")</f>
        <v/>
      </c>
      <c r="C43" s="21">
        <f>IF($A43="","",작품목록!C36&amp;"")</f>
        <v/>
      </c>
      <c r="D43" s="21">
        <f>IF($A43="","",작품목록!D36&amp;"")</f>
        <v/>
      </c>
      <c r="E43" s="22">
        <f>IF($A43="","",작품목록!F36&amp;"")</f>
        <v/>
      </c>
      <c r="F43" s="24">
        <f>IF(A43="","",IFERROR(IF(B43="상상",INDEX(심사_상상!$P$5:$P$104,MATCH($A43,심사_상상!$A$5:$A$104,0)),INDEX(심사_블록바이브!$S$5:$S$104,MATCH($A43,심사_블록바이브!$A$5:$A$104,0)))+0,0))</f>
        <v/>
      </c>
      <c r="G43" s="24">
        <f>IF(A43="","",IFERROR(IF(B43="상상",INDEX(심사_상상!$Q$5:$Q$104,MATCH($A43,심사_상상!$A$5:$A$104,0)),INDEX(심사_블록바이브!$T$5:$T$104,MATCH($A43,심사_블록바이브!$A$5:$A$104,0)))+0,0))</f>
        <v/>
      </c>
      <c r="H43" s="21">
        <f>IF(A43="","",IFERROR(INDEX(투표집계!$P$6:$P$1005,MATCH(A43,투표집계!$K$6:$K$1005,0))+0,0))</f>
        <v/>
      </c>
      <c r="I43" s="21">
        <f>IF(A43="","",_xlfn.MAXIFS($H$11:$H$110,$B$11:$B$110,B43))</f>
        <v/>
      </c>
      <c r="J43" s="30">
        <f>IF(A43="","",IF(N(I43)=0,0,ROUND(H43/I43*50,1)))</f>
        <v/>
      </c>
      <c r="K43" s="23">
        <f>IF(A43="","",ROUND(F43+J43,2))</f>
        <v/>
      </c>
      <c r="L43" s="31">
        <f>IF(A43="","",K43+G43/10000)</f>
        <v/>
      </c>
      <c r="M43" s="27">
        <f>IF(A43="","",COUNTIFS($B$11:$B$110,B43,$L$11:$L$110,"&gt;"&amp;L43)+1)</f>
        <v/>
      </c>
      <c r="N43" s="21">
        <f>IF(A43="","",IFERROR(INDEX($D$5:$D$7,MATCH(B43,$A$5:$A$7,0)),0))</f>
        <v/>
      </c>
      <c r="O43" s="27">
        <f>IF(A43="","",IF(M43&gt;N43,"",IF(M43=1,"최우수",IF(M43&lt;=3,"우수","장려"))))</f>
        <v/>
      </c>
    </row>
    <row r="44">
      <c r="A44" s="27">
        <f>IF(작품목록!A37="","",작품목록!A37)</f>
        <v/>
      </c>
      <c r="B44" s="21">
        <f>IF($A44="","",작품목록!B37&amp;"")</f>
        <v/>
      </c>
      <c r="C44" s="21">
        <f>IF($A44="","",작품목록!C37&amp;"")</f>
        <v/>
      </c>
      <c r="D44" s="21">
        <f>IF($A44="","",작품목록!D37&amp;"")</f>
        <v/>
      </c>
      <c r="E44" s="22">
        <f>IF($A44="","",작품목록!F37&amp;"")</f>
        <v/>
      </c>
      <c r="F44" s="24">
        <f>IF(A44="","",IFERROR(IF(B44="상상",INDEX(심사_상상!$P$5:$P$104,MATCH($A44,심사_상상!$A$5:$A$104,0)),INDEX(심사_블록바이브!$S$5:$S$104,MATCH($A44,심사_블록바이브!$A$5:$A$104,0)))+0,0))</f>
        <v/>
      </c>
      <c r="G44" s="24">
        <f>IF(A44="","",IFERROR(IF(B44="상상",INDEX(심사_상상!$Q$5:$Q$104,MATCH($A44,심사_상상!$A$5:$A$104,0)),INDEX(심사_블록바이브!$T$5:$T$104,MATCH($A44,심사_블록바이브!$A$5:$A$104,0)))+0,0))</f>
        <v/>
      </c>
      <c r="H44" s="21">
        <f>IF(A44="","",IFERROR(INDEX(투표집계!$P$6:$P$1005,MATCH(A44,투표집계!$K$6:$K$1005,0))+0,0))</f>
        <v/>
      </c>
      <c r="I44" s="21">
        <f>IF(A44="","",_xlfn.MAXIFS($H$11:$H$110,$B$11:$B$110,B44))</f>
        <v/>
      </c>
      <c r="J44" s="30">
        <f>IF(A44="","",IF(N(I44)=0,0,ROUND(H44/I44*50,1)))</f>
        <v/>
      </c>
      <c r="K44" s="23">
        <f>IF(A44="","",ROUND(F44+J44,2))</f>
        <v/>
      </c>
      <c r="L44" s="31">
        <f>IF(A44="","",K44+G44/10000)</f>
        <v/>
      </c>
      <c r="M44" s="27">
        <f>IF(A44="","",COUNTIFS($B$11:$B$110,B44,$L$11:$L$110,"&gt;"&amp;L44)+1)</f>
        <v/>
      </c>
      <c r="N44" s="21">
        <f>IF(A44="","",IFERROR(INDEX($D$5:$D$7,MATCH(B44,$A$5:$A$7,0)),0))</f>
        <v/>
      </c>
      <c r="O44" s="27">
        <f>IF(A44="","",IF(M44&gt;N44,"",IF(M44=1,"최우수",IF(M44&lt;=3,"우수","장려"))))</f>
        <v/>
      </c>
    </row>
    <row r="45">
      <c r="A45" s="27">
        <f>IF(작품목록!A38="","",작품목록!A38)</f>
        <v/>
      </c>
      <c r="B45" s="21">
        <f>IF($A45="","",작품목록!B38&amp;"")</f>
        <v/>
      </c>
      <c r="C45" s="21">
        <f>IF($A45="","",작품목록!C38&amp;"")</f>
        <v/>
      </c>
      <c r="D45" s="21">
        <f>IF($A45="","",작품목록!D38&amp;"")</f>
        <v/>
      </c>
      <c r="E45" s="22">
        <f>IF($A45="","",작품목록!F38&amp;"")</f>
        <v/>
      </c>
      <c r="F45" s="24">
        <f>IF(A45="","",IFERROR(IF(B45="상상",INDEX(심사_상상!$P$5:$P$104,MATCH($A45,심사_상상!$A$5:$A$104,0)),INDEX(심사_블록바이브!$S$5:$S$104,MATCH($A45,심사_블록바이브!$A$5:$A$104,0)))+0,0))</f>
        <v/>
      </c>
      <c r="G45" s="24">
        <f>IF(A45="","",IFERROR(IF(B45="상상",INDEX(심사_상상!$Q$5:$Q$104,MATCH($A45,심사_상상!$A$5:$A$104,0)),INDEX(심사_블록바이브!$T$5:$T$104,MATCH($A45,심사_블록바이브!$A$5:$A$104,0)))+0,0))</f>
        <v/>
      </c>
      <c r="H45" s="21">
        <f>IF(A45="","",IFERROR(INDEX(투표집계!$P$6:$P$1005,MATCH(A45,투표집계!$K$6:$K$1005,0))+0,0))</f>
        <v/>
      </c>
      <c r="I45" s="21">
        <f>IF(A45="","",_xlfn.MAXIFS($H$11:$H$110,$B$11:$B$110,B45))</f>
        <v/>
      </c>
      <c r="J45" s="30">
        <f>IF(A45="","",IF(N(I45)=0,0,ROUND(H45/I45*50,1)))</f>
        <v/>
      </c>
      <c r="K45" s="23">
        <f>IF(A45="","",ROUND(F45+J45,2))</f>
        <v/>
      </c>
      <c r="L45" s="31">
        <f>IF(A45="","",K45+G45/10000)</f>
        <v/>
      </c>
      <c r="M45" s="27">
        <f>IF(A45="","",COUNTIFS($B$11:$B$110,B45,$L$11:$L$110,"&gt;"&amp;L45)+1)</f>
        <v/>
      </c>
      <c r="N45" s="21">
        <f>IF(A45="","",IFERROR(INDEX($D$5:$D$7,MATCH(B45,$A$5:$A$7,0)),0))</f>
        <v/>
      </c>
      <c r="O45" s="27">
        <f>IF(A45="","",IF(M45&gt;N45,"",IF(M45=1,"최우수",IF(M45&lt;=3,"우수","장려"))))</f>
        <v/>
      </c>
    </row>
    <row r="46">
      <c r="A46" s="27">
        <f>IF(작품목록!A39="","",작품목록!A39)</f>
        <v/>
      </c>
      <c r="B46" s="21">
        <f>IF($A46="","",작품목록!B39&amp;"")</f>
        <v/>
      </c>
      <c r="C46" s="21">
        <f>IF($A46="","",작품목록!C39&amp;"")</f>
        <v/>
      </c>
      <c r="D46" s="21">
        <f>IF($A46="","",작품목록!D39&amp;"")</f>
        <v/>
      </c>
      <c r="E46" s="22">
        <f>IF($A46="","",작품목록!F39&amp;"")</f>
        <v/>
      </c>
      <c r="F46" s="24">
        <f>IF(A46="","",IFERROR(IF(B46="상상",INDEX(심사_상상!$P$5:$P$104,MATCH($A46,심사_상상!$A$5:$A$104,0)),INDEX(심사_블록바이브!$S$5:$S$104,MATCH($A46,심사_블록바이브!$A$5:$A$104,0)))+0,0))</f>
        <v/>
      </c>
      <c r="G46" s="24">
        <f>IF(A46="","",IFERROR(IF(B46="상상",INDEX(심사_상상!$Q$5:$Q$104,MATCH($A46,심사_상상!$A$5:$A$104,0)),INDEX(심사_블록바이브!$T$5:$T$104,MATCH($A46,심사_블록바이브!$A$5:$A$104,0)))+0,0))</f>
        <v/>
      </c>
      <c r="H46" s="21">
        <f>IF(A46="","",IFERROR(INDEX(투표집계!$P$6:$P$1005,MATCH(A46,투표집계!$K$6:$K$1005,0))+0,0))</f>
        <v/>
      </c>
      <c r="I46" s="21">
        <f>IF(A46="","",_xlfn.MAXIFS($H$11:$H$110,$B$11:$B$110,B46))</f>
        <v/>
      </c>
      <c r="J46" s="30">
        <f>IF(A46="","",IF(N(I46)=0,0,ROUND(H46/I46*50,1)))</f>
        <v/>
      </c>
      <c r="K46" s="23">
        <f>IF(A46="","",ROUND(F46+J46,2))</f>
        <v/>
      </c>
      <c r="L46" s="31">
        <f>IF(A46="","",K46+G46/10000)</f>
        <v/>
      </c>
      <c r="M46" s="27">
        <f>IF(A46="","",COUNTIFS($B$11:$B$110,B46,$L$11:$L$110,"&gt;"&amp;L46)+1)</f>
        <v/>
      </c>
      <c r="N46" s="21">
        <f>IF(A46="","",IFERROR(INDEX($D$5:$D$7,MATCH(B46,$A$5:$A$7,0)),0))</f>
        <v/>
      </c>
      <c r="O46" s="27">
        <f>IF(A46="","",IF(M46&gt;N46,"",IF(M46=1,"최우수",IF(M46&lt;=3,"우수","장려"))))</f>
        <v/>
      </c>
    </row>
    <row r="47">
      <c r="A47" s="27">
        <f>IF(작품목록!A40="","",작품목록!A40)</f>
        <v/>
      </c>
      <c r="B47" s="21">
        <f>IF($A47="","",작품목록!B40&amp;"")</f>
        <v/>
      </c>
      <c r="C47" s="21">
        <f>IF($A47="","",작품목록!C40&amp;"")</f>
        <v/>
      </c>
      <c r="D47" s="21">
        <f>IF($A47="","",작품목록!D40&amp;"")</f>
        <v/>
      </c>
      <c r="E47" s="22">
        <f>IF($A47="","",작품목록!F40&amp;"")</f>
        <v/>
      </c>
      <c r="F47" s="24">
        <f>IF(A47="","",IFERROR(IF(B47="상상",INDEX(심사_상상!$P$5:$P$104,MATCH($A47,심사_상상!$A$5:$A$104,0)),INDEX(심사_블록바이브!$S$5:$S$104,MATCH($A47,심사_블록바이브!$A$5:$A$104,0)))+0,0))</f>
        <v/>
      </c>
      <c r="G47" s="24">
        <f>IF(A47="","",IFERROR(IF(B47="상상",INDEX(심사_상상!$Q$5:$Q$104,MATCH($A47,심사_상상!$A$5:$A$104,0)),INDEX(심사_블록바이브!$T$5:$T$104,MATCH($A47,심사_블록바이브!$A$5:$A$104,0)))+0,0))</f>
        <v/>
      </c>
      <c r="H47" s="21">
        <f>IF(A47="","",IFERROR(INDEX(투표집계!$P$6:$P$1005,MATCH(A47,투표집계!$K$6:$K$1005,0))+0,0))</f>
        <v/>
      </c>
      <c r="I47" s="21">
        <f>IF(A47="","",_xlfn.MAXIFS($H$11:$H$110,$B$11:$B$110,B47))</f>
        <v/>
      </c>
      <c r="J47" s="30">
        <f>IF(A47="","",IF(N(I47)=0,0,ROUND(H47/I47*50,1)))</f>
        <v/>
      </c>
      <c r="K47" s="23">
        <f>IF(A47="","",ROUND(F47+J47,2))</f>
        <v/>
      </c>
      <c r="L47" s="31">
        <f>IF(A47="","",K47+G47/10000)</f>
        <v/>
      </c>
      <c r="M47" s="27">
        <f>IF(A47="","",COUNTIFS($B$11:$B$110,B47,$L$11:$L$110,"&gt;"&amp;L47)+1)</f>
        <v/>
      </c>
      <c r="N47" s="21">
        <f>IF(A47="","",IFERROR(INDEX($D$5:$D$7,MATCH(B47,$A$5:$A$7,0)),0))</f>
        <v/>
      </c>
      <c r="O47" s="27">
        <f>IF(A47="","",IF(M47&gt;N47,"",IF(M47=1,"최우수",IF(M47&lt;=3,"우수","장려"))))</f>
        <v/>
      </c>
    </row>
    <row r="48">
      <c r="A48" s="27">
        <f>IF(작품목록!A41="","",작품목록!A41)</f>
        <v/>
      </c>
      <c r="B48" s="21">
        <f>IF($A48="","",작품목록!B41&amp;"")</f>
        <v/>
      </c>
      <c r="C48" s="21">
        <f>IF($A48="","",작품목록!C41&amp;"")</f>
        <v/>
      </c>
      <c r="D48" s="21">
        <f>IF($A48="","",작품목록!D41&amp;"")</f>
        <v/>
      </c>
      <c r="E48" s="22">
        <f>IF($A48="","",작품목록!F41&amp;"")</f>
        <v/>
      </c>
      <c r="F48" s="24">
        <f>IF(A48="","",IFERROR(IF(B48="상상",INDEX(심사_상상!$P$5:$P$104,MATCH($A48,심사_상상!$A$5:$A$104,0)),INDEX(심사_블록바이브!$S$5:$S$104,MATCH($A48,심사_블록바이브!$A$5:$A$104,0)))+0,0))</f>
        <v/>
      </c>
      <c r="G48" s="24">
        <f>IF(A48="","",IFERROR(IF(B48="상상",INDEX(심사_상상!$Q$5:$Q$104,MATCH($A48,심사_상상!$A$5:$A$104,0)),INDEX(심사_블록바이브!$T$5:$T$104,MATCH($A48,심사_블록바이브!$A$5:$A$104,0)))+0,0))</f>
        <v/>
      </c>
      <c r="H48" s="21">
        <f>IF(A48="","",IFERROR(INDEX(투표집계!$P$6:$P$1005,MATCH(A48,투표집계!$K$6:$K$1005,0))+0,0))</f>
        <v/>
      </c>
      <c r="I48" s="21">
        <f>IF(A48="","",_xlfn.MAXIFS($H$11:$H$110,$B$11:$B$110,B48))</f>
        <v/>
      </c>
      <c r="J48" s="30">
        <f>IF(A48="","",IF(N(I48)=0,0,ROUND(H48/I48*50,1)))</f>
        <v/>
      </c>
      <c r="K48" s="23">
        <f>IF(A48="","",ROUND(F48+J48,2))</f>
        <v/>
      </c>
      <c r="L48" s="31">
        <f>IF(A48="","",K48+G48/10000)</f>
        <v/>
      </c>
      <c r="M48" s="27">
        <f>IF(A48="","",COUNTIFS($B$11:$B$110,B48,$L$11:$L$110,"&gt;"&amp;L48)+1)</f>
        <v/>
      </c>
      <c r="N48" s="21">
        <f>IF(A48="","",IFERROR(INDEX($D$5:$D$7,MATCH(B48,$A$5:$A$7,0)),0))</f>
        <v/>
      </c>
      <c r="O48" s="27">
        <f>IF(A48="","",IF(M48&gt;N48,"",IF(M48=1,"최우수",IF(M48&lt;=3,"우수","장려"))))</f>
        <v/>
      </c>
    </row>
    <row r="49">
      <c r="A49" s="27">
        <f>IF(작품목록!A42="","",작품목록!A42)</f>
        <v/>
      </c>
      <c r="B49" s="21">
        <f>IF($A49="","",작품목록!B42&amp;"")</f>
        <v/>
      </c>
      <c r="C49" s="21">
        <f>IF($A49="","",작품목록!C42&amp;"")</f>
        <v/>
      </c>
      <c r="D49" s="21">
        <f>IF($A49="","",작품목록!D42&amp;"")</f>
        <v/>
      </c>
      <c r="E49" s="22">
        <f>IF($A49="","",작품목록!F42&amp;"")</f>
        <v/>
      </c>
      <c r="F49" s="24">
        <f>IF(A49="","",IFERROR(IF(B49="상상",INDEX(심사_상상!$P$5:$P$104,MATCH($A49,심사_상상!$A$5:$A$104,0)),INDEX(심사_블록바이브!$S$5:$S$104,MATCH($A49,심사_블록바이브!$A$5:$A$104,0)))+0,0))</f>
        <v/>
      </c>
      <c r="G49" s="24">
        <f>IF(A49="","",IFERROR(IF(B49="상상",INDEX(심사_상상!$Q$5:$Q$104,MATCH($A49,심사_상상!$A$5:$A$104,0)),INDEX(심사_블록바이브!$T$5:$T$104,MATCH($A49,심사_블록바이브!$A$5:$A$104,0)))+0,0))</f>
        <v/>
      </c>
      <c r="H49" s="21">
        <f>IF(A49="","",IFERROR(INDEX(투표집계!$P$6:$P$1005,MATCH(A49,투표집계!$K$6:$K$1005,0))+0,0))</f>
        <v/>
      </c>
      <c r="I49" s="21">
        <f>IF(A49="","",_xlfn.MAXIFS($H$11:$H$110,$B$11:$B$110,B49))</f>
        <v/>
      </c>
      <c r="J49" s="30">
        <f>IF(A49="","",IF(N(I49)=0,0,ROUND(H49/I49*50,1)))</f>
        <v/>
      </c>
      <c r="K49" s="23">
        <f>IF(A49="","",ROUND(F49+J49,2))</f>
        <v/>
      </c>
      <c r="L49" s="31">
        <f>IF(A49="","",K49+G49/10000)</f>
        <v/>
      </c>
      <c r="M49" s="27">
        <f>IF(A49="","",COUNTIFS($B$11:$B$110,B49,$L$11:$L$110,"&gt;"&amp;L49)+1)</f>
        <v/>
      </c>
      <c r="N49" s="21">
        <f>IF(A49="","",IFERROR(INDEX($D$5:$D$7,MATCH(B49,$A$5:$A$7,0)),0))</f>
        <v/>
      </c>
      <c r="O49" s="27">
        <f>IF(A49="","",IF(M49&gt;N49,"",IF(M49=1,"최우수",IF(M49&lt;=3,"우수","장려"))))</f>
        <v/>
      </c>
    </row>
    <row r="50">
      <c r="A50" s="27">
        <f>IF(작품목록!A43="","",작품목록!A43)</f>
        <v/>
      </c>
      <c r="B50" s="21">
        <f>IF($A50="","",작품목록!B43&amp;"")</f>
        <v/>
      </c>
      <c r="C50" s="21">
        <f>IF($A50="","",작품목록!C43&amp;"")</f>
        <v/>
      </c>
      <c r="D50" s="21">
        <f>IF($A50="","",작품목록!D43&amp;"")</f>
        <v/>
      </c>
      <c r="E50" s="22">
        <f>IF($A50="","",작품목록!F43&amp;"")</f>
        <v/>
      </c>
      <c r="F50" s="24">
        <f>IF(A50="","",IFERROR(IF(B50="상상",INDEX(심사_상상!$P$5:$P$104,MATCH($A50,심사_상상!$A$5:$A$104,0)),INDEX(심사_블록바이브!$S$5:$S$104,MATCH($A50,심사_블록바이브!$A$5:$A$104,0)))+0,0))</f>
        <v/>
      </c>
      <c r="G50" s="24">
        <f>IF(A50="","",IFERROR(IF(B50="상상",INDEX(심사_상상!$Q$5:$Q$104,MATCH($A50,심사_상상!$A$5:$A$104,0)),INDEX(심사_블록바이브!$T$5:$T$104,MATCH($A50,심사_블록바이브!$A$5:$A$104,0)))+0,0))</f>
        <v/>
      </c>
      <c r="H50" s="21">
        <f>IF(A50="","",IFERROR(INDEX(투표집계!$P$6:$P$1005,MATCH(A50,투표집계!$K$6:$K$1005,0))+0,0))</f>
        <v/>
      </c>
      <c r="I50" s="21">
        <f>IF(A50="","",_xlfn.MAXIFS($H$11:$H$110,$B$11:$B$110,B50))</f>
        <v/>
      </c>
      <c r="J50" s="30">
        <f>IF(A50="","",IF(N(I50)=0,0,ROUND(H50/I50*50,1)))</f>
        <v/>
      </c>
      <c r="K50" s="23">
        <f>IF(A50="","",ROUND(F50+J50,2))</f>
        <v/>
      </c>
      <c r="L50" s="31">
        <f>IF(A50="","",K50+G50/10000)</f>
        <v/>
      </c>
      <c r="M50" s="27">
        <f>IF(A50="","",COUNTIFS($B$11:$B$110,B50,$L$11:$L$110,"&gt;"&amp;L50)+1)</f>
        <v/>
      </c>
      <c r="N50" s="21">
        <f>IF(A50="","",IFERROR(INDEX($D$5:$D$7,MATCH(B50,$A$5:$A$7,0)),0))</f>
        <v/>
      </c>
      <c r="O50" s="27">
        <f>IF(A50="","",IF(M50&gt;N50,"",IF(M50=1,"최우수",IF(M50&lt;=3,"우수","장려"))))</f>
        <v/>
      </c>
    </row>
    <row r="51">
      <c r="A51" s="27">
        <f>IF(작품목록!A44="","",작품목록!A44)</f>
        <v/>
      </c>
      <c r="B51" s="21">
        <f>IF($A51="","",작품목록!B44&amp;"")</f>
        <v/>
      </c>
      <c r="C51" s="21">
        <f>IF($A51="","",작품목록!C44&amp;"")</f>
        <v/>
      </c>
      <c r="D51" s="21">
        <f>IF($A51="","",작품목록!D44&amp;"")</f>
        <v/>
      </c>
      <c r="E51" s="22">
        <f>IF($A51="","",작품목록!F44&amp;"")</f>
        <v/>
      </c>
      <c r="F51" s="24">
        <f>IF(A51="","",IFERROR(IF(B51="상상",INDEX(심사_상상!$P$5:$P$104,MATCH($A51,심사_상상!$A$5:$A$104,0)),INDEX(심사_블록바이브!$S$5:$S$104,MATCH($A51,심사_블록바이브!$A$5:$A$104,0)))+0,0))</f>
        <v/>
      </c>
      <c r="G51" s="24">
        <f>IF(A51="","",IFERROR(IF(B51="상상",INDEX(심사_상상!$Q$5:$Q$104,MATCH($A51,심사_상상!$A$5:$A$104,0)),INDEX(심사_블록바이브!$T$5:$T$104,MATCH($A51,심사_블록바이브!$A$5:$A$104,0)))+0,0))</f>
        <v/>
      </c>
      <c r="H51" s="21">
        <f>IF(A51="","",IFERROR(INDEX(투표집계!$P$6:$P$1005,MATCH(A51,투표집계!$K$6:$K$1005,0))+0,0))</f>
        <v/>
      </c>
      <c r="I51" s="21">
        <f>IF(A51="","",_xlfn.MAXIFS($H$11:$H$110,$B$11:$B$110,B51))</f>
        <v/>
      </c>
      <c r="J51" s="30">
        <f>IF(A51="","",IF(N(I51)=0,0,ROUND(H51/I51*50,1)))</f>
        <v/>
      </c>
      <c r="K51" s="23">
        <f>IF(A51="","",ROUND(F51+J51,2))</f>
        <v/>
      </c>
      <c r="L51" s="31">
        <f>IF(A51="","",K51+G51/10000)</f>
        <v/>
      </c>
      <c r="M51" s="27">
        <f>IF(A51="","",COUNTIFS($B$11:$B$110,B51,$L$11:$L$110,"&gt;"&amp;L51)+1)</f>
        <v/>
      </c>
      <c r="N51" s="21">
        <f>IF(A51="","",IFERROR(INDEX($D$5:$D$7,MATCH(B51,$A$5:$A$7,0)),0))</f>
        <v/>
      </c>
      <c r="O51" s="27">
        <f>IF(A51="","",IF(M51&gt;N51,"",IF(M51=1,"최우수",IF(M51&lt;=3,"우수","장려"))))</f>
        <v/>
      </c>
    </row>
    <row r="52">
      <c r="A52" s="27">
        <f>IF(작품목록!A45="","",작품목록!A45)</f>
        <v/>
      </c>
      <c r="B52" s="21">
        <f>IF($A52="","",작품목록!B45&amp;"")</f>
        <v/>
      </c>
      <c r="C52" s="21">
        <f>IF($A52="","",작품목록!C45&amp;"")</f>
        <v/>
      </c>
      <c r="D52" s="21">
        <f>IF($A52="","",작품목록!D45&amp;"")</f>
        <v/>
      </c>
      <c r="E52" s="22">
        <f>IF($A52="","",작품목록!F45&amp;"")</f>
        <v/>
      </c>
      <c r="F52" s="24">
        <f>IF(A52="","",IFERROR(IF(B52="상상",INDEX(심사_상상!$P$5:$P$104,MATCH($A52,심사_상상!$A$5:$A$104,0)),INDEX(심사_블록바이브!$S$5:$S$104,MATCH($A52,심사_블록바이브!$A$5:$A$104,0)))+0,0))</f>
        <v/>
      </c>
      <c r="G52" s="24">
        <f>IF(A52="","",IFERROR(IF(B52="상상",INDEX(심사_상상!$Q$5:$Q$104,MATCH($A52,심사_상상!$A$5:$A$104,0)),INDEX(심사_블록바이브!$T$5:$T$104,MATCH($A52,심사_블록바이브!$A$5:$A$104,0)))+0,0))</f>
        <v/>
      </c>
      <c r="H52" s="21">
        <f>IF(A52="","",IFERROR(INDEX(투표집계!$P$6:$P$1005,MATCH(A52,투표집계!$K$6:$K$1005,0))+0,0))</f>
        <v/>
      </c>
      <c r="I52" s="21">
        <f>IF(A52="","",_xlfn.MAXIFS($H$11:$H$110,$B$11:$B$110,B52))</f>
        <v/>
      </c>
      <c r="J52" s="30">
        <f>IF(A52="","",IF(N(I52)=0,0,ROUND(H52/I52*50,1)))</f>
        <v/>
      </c>
      <c r="K52" s="23">
        <f>IF(A52="","",ROUND(F52+J52,2))</f>
        <v/>
      </c>
      <c r="L52" s="31">
        <f>IF(A52="","",K52+G52/10000)</f>
        <v/>
      </c>
      <c r="M52" s="27">
        <f>IF(A52="","",COUNTIFS($B$11:$B$110,B52,$L$11:$L$110,"&gt;"&amp;L52)+1)</f>
        <v/>
      </c>
      <c r="N52" s="21">
        <f>IF(A52="","",IFERROR(INDEX($D$5:$D$7,MATCH(B52,$A$5:$A$7,0)),0))</f>
        <v/>
      </c>
      <c r="O52" s="27">
        <f>IF(A52="","",IF(M52&gt;N52,"",IF(M52=1,"최우수",IF(M52&lt;=3,"우수","장려"))))</f>
        <v/>
      </c>
    </row>
    <row r="53">
      <c r="A53" s="27">
        <f>IF(작품목록!A46="","",작품목록!A46)</f>
        <v/>
      </c>
      <c r="B53" s="21">
        <f>IF($A53="","",작품목록!B46&amp;"")</f>
        <v/>
      </c>
      <c r="C53" s="21">
        <f>IF($A53="","",작품목록!C46&amp;"")</f>
        <v/>
      </c>
      <c r="D53" s="21">
        <f>IF($A53="","",작품목록!D46&amp;"")</f>
        <v/>
      </c>
      <c r="E53" s="22">
        <f>IF($A53="","",작품목록!F46&amp;"")</f>
        <v/>
      </c>
      <c r="F53" s="24">
        <f>IF(A53="","",IFERROR(IF(B53="상상",INDEX(심사_상상!$P$5:$P$104,MATCH($A53,심사_상상!$A$5:$A$104,0)),INDEX(심사_블록바이브!$S$5:$S$104,MATCH($A53,심사_블록바이브!$A$5:$A$104,0)))+0,0))</f>
        <v/>
      </c>
      <c r="G53" s="24">
        <f>IF(A53="","",IFERROR(IF(B53="상상",INDEX(심사_상상!$Q$5:$Q$104,MATCH($A53,심사_상상!$A$5:$A$104,0)),INDEX(심사_블록바이브!$T$5:$T$104,MATCH($A53,심사_블록바이브!$A$5:$A$104,0)))+0,0))</f>
        <v/>
      </c>
      <c r="H53" s="21">
        <f>IF(A53="","",IFERROR(INDEX(투표집계!$P$6:$P$1005,MATCH(A53,투표집계!$K$6:$K$1005,0))+0,0))</f>
        <v/>
      </c>
      <c r="I53" s="21">
        <f>IF(A53="","",_xlfn.MAXIFS($H$11:$H$110,$B$11:$B$110,B53))</f>
        <v/>
      </c>
      <c r="J53" s="30">
        <f>IF(A53="","",IF(N(I53)=0,0,ROUND(H53/I53*50,1)))</f>
        <v/>
      </c>
      <c r="K53" s="23">
        <f>IF(A53="","",ROUND(F53+J53,2))</f>
        <v/>
      </c>
      <c r="L53" s="31">
        <f>IF(A53="","",K53+G53/10000)</f>
        <v/>
      </c>
      <c r="M53" s="27">
        <f>IF(A53="","",COUNTIFS($B$11:$B$110,B53,$L$11:$L$110,"&gt;"&amp;L53)+1)</f>
        <v/>
      </c>
      <c r="N53" s="21">
        <f>IF(A53="","",IFERROR(INDEX($D$5:$D$7,MATCH(B53,$A$5:$A$7,0)),0))</f>
        <v/>
      </c>
      <c r="O53" s="27">
        <f>IF(A53="","",IF(M53&gt;N53,"",IF(M53=1,"최우수",IF(M53&lt;=3,"우수","장려"))))</f>
        <v/>
      </c>
    </row>
    <row r="54">
      <c r="A54" s="27">
        <f>IF(작품목록!A47="","",작품목록!A47)</f>
        <v/>
      </c>
      <c r="B54" s="21">
        <f>IF($A54="","",작품목록!B47&amp;"")</f>
        <v/>
      </c>
      <c r="C54" s="21">
        <f>IF($A54="","",작품목록!C47&amp;"")</f>
        <v/>
      </c>
      <c r="D54" s="21">
        <f>IF($A54="","",작품목록!D47&amp;"")</f>
        <v/>
      </c>
      <c r="E54" s="22">
        <f>IF($A54="","",작품목록!F47&amp;"")</f>
        <v/>
      </c>
      <c r="F54" s="24">
        <f>IF(A54="","",IFERROR(IF(B54="상상",INDEX(심사_상상!$P$5:$P$104,MATCH($A54,심사_상상!$A$5:$A$104,0)),INDEX(심사_블록바이브!$S$5:$S$104,MATCH($A54,심사_블록바이브!$A$5:$A$104,0)))+0,0))</f>
        <v/>
      </c>
      <c r="G54" s="24">
        <f>IF(A54="","",IFERROR(IF(B54="상상",INDEX(심사_상상!$Q$5:$Q$104,MATCH($A54,심사_상상!$A$5:$A$104,0)),INDEX(심사_블록바이브!$T$5:$T$104,MATCH($A54,심사_블록바이브!$A$5:$A$104,0)))+0,0))</f>
        <v/>
      </c>
      <c r="H54" s="21">
        <f>IF(A54="","",IFERROR(INDEX(투표집계!$P$6:$P$1005,MATCH(A54,투표집계!$K$6:$K$1005,0))+0,0))</f>
        <v/>
      </c>
      <c r="I54" s="21">
        <f>IF(A54="","",_xlfn.MAXIFS($H$11:$H$110,$B$11:$B$110,B54))</f>
        <v/>
      </c>
      <c r="J54" s="30">
        <f>IF(A54="","",IF(N(I54)=0,0,ROUND(H54/I54*50,1)))</f>
        <v/>
      </c>
      <c r="K54" s="23">
        <f>IF(A54="","",ROUND(F54+J54,2))</f>
        <v/>
      </c>
      <c r="L54" s="31">
        <f>IF(A54="","",K54+G54/10000)</f>
        <v/>
      </c>
      <c r="M54" s="27">
        <f>IF(A54="","",COUNTIFS($B$11:$B$110,B54,$L$11:$L$110,"&gt;"&amp;L54)+1)</f>
        <v/>
      </c>
      <c r="N54" s="21">
        <f>IF(A54="","",IFERROR(INDEX($D$5:$D$7,MATCH(B54,$A$5:$A$7,0)),0))</f>
        <v/>
      </c>
      <c r="O54" s="27">
        <f>IF(A54="","",IF(M54&gt;N54,"",IF(M54=1,"최우수",IF(M54&lt;=3,"우수","장려"))))</f>
        <v/>
      </c>
    </row>
    <row r="55">
      <c r="A55" s="27">
        <f>IF(작품목록!A48="","",작품목록!A48)</f>
        <v/>
      </c>
      <c r="B55" s="21">
        <f>IF($A55="","",작품목록!B48&amp;"")</f>
        <v/>
      </c>
      <c r="C55" s="21">
        <f>IF($A55="","",작품목록!C48&amp;"")</f>
        <v/>
      </c>
      <c r="D55" s="21">
        <f>IF($A55="","",작품목록!D48&amp;"")</f>
        <v/>
      </c>
      <c r="E55" s="22">
        <f>IF($A55="","",작품목록!F48&amp;"")</f>
        <v/>
      </c>
      <c r="F55" s="24">
        <f>IF(A55="","",IFERROR(IF(B55="상상",INDEX(심사_상상!$P$5:$P$104,MATCH($A55,심사_상상!$A$5:$A$104,0)),INDEX(심사_블록바이브!$S$5:$S$104,MATCH($A55,심사_블록바이브!$A$5:$A$104,0)))+0,0))</f>
        <v/>
      </c>
      <c r="G55" s="24">
        <f>IF(A55="","",IFERROR(IF(B55="상상",INDEX(심사_상상!$Q$5:$Q$104,MATCH($A55,심사_상상!$A$5:$A$104,0)),INDEX(심사_블록바이브!$T$5:$T$104,MATCH($A55,심사_블록바이브!$A$5:$A$104,0)))+0,0))</f>
        <v/>
      </c>
      <c r="H55" s="21">
        <f>IF(A55="","",IFERROR(INDEX(투표집계!$P$6:$P$1005,MATCH(A55,투표집계!$K$6:$K$1005,0))+0,0))</f>
        <v/>
      </c>
      <c r="I55" s="21">
        <f>IF(A55="","",_xlfn.MAXIFS($H$11:$H$110,$B$11:$B$110,B55))</f>
        <v/>
      </c>
      <c r="J55" s="30">
        <f>IF(A55="","",IF(N(I55)=0,0,ROUND(H55/I55*50,1)))</f>
        <v/>
      </c>
      <c r="K55" s="23">
        <f>IF(A55="","",ROUND(F55+J55,2))</f>
        <v/>
      </c>
      <c r="L55" s="31">
        <f>IF(A55="","",K55+G55/10000)</f>
        <v/>
      </c>
      <c r="M55" s="27">
        <f>IF(A55="","",COUNTIFS($B$11:$B$110,B55,$L$11:$L$110,"&gt;"&amp;L55)+1)</f>
        <v/>
      </c>
      <c r="N55" s="21">
        <f>IF(A55="","",IFERROR(INDEX($D$5:$D$7,MATCH(B55,$A$5:$A$7,0)),0))</f>
        <v/>
      </c>
      <c r="O55" s="27">
        <f>IF(A55="","",IF(M55&gt;N55,"",IF(M55=1,"최우수",IF(M55&lt;=3,"우수","장려"))))</f>
        <v/>
      </c>
    </row>
    <row r="56">
      <c r="A56" s="27">
        <f>IF(작품목록!A49="","",작품목록!A49)</f>
        <v/>
      </c>
      <c r="B56" s="21">
        <f>IF($A56="","",작품목록!B49&amp;"")</f>
        <v/>
      </c>
      <c r="C56" s="21">
        <f>IF($A56="","",작품목록!C49&amp;"")</f>
        <v/>
      </c>
      <c r="D56" s="21">
        <f>IF($A56="","",작품목록!D49&amp;"")</f>
        <v/>
      </c>
      <c r="E56" s="22">
        <f>IF($A56="","",작품목록!F49&amp;"")</f>
        <v/>
      </c>
      <c r="F56" s="24">
        <f>IF(A56="","",IFERROR(IF(B56="상상",INDEX(심사_상상!$P$5:$P$104,MATCH($A56,심사_상상!$A$5:$A$104,0)),INDEX(심사_블록바이브!$S$5:$S$104,MATCH($A56,심사_블록바이브!$A$5:$A$104,0)))+0,0))</f>
        <v/>
      </c>
      <c r="G56" s="24">
        <f>IF(A56="","",IFERROR(IF(B56="상상",INDEX(심사_상상!$Q$5:$Q$104,MATCH($A56,심사_상상!$A$5:$A$104,0)),INDEX(심사_블록바이브!$T$5:$T$104,MATCH($A56,심사_블록바이브!$A$5:$A$104,0)))+0,0))</f>
        <v/>
      </c>
      <c r="H56" s="21">
        <f>IF(A56="","",IFERROR(INDEX(투표집계!$P$6:$P$1005,MATCH(A56,투표집계!$K$6:$K$1005,0))+0,0))</f>
        <v/>
      </c>
      <c r="I56" s="21">
        <f>IF(A56="","",_xlfn.MAXIFS($H$11:$H$110,$B$11:$B$110,B56))</f>
        <v/>
      </c>
      <c r="J56" s="30">
        <f>IF(A56="","",IF(N(I56)=0,0,ROUND(H56/I56*50,1)))</f>
        <v/>
      </c>
      <c r="K56" s="23">
        <f>IF(A56="","",ROUND(F56+J56,2))</f>
        <v/>
      </c>
      <c r="L56" s="31">
        <f>IF(A56="","",K56+G56/10000)</f>
        <v/>
      </c>
      <c r="M56" s="27">
        <f>IF(A56="","",COUNTIFS($B$11:$B$110,B56,$L$11:$L$110,"&gt;"&amp;L56)+1)</f>
        <v/>
      </c>
      <c r="N56" s="21">
        <f>IF(A56="","",IFERROR(INDEX($D$5:$D$7,MATCH(B56,$A$5:$A$7,0)),0))</f>
        <v/>
      </c>
      <c r="O56" s="27">
        <f>IF(A56="","",IF(M56&gt;N56,"",IF(M56=1,"최우수",IF(M56&lt;=3,"우수","장려"))))</f>
        <v/>
      </c>
    </row>
    <row r="57">
      <c r="A57" s="27">
        <f>IF(작품목록!A50="","",작품목록!A50)</f>
        <v/>
      </c>
      <c r="B57" s="21">
        <f>IF($A57="","",작품목록!B50&amp;"")</f>
        <v/>
      </c>
      <c r="C57" s="21">
        <f>IF($A57="","",작품목록!C50&amp;"")</f>
        <v/>
      </c>
      <c r="D57" s="21">
        <f>IF($A57="","",작품목록!D50&amp;"")</f>
        <v/>
      </c>
      <c r="E57" s="22">
        <f>IF($A57="","",작품목록!F50&amp;"")</f>
        <v/>
      </c>
      <c r="F57" s="24">
        <f>IF(A57="","",IFERROR(IF(B57="상상",INDEX(심사_상상!$P$5:$P$104,MATCH($A57,심사_상상!$A$5:$A$104,0)),INDEX(심사_블록바이브!$S$5:$S$104,MATCH($A57,심사_블록바이브!$A$5:$A$104,0)))+0,0))</f>
        <v/>
      </c>
      <c r="G57" s="24">
        <f>IF(A57="","",IFERROR(IF(B57="상상",INDEX(심사_상상!$Q$5:$Q$104,MATCH($A57,심사_상상!$A$5:$A$104,0)),INDEX(심사_블록바이브!$T$5:$T$104,MATCH($A57,심사_블록바이브!$A$5:$A$104,0)))+0,0))</f>
        <v/>
      </c>
      <c r="H57" s="21">
        <f>IF(A57="","",IFERROR(INDEX(투표집계!$P$6:$P$1005,MATCH(A57,투표집계!$K$6:$K$1005,0))+0,0))</f>
        <v/>
      </c>
      <c r="I57" s="21">
        <f>IF(A57="","",_xlfn.MAXIFS($H$11:$H$110,$B$11:$B$110,B57))</f>
        <v/>
      </c>
      <c r="J57" s="30">
        <f>IF(A57="","",IF(N(I57)=0,0,ROUND(H57/I57*50,1)))</f>
        <v/>
      </c>
      <c r="K57" s="23">
        <f>IF(A57="","",ROUND(F57+J57,2))</f>
        <v/>
      </c>
      <c r="L57" s="31">
        <f>IF(A57="","",K57+G57/10000)</f>
        <v/>
      </c>
      <c r="M57" s="27">
        <f>IF(A57="","",COUNTIFS($B$11:$B$110,B57,$L$11:$L$110,"&gt;"&amp;L57)+1)</f>
        <v/>
      </c>
      <c r="N57" s="21">
        <f>IF(A57="","",IFERROR(INDEX($D$5:$D$7,MATCH(B57,$A$5:$A$7,0)),0))</f>
        <v/>
      </c>
      <c r="O57" s="27">
        <f>IF(A57="","",IF(M57&gt;N57,"",IF(M57=1,"최우수",IF(M57&lt;=3,"우수","장려"))))</f>
        <v/>
      </c>
    </row>
    <row r="58">
      <c r="A58" s="27">
        <f>IF(작품목록!A51="","",작품목록!A51)</f>
        <v/>
      </c>
      <c r="B58" s="21">
        <f>IF($A58="","",작품목록!B51&amp;"")</f>
        <v/>
      </c>
      <c r="C58" s="21">
        <f>IF($A58="","",작품목록!C51&amp;"")</f>
        <v/>
      </c>
      <c r="D58" s="21">
        <f>IF($A58="","",작품목록!D51&amp;"")</f>
        <v/>
      </c>
      <c r="E58" s="22">
        <f>IF($A58="","",작품목록!F51&amp;"")</f>
        <v/>
      </c>
      <c r="F58" s="24">
        <f>IF(A58="","",IFERROR(IF(B58="상상",INDEX(심사_상상!$P$5:$P$104,MATCH($A58,심사_상상!$A$5:$A$104,0)),INDEX(심사_블록바이브!$S$5:$S$104,MATCH($A58,심사_블록바이브!$A$5:$A$104,0)))+0,0))</f>
        <v/>
      </c>
      <c r="G58" s="24">
        <f>IF(A58="","",IFERROR(IF(B58="상상",INDEX(심사_상상!$Q$5:$Q$104,MATCH($A58,심사_상상!$A$5:$A$104,0)),INDEX(심사_블록바이브!$T$5:$T$104,MATCH($A58,심사_블록바이브!$A$5:$A$104,0)))+0,0))</f>
        <v/>
      </c>
      <c r="H58" s="21">
        <f>IF(A58="","",IFERROR(INDEX(투표집계!$P$6:$P$1005,MATCH(A58,투표집계!$K$6:$K$1005,0))+0,0))</f>
        <v/>
      </c>
      <c r="I58" s="21">
        <f>IF(A58="","",_xlfn.MAXIFS($H$11:$H$110,$B$11:$B$110,B58))</f>
        <v/>
      </c>
      <c r="J58" s="30">
        <f>IF(A58="","",IF(N(I58)=0,0,ROUND(H58/I58*50,1)))</f>
        <v/>
      </c>
      <c r="K58" s="23">
        <f>IF(A58="","",ROUND(F58+J58,2))</f>
        <v/>
      </c>
      <c r="L58" s="31">
        <f>IF(A58="","",K58+G58/10000)</f>
        <v/>
      </c>
      <c r="M58" s="27">
        <f>IF(A58="","",COUNTIFS($B$11:$B$110,B58,$L$11:$L$110,"&gt;"&amp;L58)+1)</f>
        <v/>
      </c>
      <c r="N58" s="21">
        <f>IF(A58="","",IFERROR(INDEX($D$5:$D$7,MATCH(B58,$A$5:$A$7,0)),0))</f>
        <v/>
      </c>
      <c r="O58" s="27">
        <f>IF(A58="","",IF(M58&gt;N58,"",IF(M58=1,"최우수",IF(M58&lt;=3,"우수","장려"))))</f>
        <v/>
      </c>
    </row>
    <row r="59">
      <c r="A59" s="27">
        <f>IF(작품목록!A52="","",작품목록!A52)</f>
        <v/>
      </c>
      <c r="B59" s="21">
        <f>IF($A59="","",작품목록!B52&amp;"")</f>
        <v/>
      </c>
      <c r="C59" s="21">
        <f>IF($A59="","",작품목록!C52&amp;"")</f>
        <v/>
      </c>
      <c r="D59" s="21">
        <f>IF($A59="","",작품목록!D52&amp;"")</f>
        <v/>
      </c>
      <c r="E59" s="22">
        <f>IF($A59="","",작품목록!F52&amp;"")</f>
        <v/>
      </c>
      <c r="F59" s="24">
        <f>IF(A59="","",IFERROR(IF(B59="상상",INDEX(심사_상상!$P$5:$P$104,MATCH($A59,심사_상상!$A$5:$A$104,0)),INDEX(심사_블록바이브!$S$5:$S$104,MATCH($A59,심사_블록바이브!$A$5:$A$104,0)))+0,0))</f>
        <v/>
      </c>
      <c r="G59" s="24">
        <f>IF(A59="","",IFERROR(IF(B59="상상",INDEX(심사_상상!$Q$5:$Q$104,MATCH($A59,심사_상상!$A$5:$A$104,0)),INDEX(심사_블록바이브!$T$5:$T$104,MATCH($A59,심사_블록바이브!$A$5:$A$104,0)))+0,0))</f>
        <v/>
      </c>
      <c r="H59" s="21">
        <f>IF(A59="","",IFERROR(INDEX(투표집계!$P$6:$P$1005,MATCH(A59,투표집계!$K$6:$K$1005,0))+0,0))</f>
        <v/>
      </c>
      <c r="I59" s="21">
        <f>IF(A59="","",_xlfn.MAXIFS($H$11:$H$110,$B$11:$B$110,B59))</f>
        <v/>
      </c>
      <c r="J59" s="30">
        <f>IF(A59="","",IF(N(I59)=0,0,ROUND(H59/I59*50,1)))</f>
        <v/>
      </c>
      <c r="K59" s="23">
        <f>IF(A59="","",ROUND(F59+J59,2))</f>
        <v/>
      </c>
      <c r="L59" s="31">
        <f>IF(A59="","",K59+G59/10000)</f>
        <v/>
      </c>
      <c r="M59" s="27">
        <f>IF(A59="","",COUNTIFS($B$11:$B$110,B59,$L$11:$L$110,"&gt;"&amp;L59)+1)</f>
        <v/>
      </c>
      <c r="N59" s="21">
        <f>IF(A59="","",IFERROR(INDEX($D$5:$D$7,MATCH(B59,$A$5:$A$7,0)),0))</f>
        <v/>
      </c>
      <c r="O59" s="27">
        <f>IF(A59="","",IF(M59&gt;N59,"",IF(M59=1,"최우수",IF(M59&lt;=3,"우수","장려"))))</f>
        <v/>
      </c>
    </row>
    <row r="60">
      <c r="A60" s="27">
        <f>IF(작품목록!A53="","",작품목록!A53)</f>
        <v/>
      </c>
      <c r="B60" s="21">
        <f>IF($A60="","",작품목록!B53&amp;"")</f>
        <v/>
      </c>
      <c r="C60" s="21">
        <f>IF($A60="","",작품목록!C53&amp;"")</f>
        <v/>
      </c>
      <c r="D60" s="21">
        <f>IF($A60="","",작품목록!D53&amp;"")</f>
        <v/>
      </c>
      <c r="E60" s="22">
        <f>IF($A60="","",작품목록!F53&amp;"")</f>
        <v/>
      </c>
      <c r="F60" s="24">
        <f>IF(A60="","",IFERROR(IF(B60="상상",INDEX(심사_상상!$P$5:$P$104,MATCH($A60,심사_상상!$A$5:$A$104,0)),INDEX(심사_블록바이브!$S$5:$S$104,MATCH($A60,심사_블록바이브!$A$5:$A$104,0)))+0,0))</f>
        <v/>
      </c>
      <c r="G60" s="24">
        <f>IF(A60="","",IFERROR(IF(B60="상상",INDEX(심사_상상!$Q$5:$Q$104,MATCH($A60,심사_상상!$A$5:$A$104,0)),INDEX(심사_블록바이브!$T$5:$T$104,MATCH($A60,심사_블록바이브!$A$5:$A$104,0)))+0,0))</f>
        <v/>
      </c>
      <c r="H60" s="21">
        <f>IF(A60="","",IFERROR(INDEX(투표집계!$P$6:$P$1005,MATCH(A60,투표집계!$K$6:$K$1005,0))+0,0))</f>
        <v/>
      </c>
      <c r="I60" s="21">
        <f>IF(A60="","",_xlfn.MAXIFS($H$11:$H$110,$B$11:$B$110,B60))</f>
        <v/>
      </c>
      <c r="J60" s="30">
        <f>IF(A60="","",IF(N(I60)=0,0,ROUND(H60/I60*50,1)))</f>
        <v/>
      </c>
      <c r="K60" s="23">
        <f>IF(A60="","",ROUND(F60+J60,2))</f>
        <v/>
      </c>
      <c r="L60" s="31">
        <f>IF(A60="","",K60+G60/10000)</f>
        <v/>
      </c>
      <c r="M60" s="27">
        <f>IF(A60="","",COUNTIFS($B$11:$B$110,B60,$L$11:$L$110,"&gt;"&amp;L60)+1)</f>
        <v/>
      </c>
      <c r="N60" s="21">
        <f>IF(A60="","",IFERROR(INDEX($D$5:$D$7,MATCH(B60,$A$5:$A$7,0)),0))</f>
        <v/>
      </c>
      <c r="O60" s="27">
        <f>IF(A60="","",IF(M60&gt;N60,"",IF(M60=1,"최우수",IF(M60&lt;=3,"우수","장려"))))</f>
        <v/>
      </c>
    </row>
    <row r="61">
      <c r="A61" s="27">
        <f>IF(작품목록!A54="","",작품목록!A54)</f>
        <v/>
      </c>
      <c r="B61" s="21">
        <f>IF($A61="","",작품목록!B54&amp;"")</f>
        <v/>
      </c>
      <c r="C61" s="21">
        <f>IF($A61="","",작품목록!C54&amp;"")</f>
        <v/>
      </c>
      <c r="D61" s="21">
        <f>IF($A61="","",작품목록!D54&amp;"")</f>
        <v/>
      </c>
      <c r="E61" s="22">
        <f>IF($A61="","",작품목록!F54&amp;"")</f>
        <v/>
      </c>
      <c r="F61" s="24">
        <f>IF(A61="","",IFERROR(IF(B61="상상",INDEX(심사_상상!$P$5:$P$104,MATCH($A61,심사_상상!$A$5:$A$104,0)),INDEX(심사_블록바이브!$S$5:$S$104,MATCH($A61,심사_블록바이브!$A$5:$A$104,0)))+0,0))</f>
        <v/>
      </c>
      <c r="G61" s="24">
        <f>IF(A61="","",IFERROR(IF(B61="상상",INDEX(심사_상상!$Q$5:$Q$104,MATCH($A61,심사_상상!$A$5:$A$104,0)),INDEX(심사_블록바이브!$T$5:$T$104,MATCH($A61,심사_블록바이브!$A$5:$A$104,0)))+0,0))</f>
        <v/>
      </c>
      <c r="H61" s="21">
        <f>IF(A61="","",IFERROR(INDEX(투표집계!$P$6:$P$1005,MATCH(A61,투표집계!$K$6:$K$1005,0))+0,0))</f>
        <v/>
      </c>
      <c r="I61" s="21">
        <f>IF(A61="","",_xlfn.MAXIFS($H$11:$H$110,$B$11:$B$110,B61))</f>
        <v/>
      </c>
      <c r="J61" s="30">
        <f>IF(A61="","",IF(N(I61)=0,0,ROUND(H61/I61*50,1)))</f>
        <v/>
      </c>
      <c r="K61" s="23">
        <f>IF(A61="","",ROUND(F61+J61,2))</f>
        <v/>
      </c>
      <c r="L61" s="31">
        <f>IF(A61="","",K61+G61/10000)</f>
        <v/>
      </c>
      <c r="M61" s="27">
        <f>IF(A61="","",COUNTIFS($B$11:$B$110,B61,$L$11:$L$110,"&gt;"&amp;L61)+1)</f>
        <v/>
      </c>
      <c r="N61" s="21">
        <f>IF(A61="","",IFERROR(INDEX($D$5:$D$7,MATCH(B61,$A$5:$A$7,0)),0))</f>
        <v/>
      </c>
      <c r="O61" s="27">
        <f>IF(A61="","",IF(M61&gt;N61,"",IF(M61=1,"최우수",IF(M61&lt;=3,"우수","장려"))))</f>
        <v/>
      </c>
    </row>
    <row r="62">
      <c r="A62" s="27">
        <f>IF(작품목록!A55="","",작품목록!A55)</f>
        <v/>
      </c>
      <c r="B62" s="21">
        <f>IF($A62="","",작품목록!B55&amp;"")</f>
        <v/>
      </c>
      <c r="C62" s="21">
        <f>IF($A62="","",작품목록!C55&amp;"")</f>
        <v/>
      </c>
      <c r="D62" s="21">
        <f>IF($A62="","",작품목록!D55&amp;"")</f>
        <v/>
      </c>
      <c r="E62" s="22">
        <f>IF($A62="","",작품목록!F55&amp;"")</f>
        <v/>
      </c>
      <c r="F62" s="24">
        <f>IF(A62="","",IFERROR(IF(B62="상상",INDEX(심사_상상!$P$5:$P$104,MATCH($A62,심사_상상!$A$5:$A$104,0)),INDEX(심사_블록바이브!$S$5:$S$104,MATCH($A62,심사_블록바이브!$A$5:$A$104,0)))+0,0))</f>
        <v/>
      </c>
      <c r="G62" s="24">
        <f>IF(A62="","",IFERROR(IF(B62="상상",INDEX(심사_상상!$Q$5:$Q$104,MATCH($A62,심사_상상!$A$5:$A$104,0)),INDEX(심사_블록바이브!$T$5:$T$104,MATCH($A62,심사_블록바이브!$A$5:$A$104,0)))+0,0))</f>
        <v/>
      </c>
      <c r="H62" s="21">
        <f>IF(A62="","",IFERROR(INDEX(투표집계!$P$6:$P$1005,MATCH(A62,투표집계!$K$6:$K$1005,0))+0,0))</f>
        <v/>
      </c>
      <c r="I62" s="21">
        <f>IF(A62="","",_xlfn.MAXIFS($H$11:$H$110,$B$11:$B$110,B62))</f>
        <v/>
      </c>
      <c r="J62" s="30">
        <f>IF(A62="","",IF(N(I62)=0,0,ROUND(H62/I62*50,1)))</f>
        <v/>
      </c>
      <c r="K62" s="23">
        <f>IF(A62="","",ROUND(F62+J62,2))</f>
        <v/>
      </c>
      <c r="L62" s="31">
        <f>IF(A62="","",K62+G62/10000)</f>
        <v/>
      </c>
      <c r="M62" s="27">
        <f>IF(A62="","",COUNTIFS($B$11:$B$110,B62,$L$11:$L$110,"&gt;"&amp;L62)+1)</f>
        <v/>
      </c>
      <c r="N62" s="21">
        <f>IF(A62="","",IFERROR(INDEX($D$5:$D$7,MATCH(B62,$A$5:$A$7,0)),0))</f>
        <v/>
      </c>
      <c r="O62" s="27">
        <f>IF(A62="","",IF(M62&gt;N62,"",IF(M62=1,"최우수",IF(M62&lt;=3,"우수","장려"))))</f>
        <v/>
      </c>
    </row>
    <row r="63">
      <c r="A63" s="27">
        <f>IF(작품목록!A56="","",작품목록!A56)</f>
        <v/>
      </c>
      <c r="B63" s="21">
        <f>IF($A63="","",작품목록!B56&amp;"")</f>
        <v/>
      </c>
      <c r="C63" s="21">
        <f>IF($A63="","",작품목록!C56&amp;"")</f>
        <v/>
      </c>
      <c r="D63" s="21">
        <f>IF($A63="","",작품목록!D56&amp;"")</f>
        <v/>
      </c>
      <c r="E63" s="22">
        <f>IF($A63="","",작품목록!F56&amp;"")</f>
        <v/>
      </c>
      <c r="F63" s="24">
        <f>IF(A63="","",IFERROR(IF(B63="상상",INDEX(심사_상상!$P$5:$P$104,MATCH($A63,심사_상상!$A$5:$A$104,0)),INDEX(심사_블록바이브!$S$5:$S$104,MATCH($A63,심사_블록바이브!$A$5:$A$104,0)))+0,0))</f>
        <v/>
      </c>
      <c r="G63" s="24">
        <f>IF(A63="","",IFERROR(IF(B63="상상",INDEX(심사_상상!$Q$5:$Q$104,MATCH($A63,심사_상상!$A$5:$A$104,0)),INDEX(심사_블록바이브!$T$5:$T$104,MATCH($A63,심사_블록바이브!$A$5:$A$104,0)))+0,0))</f>
        <v/>
      </c>
      <c r="H63" s="21">
        <f>IF(A63="","",IFERROR(INDEX(투표집계!$P$6:$P$1005,MATCH(A63,투표집계!$K$6:$K$1005,0))+0,0))</f>
        <v/>
      </c>
      <c r="I63" s="21">
        <f>IF(A63="","",_xlfn.MAXIFS($H$11:$H$110,$B$11:$B$110,B63))</f>
        <v/>
      </c>
      <c r="J63" s="30">
        <f>IF(A63="","",IF(N(I63)=0,0,ROUND(H63/I63*50,1)))</f>
        <v/>
      </c>
      <c r="K63" s="23">
        <f>IF(A63="","",ROUND(F63+J63,2))</f>
        <v/>
      </c>
      <c r="L63" s="31">
        <f>IF(A63="","",K63+G63/10000)</f>
        <v/>
      </c>
      <c r="M63" s="27">
        <f>IF(A63="","",COUNTIFS($B$11:$B$110,B63,$L$11:$L$110,"&gt;"&amp;L63)+1)</f>
        <v/>
      </c>
      <c r="N63" s="21">
        <f>IF(A63="","",IFERROR(INDEX($D$5:$D$7,MATCH(B63,$A$5:$A$7,0)),0))</f>
        <v/>
      </c>
      <c r="O63" s="27">
        <f>IF(A63="","",IF(M63&gt;N63,"",IF(M63=1,"최우수",IF(M63&lt;=3,"우수","장려"))))</f>
        <v/>
      </c>
    </row>
    <row r="64">
      <c r="A64" s="27">
        <f>IF(작품목록!A57="","",작품목록!A57)</f>
        <v/>
      </c>
      <c r="B64" s="21">
        <f>IF($A64="","",작품목록!B57&amp;"")</f>
        <v/>
      </c>
      <c r="C64" s="21">
        <f>IF($A64="","",작품목록!C57&amp;"")</f>
        <v/>
      </c>
      <c r="D64" s="21">
        <f>IF($A64="","",작품목록!D57&amp;"")</f>
        <v/>
      </c>
      <c r="E64" s="22">
        <f>IF($A64="","",작품목록!F57&amp;"")</f>
        <v/>
      </c>
      <c r="F64" s="24">
        <f>IF(A64="","",IFERROR(IF(B64="상상",INDEX(심사_상상!$P$5:$P$104,MATCH($A64,심사_상상!$A$5:$A$104,0)),INDEX(심사_블록바이브!$S$5:$S$104,MATCH($A64,심사_블록바이브!$A$5:$A$104,0)))+0,0))</f>
        <v/>
      </c>
      <c r="G64" s="24">
        <f>IF(A64="","",IFERROR(IF(B64="상상",INDEX(심사_상상!$Q$5:$Q$104,MATCH($A64,심사_상상!$A$5:$A$104,0)),INDEX(심사_블록바이브!$T$5:$T$104,MATCH($A64,심사_블록바이브!$A$5:$A$104,0)))+0,0))</f>
        <v/>
      </c>
      <c r="H64" s="21">
        <f>IF(A64="","",IFERROR(INDEX(투표집계!$P$6:$P$1005,MATCH(A64,투표집계!$K$6:$K$1005,0))+0,0))</f>
        <v/>
      </c>
      <c r="I64" s="21">
        <f>IF(A64="","",_xlfn.MAXIFS($H$11:$H$110,$B$11:$B$110,B64))</f>
        <v/>
      </c>
      <c r="J64" s="30">
        <f>IF(A64="","",IF(N(I64)=0,0,ROUND(H64/I64*50,1)))</f>
        <v/>
      </c>
      <c r="K64" s="23">
        <f>IF(A64="","",ROUND(F64+J64,2))</f>
        <v/>
      </c>
      <c r="L64" s="31">
        <f>IF(A64="","",K64+G64/10000)</f>
        <v/>
      </c>
      <c r="M64" s="27">
        <f>IF(A64="","",COUNTIFS($B$11:$B$110,B64,$L$11:$L$110,"&gt;"&amp;L64)+1)</f>
        <v/>
      </c>
      <c r="N64" s="21">
        <f>IF(A64="","",IFERROR(INDEX($D$5:$D$7,MATCH(B64,$A$5:$A$7,0)),0))</f>
        <v/>
      </c>
      <c r="O64" s="27">
        <f>IF(A64="","",IF(M64&gt;N64,"",IF(M64=1,"최우수",IF(M64&lt;=3,"우수","장려"))))</f>
        <v/>
      </c>
    </row>
    <row r="65">
      <c r="A65" s="27">
        <f>IF(작품목록!A58="","",작품목록!A58)</f>
        <v/>
      </c>
      <c r="B65" s="21">
        <f>IF($A65="","",작품목록!B58&amp;"")</f>
        <v/>
      </c>
      <c r="C65" s="21">
        <f>IF($A65="","",작품목록!C58&amp;"")</f>
        <v/>
      </c>
      <c r="D65" s="21">
        <f>IF($A65="","",작품목록!D58&amp;"")</f>
        <v/>
      </c>
      <c r="E65" s="22">
        <f>IF($A65="","",작품목록!F58&amp;"")</f>
        <v/>
      </c>
      <c r="F65" s="24">
        <f>IF(A65="","",IFERROR(IF(B65="상상",INDEX(심사_상상!$P$5:$P$104,MATCH($A65,심사_상상!$A$5:$A$104,0)),INDEX(심사_블록바이브!$S$5:$S$104,MATCH($A65,심사_블록바이브!$A$5:$A$104,0)))+0,0))</f>
        <v/>
      </c>
      <c r="G65" s="24">
        <f>IF(A65="","",IFERROR(IF(B65="상상",INDEX(심사_상상!$Q$5:$Q$104,MATCH($A65,심사_상상!$A$5:$A$104,0)),INDEX(심사_블록바이브!$T$5:$T$104,MATCH($A65,심사_블록바이브!$A$5:$A$104,0)))+0,0))</f>
        <v/>
      </c>
      <c r="H65" s="21">
        <f>IF(A65="","",IFERROR(INDEX(투표집계!$P$6:$P$1005,MATCH(A65,투표집계!$K$6:$K$1005,0))+0,0))</f>
        <v/>
      </c>
      <c r="I65" s="21">
        <f>IF(A65="","",_xlfn.MAXIFS($H$11:$H$110,$B$11:$B$110,B65))</f>
        <v/>
      </c>
      <c r="J65" s="30">
        <f>IF(A65="","",IF(N(I65)=0,0,ROUND(H65/I65*50,1)))</f>
        <v/>
      </c>
      <c r="K65" s="23">
        <f>IF(A65="","",ROUND(F65+J65,2))</f>
        <v/>
      </c>
      <c r="L65" s="31">
        <f>IF(A65="","",K65+G65/10000)</f>
        <v/>
      </c>
      <c r="M65" s="27">
        <f>IF(A65="","",COUNTIFS($B$11:$B$110,B65,$L$11:$L$110,"&gt;"&amp;L65)+1)</f>
        <v/>
      </c>
      <c r="N65" s="21">
        <f>IF(A65="","",IFERROR(INDEX($D$5:$D$7,MATCH(B65,$A$5:$A$7,0)),0))</f>
        <v/>
      </c>
      <c r="O65" s="27">
        <f>IF(A65="","",IF(M65&gt;N65,"",IF(M65=1,"최우수",IF(M65&lt;=3,"우수","장려"))))</f>
        <v/>
      </c>
    </row>
    <row r="66">
      <c r="A66" s="27">
        <f>IF(작품목록!A59="","",작품목록!A59)</f>
        <v/>
      </c>
      <c r="B66" s="21">
        <f>IF($A66="","",작품목록!B59&amp;"")</f>
        <v/>
      </c>
      <c r="C66" s="21">
        <f>IF($A66="","",작품목록!C59&amp;"")</f>
        <v/>
      </c>
      <c r="D66" s="21">
        <f>IF($A66="","",작품목록!D59&amp;"")</f>
        <v/>
      </c>
      <c r="E66" s="22">
        <f>IF($A66="","",작품목록!F59&amp;"")</f>
        <v/>
      </c>
      <c r="F66" s="24">
        <f>IF(A66="","",IFERROR(IF(B66="상상",INDEX(심사_상상!$P$5:$P$104,MATCH($A66,심사_상상!$A$5:$A$104,0)),INDEX(심사_블록바이브!$S$5:$S$104,MATCH($A66,심사_블록바이브!$A$5:$A$104,0)))+0,0))</f>
        <v/>
      </c>
      <c r="G66" s="24">
        <f>IF(A66="","",IFERROR(IF(B66="상상",INDEX(심사_상상!$Q$5:$Q$104,MATCH($A66,심사_상상!$A$5:$A$104,0)),INDEX(심사_블록바이브!$T$5:$T$104,MATCH($A66,심사_블록바이브!$A$5:$A$104,0)))+0,0))</f>
        <v/>
      </c>
      <c r="H66" s="21">
        <f>IF(A66="","",IFERROR(INDEX(투표집계!$P$6:$P$1005,MATCH(A66,투표집계!$K$6:$K$1005,0))+0,0))</f>
        <v/>
      </c>
      <c r="I66" s="21">
        <f>IF(A66="","",_xlfn.MAXIFS($H$11:$H$110,$B$11:$B$110,B66))</f>
        <v/>
      </c>
      <c r="J66" s="30">
        <f>IF(A66="","",IF(N(I66)=0,0,ROUND(H66/I66*50,1)))</f>
        <v/>
      </c>
      <c r="K66" s="23">
        <f>IF(A66="","",ROUND(F66+J66,2))</f>
        <v/>
      </c>
      <c r="L66" s="31">
        <f>IF(A66="","",K66+G66/10000)</f>
        <v/>
      </c>
      <c r="M66" s="27">
        <f>IF(A66="","",COUNTIFS($B$11:$B$110,B66,$L$11:$L$110,"&gt;"&amp;L66)+1)</f>
        <v/>
      </c>
      <c r="N66" s="21">
        <f>IF(A66="","",IFERROR(INDEX($D$5:$D$7,MATCH(B66,$A$5:$A$7,0)),0))</f>
        <v/>
      </c>
      <c r="O66" s="27">
        <f>IF(A66="","",IF(M66&gt;N66,"",IF(M66=1,"최우수",IF(M66&lt;=3,"우수","장려"))))</f>
        <v/>
      </c>
    </row>
    <row r="67">
      <c r="A67" s="27">
        <f>IF(작품목록!A60="","",작품목록!A60)</f>
        <v/>
      </c>
      <c r="B67" s="21">
        <f>IF($A67="","",작품목록!B60&amp;"")</f>
        <v/>
      </c>
      <c r="C67" s="21">
        <f>IF($A67="","",작품목록!C60&amp;"")</f>
        <v/>
      </c>
      <c r="D67" s="21">
        <f>IF($A67="","",작품목록!D60&amp;"")</f>
        <v/>
      </c>
      <c r="E67" s="22">
        <f>IF($A67="","",작품목록!F60&amp;"")</f>
        <v/>
      </c>
      <c r="F67" s="24">
        <f>IF(A67="","",IFERROR(IF(B67="상상",INDEX(심사_상상!$P$5:$P$104,MATCH($A67,심사_상상!$A$5:$A$104,0)),INDEX(심사_블록바이브!$S$5:$S$104,MATCH($A67,심사_블록바이브!$A$5:$A$104,0)))+0,0))</f>
        <v/>
      </c>
      <c r="G67" s="24">
        <f>IF(A67="","",IFERROR(IF(B67="상상",INDEX(심사_상상!$Q$5:$Q$104,MATCH($A67,심사_상상!$A$5:$A$104,0)),INDEX(심사_블록바이브!$T$5:$T$104,MATCH($A67,심사_블록바이브!$A$5:$A$104,0)))+0,0))</f>
        <v/>
      </c>
      <c r="H67" s="21">
        <f>IF(A67="","",IFERROR(INDEX(투표집계!$P$6:$P$1005,MATCH(A67,투표집계!$K$6:$K$1005,0))+0,0))</f>
        <v/>
      </c>
      <c r="I67" s="21">
        <f>IF(A67="","",_xlfn.MAXIFS($H$11:$H$110,$B$11:$B$110,B67))</f>
        <v/>
      </c>
      <c r="J67" s="30">
        <f>IF(A67="","",IF(N(I67)=0,0,ROUND(H67/I67*50,1)))</f>
        <v/>
      </c>
      <c r="K67" s="23">
        <f>IF(A67="","",ROUND(F67+J67,2))</f>
        <v/>
      </c>
      <c r="L67" s="31">
        <f>IF(A67="","",K67+G67/10000)</f>
        <v/>
      </c>
      <c r="M67" s="27">
        <f>IF(A67="","",COUNTIFS($B$11:$B$110,B67,$L$11:$L$110,"&gt;"&amp;L67)+1)</f>
        <v/>
      </c>
      <c r="N67" s="21">
        <f>IF(A67="","",IFERROR(INDEX($D$5:$D$7,MATCH(B67,$A$5:$A$7,0)),0))</f>
        <v/>
      </c>
      <c r="O67" s="27">
        <f>IF(A67="","",IF(M67&gt;N67,"",IF(M67=1,"최우수",IF(M67&lt;=3,"우수","장려"))))</f>
        <v/>
      </c>
    </row>
    <row r="68">
      <c r="A68" s="27">
        <f>IF(작품목록!A61="","",작품목록!A61)</f>
        <v/>
      </c>
      <c r="B68" s="21">
        <f>IF($A68="","",작품목록!B61&amp;"")</f>
        <v/>
      </c>
      <c r="C68" s="21">
        <f>IF($A68="","",작품목록!C61&amp;"")</f>
        <v/>
      </c>
      <c r="D68" s="21">
        <f>IF($A68="","",작품목록!D61&amp;"")</f>
        <v/>
      </c>
      <c r="E68" s="22">
        <f>IF($A68="","",작품목록!F61&amp;"")</f>
        <v/>
      </c>
      <c r="F68" s="24">
        <f>IF(A68="","",IFERROR(IF(B68="상상",INDEX(심사_상상!$P$5:$P$104,MATCH($A68,심사_상상!$A$5:$A$104,0)),INDEX(심사_블록바이브!$S$5:$S$104,MATCH($A68,심사_블록바이브!$A$5:$A$104,0)))+0,0))</f>
        <v/>
      </c>
      <c r="G68" s="24">
        <f>IF(A68="","",IFERROR(IF(B68="상상",INDEX(심사_상상!$Q$5:$Q$104,MATCH($A68,심사_상상!$A$5:$A$104,0)),INDEX(심사_블록바이브!$T$5:$T$104,MATCH($A68,심사_블록바이브!$A$5:$A$104,0)))+0,0))</f>
        <v/>
      </c>
      <c r="H68" s="21">
        <f>IF(A68="","",IFERROR(INDEX(투표집계!$P$6:$P$1005,MATCH(A68,투표집계!$K$6:$K$1005,0))+0,0))</f>
        <v/>
      </c>
      <c r="I68" s="21">
        <f>IF(A68="","",_xlfn.MAXIFS($H$11:$H$110,$B$11:$B$110,B68))</f>
        <v/>
      </c>
      <c r="J68" s="30">
        <f>IF(A68="","",IF(N(I68)=0,0,ROUND(H68/I68*50,1)))</f>
        <v/>
      </c>
      <c r="K68" s="23">
        <f>IF(A68="","",ROUND(F68+J68,2))</f>
        <v/>
      </c>
      <c r="L68" s="31">
        <f>IF(A68="","",K68+G68/10000)</f>
        <v/>
      </c>
      <c r="M68" s="27">
        <f>IF(A68="","",COUNTIFS($B$11:$B$110,B68,$L$11:$L$110,"&gt;"&amp;L68)+1)</f>
        <v/>
      </c>
      <c r="N68" s="21">
        <f>IF(A68="","",IFERROR(INDEX($D$5:$D$7,MATCH(B68,$A$5:$A$7,0)),0))</f>
        <v/>
      </c>
      <c r="O68" s="27">
        <f>IF(A68="","",IF(M68&gt;N68,"",IF(M68=1,"최우수",IF(M68&lt;=3,"우수","장려"))))</f>
        <v/>
      </c>
    </row>
    <row r="69">
      <c r="A69" s="27">
        <f>IF(작품목록!A62="","",작품목록!A62)</f>
        <v/>
      </c>
      <c r="B69" s="21">
        <f>IF($A69="","",작품목록!B62&amp;"")</f>
        <v/>
      </c>
      <c r="C69" s="21">
        <f>IF($A69="","",작품목록!C62&amp;"")</f>
        <v/>
      </c>
      <c r="D69" s="21">
        <f>IF($A69="","",작품목록!D62&amp;"")</f>
        <v/>
      </c>
      <c r="E69" s="22">
        <f>IF($A69="","",작품목록!F62&amp;"")</f>
        <v/>
      </c>
      <c r="F69" s="24">
        <f>IF(A69="","",IFERROR(IF(B69="상상",INDEX(심사_상상!$P$5:$P$104,MATCH($A69,심사_상상!$A$5:$A$104,0)),INDEX(심사_블록바이브!$S$5:$S$104,MATCH($A69,심사_블록바이브!$A$5:$A$104,0)))+0,0))</f>
        <v/>
      </c>
      <c r="G69" s="24">
        <f>IF(A69="","",IFERROR(IF(B69="상상",INDEX(심사_상상!$Q$5:$Q$104,MATCH($A69,심사_상상!$A$5:$A$104,0)),INDEX(심사_블록바이브!$T$5:$T$104,MATCH($A69,심사_블록바이브!$A$5:$A$104,0)))+0,0))</f>
        <v/>
      </c>
      <c r="H69" s="21">
        <f>IF(A69="","",IFERROR(INDEX(투표집계!$P$6:$P$1005,MATCH(A69,투표집계!$K$6:$K$1005,0))+0,0))</f>
        <v/>
      </c>
      <c r="I69" s="21">
        <f>IF(A69="","",_xlfn.MAXIFS($H$11:$H$110,$B$11:$B$110,B69))</f>
        <v/>
      </c>
      <c r="J69" s="30">
        <f>IF(A69="","",IF(N(I69)=0,0,ROUND(H69/I69*50,1)))</f>
        <v/>
      </c>
      <c r="K69" s="23">
        <f>IF(A69="","",ROUND(F69+J69,2))</f>
        <v/>
      </c>
      <c r="L69" s="31">
        <f>IF(A69="","",K69+G69/10000)</f>
        <v/>
      </c>
      <c r="M69" s="27">
        <f>IF(A69="","",COUNTIFS($B$11:$B$110,B69,$L$11:$L$110,"&gt;"&amp;L69)+1)</f>
        <v/>
      </c>
      <c r="N69" s="21">
        <f>IF(A69="","",IFERROR(INDEX($D$5:$D$7,MATCH(B69,$A$5:$A$7,0)),0))</f>
        <v/>
      </c>
      <c r="O69" s="27">
        <f>IF(A69="","",IF(M69&gt;N69,"",IF(M69=1,"최우수",IF(M69&lt;=3,"우수","장려"))))</f>
        <v/>
      </c>
    </row>
    <row r="70">
      <c r="A70" s="27">
        <f>IF(작품목록!A63="","",작품목록!A63)</f>
        <v/>
      </c>
      <c r="B70" s="21">
        <f>IF($A70="","",작품목록!B63&amp;"")</f>
        <v/>
      </c>
      <c r="C70" s="21">
        <f>IF($A70="","",작품목록!C63&amp;"")</f>
        <v/>
      </c>
      <c r="D70" s="21">
        <f>IF($A70="","",작품목록!D63&amp;"")</f>
        <v/>
      </c>
      <c r="E70" s="22">
        <f>IF($A70="","",작품목록!F63&amp;"")</f>
        <v/>
      </c>
      <c r="F70" s="24">
        <f>IF(A70="","",IFERROR(IF(B70="상상",INDEX(심사_상상!$P$5:$P$104,MATCH($A70,심사_상상!$A$5:$A$104,0)),INDEX(심사_블록바이브!$S$5:$S$104,MATCH($A70,심사_블록바이브!$A$5:$A$104,0)))+0,0))</f>
        <v/>
      </c>
      <c r="G70" s="24">
        <f>IF(A70="","",IFERROR(IF(B70="상상",INDEX(심사_상상!$Q$5:$Q$104,MATCH($A70,심사_상상!$A$5:$A$104,0)),INDEX(심사_블록바이브!$T$5:$T$104,MATCH($A70,심사_블록바이브!$A$5:$A$104,0)))+0,0))</f>
        <v/>
      </c>
      <c r="H70" s="21">
        <f>IF(A70="","",IFERROR(INDEX(투표집계!$P$6:$P$1005,MATCH(A70,투표집계!$K$6:$K$1005,0))+0,0))</f>
        <v/>
      </c>
      <c r="I70" s="21">
        <f>IF(A70="","",_xlfn.MAXIFS($H$11:$H$110,$B$11:$B$110,B70))</f>
        <v/>
      </c>
      <c r="J70" s="30">
        <f>IF(A70="","",IF(N(I70)=0,0,ROUND(H70/I70*50,1)))</f>
        <v/>
      </c>
      <c r="K70" s="23">
        <f>IF(A70="","",ROUND(F70+J70,2))</f>
        <v/>
      </c>
      <c r="L70" s="31">
        <f>IF(A70="","",K70+G70/10000)</f>
        <v/>
      </c>
      <c r="M70" s="27">
        <f>IF(A70="","",COUNTIFS($B$11:$B$110,B70,$L$11:$L$110,"&gt;"&amp;L70)+1)</f>
        <v/>
      </c>
      <c r="N70" s="21">
        <f>IF(A70="","",IFERROR(INDEX($D$5:$D$7,MATCH(B70,$A$5:$A$7,0)),0))</f>
        <v/>
      </c>
      <c r="O70" s="27">
        <f>IF(A70="","",IF(M70&gt;N70,"",IF(M70=1,"최우수",IF(M70&lt;=3,"우수","장려"))))</f>
        <v/>
      </c>
    </row>
    <row r="71">
      <c r="A71" s="27">
        <f>IF(작품목록!A64="","",작품목록!A64)</f>
        <v/>
      </c>
      <c r="B71" s="21">
        <f>IF($A71="","",작품목록!B64&amp;"")</f>
        <v/>
      </c>
      <c r="C71" s="21">
        <f>IF($A71="","",작품목록!C64&amp;"")</f>
        <v/>
      </c>
      <c r="D71" s="21">
        <f>IF($A71="","",작품목록!D64&amp;"")</f>
        <v/>
      </c>
      <c r="E71" s="22">
        <f>IF($A71="","",작품목록!F64&amp;"")</f>
        <v/>
      </c>
      <c r="F71" s="24">
        <f>IF(A71="","",IFERROR(IF(B71="상상",INDEX(심사_상상!$P$5:$P$104,MATCH($A71,심사_상상!$A$5:$A$104,0)),INDEX(심사_블록바이브!$S$5:$S$104,MATCH($A71,심사_블록바이브!$A$5:$A$104,0)))+0,0))</f>
        <v/>
      </c>
      <c r="G71" s="24">
        <f>IF(A71="","",IFERROR(IF(B71="상상",INDEX(심사_상상!$Q$5:$Q$104,MATCH($A71,심사_상상!$A$5:$A$104,0)),INDEX(심사_블록바이브!$T$5:$T$104,MATCH($A71,심사_블록바이브!$A$5:$A$104,0)))+0,0))</f>
        <v/>
      </c>
      <c r="H71" s="21">
        <f>IF(A71="","",IFERROR(INDEX(투표집계!$P$6:$P$1005,MATCH(A71,투표집계!$K$6:$K$1005,0))+0,0))</f>
        <v/>
      </c>
      <c r="I71" s="21">
        <f>IF(A71="","",_xlfn.MAXIFS($H$11:$H$110,$B$11:$B$110,B71))</f>
        <v/>
      </c>
      <c r="J71" s="30">
        <f>IF(A71="","",IF(N(I71)=0,0,ROUND(H71/I71*50,1)))</f>
        <v/>
      </c>
      <c r="K71" s="23">
        <f>IF(A71="","",ROUND(F71+J71,2))</f>
        <v/>
      </c>
      <c r="L71" s="31">
        <f>IF(A71="","",K71+G71/10000)</f>
        <v/>
      </c>
      <c r="M71" s="27">
        <f>IF(A71="","",COUNTIFS($B$11:$B$110,B71,$L$11:$L$110,"&gt;"&amp;L71)+1)</f>
        <v/>
      </c>
      <c r="N71" s="21">
        <f>IF(A71="","",IFERROR(INDEX($D$5:$D$7,MATCH(B71,$A$5:$A$7,0)),0))</f>
        <v/>
      </c>
      <c r="O71" s="27">
        <f>IF(A71="","",IF(M71&gt;N71,"",IF(M71=1,"최우수",IF(M71&lt;=3,"우수","장려"))))</f>
        <v/>
      </c>
    </row>
    <row r="72">
      <c r="A72" s="27">
        <f>IF(작품목록!A65="","",작품목록!A65)</f>
        <v/>
      </c>
      <c r="B72" s="21">
        <f>IF($A72="","",작품목록!B65&amp;"")</f>
        <v/>
      </c>
      <c r="C72" s="21">
        <f>IF($A72="","",작품목록!C65&amp;"")</f>
        <v/>
      </c>
      <c r="D72" s="21">
        <f>IF($A72="","",작품목록!D65&amp;"")</f>
        <v/>
      </c>
      <c r="E72" s="22">
        <f>IF($A72="","",작품목록!F65&amp;"")</f>
        <v/>
      </c>
      <c r="F72" s="24">
        <f>IF(A72="","",IFERROR(IF(B72="상상",INDEX(심사_상상!$P$5:$P$104,MATCH($A72,심사_상상!$A$5:$A$104,0)),INDEX(심사_블록바이브!$S$5:$S$104,MATCH($A72,심사_블록바이브!$A$5:$A$104,0)))+0,0))</f>
        <v/>
      </c>
      <c r="G72" s="24">
        <f>IF(A72="","",IFERROR(IF(B72="상상",INDEX(심사_상상!$Q$5:$Q$104,MATCH($A72,심사_상상!$A$5:$A$104,0)),INDEX(심사_블록바이브!$T$5:$T$104,MATCH($A72,심사_블록바이브!$A$5:$A$104,0)))+0,0))</f>
        <v/>
      </c>
      <c r="H72" s="21">
        <f>IF(A72="","",IFERROR(INDEX(투표집계!$P$6:$P$1005,MATCH(A72,투표집계!$K$6:$K$1005,0))+0,0))</f>
        <v/>
      </c>
      <c r="I72" s="21">
        <f>IF(A72="","",_xlfn.MAXIFS($H$11:$H$110,$B$11:$B$110,B72))</f>
        <v/>
      </c>
      <c r="J72" s="30">
        <f>IF(A72="","",IF(N(I72)=0,0,ROUND(H72/I72*50,1)))</f>
        <v/>
      </c>
      <c r="K72" s="23">
        <f>IF(A72="","",ROUND(F72+J72,2))</f>
        <v/>
      </c>
      <c r="L72" s="31">
        <f>IF(A72="","",K72+G72/10000)</f>
        <v/>
      </c>
      <c r="M72" s="27">
        <f>IF(A72="","",COUNTIFS($B$11:$B$110,B72,$L$11:$L$110,"&gt;"&amp;L72)+1)</f>
        <v/>
      </c>
      <c r="N72" s="21">
        <f>IF(A72="","",IFERROR(INDEX($D$5:$D$7,MATCH(B72,$A$5:$A$7,0)),0))</f>
        <v/>
      </c>
      <c r="O72" s="27">
        <f>IF(A72="","",IF(M72&gt;N72,"",IF(M72=1,"최우수",IF(M72&lt;=3,"우수","장려"))))</f>
        <v/>
      </c>
    </row>
    <row r="73">
      <c r="A73" s="27">
        <f>IF(작품목록!A66="","",작품목록!A66)</f>
        <v/>
      </c>
      <c r="B73" s="21">
        <f>IF($A73="","",작품목록!B66&amp;"")</f>
        <v/>
      </c>
      <c r="C73" s="21">
        <f>IF($A73="","",작품목록!C66&amp;"")</f>
        <v/>
      </c>
      <c r="D73" s="21">
        <f>IF($A73="","",작품목록!D66&amp;"")</f>
        <v/>
      </c>
      <c r="E73" s="22">
        <f>IF($A73="","",작품목록!F66&amp;"")</f>
        <v/>
      </c>
      <c r="F73" s="24">
        <f>IF(A73="","",IFERROR(IF(B73="상상",INDEX(심사_상상!$P$5:$P$104,MATCH($A73,심사_상상!$A$5:$A$104,0)),INDEX(심사_블록바이브!$S$5:$S$104,MATCH($A73,심사_블록바이브!$A$5:$A$104,0)))+0,0))</f>
        <v/>
      </c>
      <c r="G73" s="24">
        <f>IF(A73="","",IFERROR(IF(B73="상상",INDEX(심사_상상!$Q$5:$Q$104,MATCH($A73,심사_상상!$A$5:$A$104,0)),INDEX(심사_블록바이브!$T$5:$T$104,MATCH($A73,심사_블록바이브!$A$5:$A$104,0)))+0,0))</f>
        <v/>
      </c>
      <c r="H73" s="21">
        <f>IF(A73="","",IFERROR(INDEX(투표집계!$P$6:$P$1005,MATCH(A73,투표집계!$K$6:$K$1005,0))+0,0))</f>
        <v/>
      </c>
      <c r="I73" s="21">
        <f>IF(A73="","",_xlfn.MAXIFS($H$11:$H$110,$B$11:$B$110,B73))</f>
        <v/>
      </c>
      <c r="J73" s="30">
        <f>IF(A73="","",IF(N(I73)=0,0,ROUND(H73/I73*50,1)))</f>
        <v/>
      </c>
      <c r="K73" s="23">
        <f>IF(A73="","",ROUND(F73+J73,2))</f>
        <v/>
      </c>
      <c r="L73" s="31">
        <f>IF(A73="","",K73+G73/10000)</f>
        <v/>
      </c>
      <c r="M73" s="27">
        <f>IF(A73="","",COUNTIFS($B$11:$B$110,B73,$L$11:$L$110,"&gt;"&amp;L73)+1)</f>
        <v/>
      </c>
      <c r="N73" s="21">
        <f>IF(A73="","",IFERROR(INDEX($D$5:$D$7,MATCH(B73,$A$5:$A$7,0)),0))</f>
        <v/>
      </c>
      <c r="O73" s="27">
        <f>IF(A73="","",IF(M73&gt;N73,"",IF(M73=1,"최우수",IF(M73&lt;=3,"우수","장려"))))</f>
        <v/>
      </c>
    </row>
    <row r="74">
      <c r="A74" s="27">
        <f>IF(작품목록!A67="","",작품목록!A67)</f>
        <v/>
      </c>
      <c r="B74" s="21">
        <f>IF($A74="","",작품목록!B67&amp;"")</f>
        <v/>
      </c>
      <c r="C74" s="21">
        <f>IF($A74="","",작품목록!C67&amp;"")</f>
        <v/>
      </c>
      <c r="D74" s="21">
        <f>IF($A74="","",작품목록!D67&amp;"")</f>
        <v/>
      </c>
      <c r="E74" s="22">
        <f>IF($A74="","",작품목록!F67&amp;"")</f>
        <v/>
      </c>
      <c r="F74" s="24">
        <f>IF(A74="","",IFERROR(IF(B74="상상",INDEX(심사_상상!$P$5:$P$104,MATCH($A74,심사_상상!$A$5:$A$104,0)),INDEX(심사_블록바이브!$S$5:$S$104,MATCH($A74,심사_블록바이브!$A$5:$A$104,0)))+0,0))</f>
        <v/>
      </c>
      <c r="G74" s="24">
        <f>IF(A74="","",IFERROR(IF(B74="상상",INDEX(심사_상상!$Q$5:$Q$104,MATCH($A74,심사_상상!$A$5:$A$104,0)),INDEX(심사_블록바이브!$T$5:$T$104,MATCH($A74,심사_블록바이브!$A$5:$A$104,0)))+0,0))</f>
        <v/>
      </c>
      <c r="H74" s="21">
        <f>IF(A74="","",IFERROR(INDEX(투표집계!$P$6:$P$1005,MATCH(A74,투표집계!$K$6:$K$1005,0))+0,0))</f>
        <v/>
      </c>
      <c r="I74" s="21">
        <f>IF(A74="","",_xlfn.MAXIFS($H$11:$H$110,$B$11:$B$110,B74))</f>
        <v/>
      </c>
      <c r="J74" s="30">
        <f>IF(A74="","",IF(N(I74)=0,0,ROUND(H74/I74*50,1)))</f>
        <v/>
      </c>
      <c r="K74" s="23">
        <f>IF(A74="","",ROUND(F74+J74,2))</f>
        <v/>
      </c>
      <c r="L74" s="31">
        <f>IF(A74="","",K74+G74/10000)</f>
        <v/>
      </c>
      <c r="M74" s="27">
        <f>IF(A74="","",COUNTIFS($B$11:$B$110,B74,$L$11:$L$110,"&gt;"&amp;L74)+1)</f>
        <v/>
      </c>
      <c r="N74" s="21">
        <f>IF(A74="","",IFERROR(INDEX($D$5:$D$7,MATCH(B74,$A$5:$A$7,0)),0))</f>
        <v/>
      </c>
      <c r="O74" s="27">
        <f>IF(A74="","",IF(M74&gt;N74,"",IF(M74=1,"최우수",IF(M74&lt;=3,"우수","장려"))))</f>
        <v/>
      </c>
    </row>
    <row r="75">
      <c r="A75" s="27">
        <f>IF(작품목록!A68="","",작품목록!A68)</f>
        <v/>
      </c>
      <c r="B75" s="21">
        <f>IF($A75="","",작품목록!B68&amp;"")</f>
        <v/>
      </c>
      <c r="C75" s="21">
        <f>IF($A75="","",작품목록!C68&amp;"")</f>
        <v/>
      </c>
      <c r="D75" s="21">
        <f>IF($A75="","",작품목록!D68&amp;"")</f>
        <v/>
      </c>
      <c r="E75" s="22">
        <f>IF($A75="","",작품목록!F68&amp;"")</f>
        <v/>
      </c>
      <c r="F75" s="24">
        <f>IF(A75="","",IFERROR(IF(B75="상상",INDEX(심사_상상!$P$5:$P$104,MATCH($A75,심사_상상!$A$5:$A$104,0)),INDEX(심사_블록바이브!$S$5:$S$104,MATCH($A75,심사_블록바이브!$A$5:$A$104,0)))+0,0))</f>
        <v/>
      </c>
      <c r="G75" s="24">
        <f>IF(A75="","",IFERROR(IF(B75="상상",INDEX(심사_상상!$Q$5:$Q$104,MATCH($A75,심사_상상!$A$5:$A$104,0)),INDEX(심사_블록바이브!$T$5:$T$104,MATCH($A75,심사_블록바이브!$A$5:$A$104,0)))+0,0))</f>
        <v/>
      </c>
      <c r="H75" s="21">
        <f>IF(A75="","",IFERROR(INDEX(투표집계!$P$6:$P$1005,MATCH(A75,투표집계!$K$6:$K$1005,0))+0,0))</f>
        <v/>
      </c>
      <c r="I75" s="21">
        <f>IF(A75="","",_xlfn.MAXIFS($H$11:$H$110,$B$11:$B$110,B75))</f>
        <v/>
      </c>
      <c r="J75" s="30">
        <f>IF(A75="","",IF(N(I75)=0,0,ROUND(H75/I75*50,1)))</f>
        <v/>
      </c>
      <c r="K75" s="23">
        <f>IF(A75="","",ROUND(F75+J75,2))</f>
        <v/>
      </c>
      <c r="L75" s="31">
        <f>IF(A75="","",K75+G75/10000)</f>
        <v/>
      </c>
      <c r="M75" s="27">
        <f>IF(A75="","",COUNTIFS($B$11:$B$110,B75,$L$11:$L$110,"&gt;"&amp;L75)+1)</f>
        <v/>
      </c>
      <c r="N75" s="21">
        <f>IF(A75="","",IFERROR(INDEX($D$5:$D$7,MATCH(B75,$A$5:$A$7,0)),0))</f>
        <v/>
      </c>
      <c r="O75" s="27">
        <f>IF(A75="","",IF(M75&gt;N75,"",IF(M75=1,"최우수",IF(M75&lt;=3,"우수","장려"))))</f>
        <v/>
      </c>
    </row>
    <row r="76">
      <c r="A76" s="27">
        <f>IF(작품목록!A69="","",작품목록!A69)</f>
        <v/>
      </c>
      <c r="B76" s="21">
        <f>IF($A76="","",작품목록!B69&amp;"")</f>
        <v/>
      </c>
      <c r="C76" s="21">
        <f>IF($A76="","",작품목록!C69&amp;"")</f>
        <v/>
      </c>
      <c r="D76" s="21">
        <f>IF($A76="","",작품목록!D69&amp;"")</f>
        <v/>
      </c>
      <c r="E76" s="22">
        <f>IF($A76="","",작품목록!F69&amp;"")</f>
        <v/>
      </c>
      <c r="F76" s="24">
        <f>IF(A76="","",IFERROR(IF(B76="상상",INDEX(심사_상상!$P$5:$P$104,MATCH($A76,심사_상상!$A$5:$A$104,0)),INDEX(심사_블록바이브!$S$5:$S$104,MATCH($A76,심사_블록바이브!$A$5:$A$104,0)))+0,0))</f>
        <v/>
      </c>
      <c r="G76" s="24">
        <f>IF(A76="","",IFERROR(IF(B76="상상",INDEX(심사_상상!$Q$5:$Q$104,MATCH($A76,심사_상상!$A$5:$A$104,0)),INDEX(심사_블록바이브!$T$5:$T$104,MATCH($A76,심사_블록바이브!$A$5:$A$104,0)))+0,0))</f>
        <v/>
      </c>
      <c r="H76" s="21">
        <f>IF(A76="","",IFERROR(INDEX(투표집계!$P$6:$P$1005,MATCH(A76,투표집계!$K$6:$K$1005,0))+0,0))</f>
        <v/>
      </c>
      <c r="I76" s="21">
        <f>IF(A76="","",_xlfn.MAXIFS($H$11:$H$110,$B$11:$B$110,B76))</f>
        <v/>
      </c>
      <c r="J76" s="30">
        <f>IF(A76="","",IF(N(I76)=0,0,ROUND(H76/I76*50,1)))</f>
        <v/>
      </c>
      <c r="K76" s="23">
        <f>IF(A76="","",ROUND(F76+J76,2))</f>
        <v/>
      </c>
      <c r="L76" s="31">
        <f>IF(A76="","",K76+G76/10000)</f>
        <v/>
      </c>
      <c r="M76" s="27">
        <f>IF(A76="","",COUNTIFS($B$11:$B$110,B76,$L$11:$L$110,"&gt;"&amp;L76)+1)</f>
        <v/>
      </c>
      <c r="N76" s="21">
        <f>IF(A76="","",IFERROR(INDEX($D$5:$D$7,MATCH(B76,$A$5:$A$7,0)),0))</f>
        <v/>
      </c>
      <c r="O76" s="27">
        <f>IF(A76="","",IF(M76&gt;N76,"",IF(M76=1,"최우수",IF(M76&lt;=3,"우수","장려"))))</f>
        <v/>
      </c>
    </row>
    <row r="77">
      <c r="A77" s="27">
        <f>IF(작품목록!A70="","",작품목록!A70)</f>
        <v/>
      </c>
      <c r="B77" s="21">
        <f>IF($A77="","",작품목록!B70&amp;"")</f>
        <v/>
      </c>
      <c r="C77" s="21">
        <f>IF($A77="","",작품목록!C70&amp;"")</f>
        <v/>
      </c>
      <c r="D77" s="21">
        <f>IF($A77="","",작품목록!D70&amp;"")</f>
        <v/>
      </c>
      <c r="E77" s="22">
        <f>IF($A77="","",작품목록!F70&amp;"")</f>
        <v/>
      </c>
      <c r="F77" s="24">
        <f>IF(A77="","",IFERROR(IF(B77="상상",INDEX(심사_상상!$P$5:$P$104,MATCH($A77,심사_상상!$A$5:$A$104,0)),INDEX(심사_블록바이브!$S$5:$S$104,MATCH($A77,심사_블록바이브!$A$5:$A$104,0)))+0,0))</f>
        <v/>
      </c>
      <c r="G77" s="24">
        <f>IF(A77="","",IFERROR(IF(B77="상상",INDEX(심사_상상!$Q$5:$Q$104,MATCH($A77,심사_상상!$A$5:$A$104,0)),INDEX(심사_블록바이브!$T$5:$T$104,MATCH($A77,심사_블록바이브!$A$5:$A$104,0)))+0,0))</f>
        <v/>
      </c>
      <c r="H77" s="21">
        <f>IF(A77="","",IFERROR(INDEX(투표집계!$P$6:$P$1005,MATCH(A77,투표집계!$K$6:$K$1005,0))+0,0))</f>
        <v/>
      </c>
      <c r="I77" s="21">
        <f>IF(A77="","",_xlfn.MAXIFS($H$11:$H$110,$B$11:$B$110,B77))</f>
        <v/>
      </c>
      <c r="J77" s="30">
        <f>IF(A77="","",IF(N(I77)=0,0,ROUND(H77/I77*50,1)))</f>
        <v/>
      </c>
      <c r="K77" s="23">
        <f>IF(A77="","",ROUND(F77+J77,2))</f>
        <v/>
      </c>
      <c r="L77" s="31">
        <f>IF(A77="","",K77+G77/10000)</f>
        <v/>
      </c>
      <c r="M77" s="27">
        <f>IF(A77="","",COUNTIFS($B$11:$B$110,B77,$L$11:$L$110,"&gt;"&amp;L77)+1)</f>
        <v/>
      </c>
      <c r="N77" s="21">
        <f>IF(A77="","",IFERROR(INDEX($D$5:$D$7,MATCH(B77,$A$5:$A$7,0)),0))</f>
        <v/>
      </c>
      <c r="O77" s="27">
        <f>IF(A77="","",IF(M77&gt;N77,"",IF(M77=1,"최우수",IF(M77&lt;=3,"우수","장려"))))</f>
        <v/>
      </c>
    </row>
    <row r="78">
      <c r="A78" s="27">
        <f>IF(작품목록!A71="","",작품목록!A71)</f>
        <v/>
      </c>
      <c r="B78" s="21">
        <f>IF($A78="","",작품목록!B71&amp;"")</f>
        <v/>
      </c>
      <c r="C78" s="21">
        <f>IF($A78="","",작품목록!C71&amp;"")</f>
        <v/>
      </c>
      <c r="D78" s="21">
        <f>IF($A78="","",작품목록!D71&amp;"")</f>
        <v/>
      </c>
      <c r="E78" s="22">
        <f>IF($A78="","",작품목록!F71&amp;"")</f>
        <v/>
      </c>
      <c r="F78" s="24">
        <f>IF(A78="","",IFERROR(IF(B78="상상",INDEX(심사_상상!$P$5:$P$104,MATCH($A78,심사_상상!$A$5:$A$104,0)),INDEX(심사_블록바이브!$S$5:$S$104,MATCH($A78,심사_블록바이브!$A$5:$A$104,0)))+0,0))</f>
        <v/>
      </c>
      <c r="G78" s="24">
        <f>IF(A78="","",IFERROR(IF(B78="상상",INDEX(심사_상상!$Q$5:$Q$104,MATCH($A78,심사_상상!$A$5:$A$104,0)),INDEX(심사_블록바이브!$T$5:$T$104,MATCH($A78,심사_블록바이브!$A$5:$A$104,0)))+0,0))</f>
        <v/>
      </c>
      <c r="H78" s="21">
        <f>IF(A78="","",IFERROR(INDEX(투표집계!$P$6:$P$1005,MATCH(A78,투표집계!$K$6:$K$1005,0))+0,0))</f>
        <v/>
      </c>
      <c r="I78" s="21">
        <f>IF(A78="","",_xlfn.MAXIFS($H$11:$H$110,$B$11:$B$110,B78))</f>
        <v/>
      </c>
      <c r="J78" s="30">
        <f>IF(A78="","",IF(N(I78)=0,0,ROUND(H78/I78*50,1)))</f>
        <v/>
      </c>
      <c r="K78" s="23">
        <f>IF(A78="","",ROUND(F78+J78,2))</f>
        <v/>
      </c>
      <c r="L78" s="31">
        <f>IF(A78="","",K78+G78/10000)</f>
        <v/>
      </c>
      <c r="M78" s="27">
        <f>IF(A78="","",COUNTIFS($B$11:$B$110,B78,$L$11:$L$110,"&gt;"&amp;L78)+1)</f>
        <v/>
      </c>
      <c r="N78" s="21">
        <f>IF(A78="","",IFERROR(INDEX($D$5:$D$7,MATCH(B78,$A$5:$A$7,0)),0))</f>
        <v/>
      </c>
      <c r="O78" s="27">
        <f>IF(A78="","",IF(M78&gt;N78,"",IF(M78=1,"최우수",IF(M78&lt;=3,"우수","장려"))))</f>
        <v/>
      </c>
    </row>
    <row r="79">
      <c r="A79" s="27">
        <f>IF(작품목록!A72="","",작품목록!A72)</f>
        <v/>
      </c>
      <c r="B79" s="21">
        <f>IF($A79="","",작품목록!B72&amp;"")</f>
        <v/>
      </c>
      <c r="C79" s="21">
        <f>IF($A79="","",작품목록!C72&amp;"")</f>
        <v/>
      </c>
      <c r="D79" s="21">
        <f>IF($A79="","",작품목록!D72&amp;"")</f>
        <v/>
      </c>
      <c r="E79" s="22">
        <f>IF($A79="","",작품목록!F72&amp;"")</f>
        <v/>
      </c>
      <c r="F79" s="24">
        <f>IF(A79="","",IFERROR(IF(B79="상상",INDEX(심사_상상!$P$5:$P$104,MATCH($A79,심사_상상!$A$5:$A$104,0)),INDEX(심사_블록바이브!$S$5:$S$104,MATCH($A79,심사_블록바이브!$A$5:$A$104,0)))+0,0))</f>
        <v/>
      </c>
      <c r="G79" s="24">
        <f>IF(A79="","",IFERROR(IF(B79="상상",INDEX(심사_상상!$Q$5:$Q$104,MATCH($A79,심사_상상!$A$5:$A$104,0)),INDEX(심사_블록바이브!$T$5:$T$104,MATCH($A79,심사_블록바이브!$A$5:$A$104,0)))+0,0))</f>
        <v/>
      </c>
      <c r="H79" s="21">
        <f>IF(A79="","",IFERROR(INDEX(투표집계!$P$6:$P$1005,MATCH(A79,투표집계!$K$6:$K$1005,0))+0,0))</f>
        <v/>
      </c>
      <c r="I79" s="21">
        <f>IF(A79="","",_xlfn.MAXIFS($H$11:$H$110,$B$11:$B$110,B79))</f>
        <v/>
      </c>
      <c r="J79" s="30">
        <f>IF(A79="","",IF(N(I79)=0,0,ROUND(H79/I79*50,1)))</f>
        <v/>
      </c>
      <c r="K79" s="23">
        <f>IF(A79="","",ROUND(F79+J79,2))</f>
        <v/>
      </c>
      <c r="L79" s="31">
        <f>IF(A79="","",K79+G79/10000)</f>
        <v/>
      </c>
      <c r="M79" s="27">
        <f>IF(A79="","",COUNTIFS($B$11:$B$110,B79,$L$11:$L$110,"&gt;"&amp;L79)+1)</f>
        <v/>
      </c>
      <c r="N79" s="21">
        <f>IF(A79="","",IFERROR(INDEX($D$5:$D$7,MATCH(B79,$A$5:$A$7,0)),0))</f>
        <v/>
      </c>
      <c r="O79" s="27">
        <f>IF(A79="","",IF(M79&gt;N79,"",IF(M79=1,"최우수",IF(M79&lt;=3,"우수","장려"))))</f>
        <v/>
      </c>
    </row>
    <row r="80">
      <c r="A80" s="27">
        <f>IF(작품목록!A73="","",작품목록!A73)</f>
        <v/>
      </c>
      <c r="B80" s="21">
        <f>IF($A80="","",작품목록!B73&amp;"")</f>
        <v/>
      </c>
      <c r="C80" s="21">
        <f>IF($A80="","",작품목록!C73&amp;"")</f>
        <v/>
      </c>
      <c r="D80" s="21">
        <f>IF($A80="","",작품목록!D73&amp;"")</f>
        <v/>
      </c>
      <c r="E80" s="22">
        <f>IF($A80="","",작품목록!F73&amp;"")</f>
        <v/>
      </c>
      <c r="F80" s="24">
        <f>IF(A80="","",IFERROR(IF(B80="상상",INDEX(심사_상상!$P$5:$P$104,MATCH($A80,심사_상상!$A$5:$A$104,0)),INDEX(심사_블록바이브!$S$5:$S$104,MATCH($A80,심사_블록바이브!$A$5:$A$104,0)))+0,0))</f>
        <v/>
      </c>
      <c r="G80" s="24">
        <f>IF(A80="","",IFERROR(IF(B80="상상",INDEX(심사_상상!$Q$5:$Q$104,MATCH($A80,심사_상상!$A$5:$A$104,0)),INDEX(심사_블록바이브!$T$5:$T$104,MATCH($A80,심사_블록바이브!$A$5:$A$104,0)))+0,0))</f>
        <v/>
      </c>
      <c r="H80" s="21">
        <f>IF(A80="","",IFERROR(INDEX(투표집계!$P$6:$P$1005,MATCH(A80,투표집계!$K$6:$K$1005,0))+0,0))</f>
        <v/>
      </c>
      <c r="I80" s="21">
        <f>IF(A80="","",_xlfn.MAXIFS($H$11:$H$110,$B$11:$B$110,B80))</f>
        <v/>
      </c>
      <c r="J80" s="30">
        <f>IF(A80="","",IF(N(I80)=0,0,ROUND(H80/I80*50,1)))</f>
        <v/>
      </c>
      <c r="K80" s="23">
        <f>IF(A80="","",ROUND(F80+J80,2))</f>
        <v/>
      </c>
      <c r="L80" s="31">
        <f>IF(A80="","",K80+G80/10000)</f>
        <v/>
      </c>
      <c r="M80" s="27">
        <f>IF(A80="","",COUNTIFS($B$11:$B$110,B80,$L$11:$L$110,"&gt;"&amp;L80)+1)</f>
        <v/>
      </c>
      <c r="N80" s="21">
        <f>IF(A80="","",IFERROR(INDEX($D$5:$D$7,MATCH(B80,$A$5:$A$7,0)),0))</f>
        <v/>
      </c>
      <c r="O80" s="27">
        <f>IF(A80="","",IF(M80&gt;N80,"",IF(M80=1,"최우수",IF(M80&lt;=3,"우수","장려"))))</f>
        <v/>
      </c>
    </row>
    <row r="81">
      <c r="A81" s="27">
        <f>IF(작품목록!A74="","",작품목록!A74)</f>
        <v/>
      </c>
      <c r="B81" s="21">
        <f>IF($A81="","",작품목록!B74&amp;"")</f>
        <v/>
      </c>
      <c r="C81" s="21">
        <f>IF($A81="","",작품목록!C74&amp;"")</f>
        <v/>
      </c>
      <c r="D81" s="21">
        <f>IF($A81="","",작품목록!D74&amp;"")</f>
        <v/>
      </c>
      <c r="E81" s="22">
        <f>IF($A81="","",작품목록!F74&amp;"")</f>
        <v/>
      </c>
      <c r="F81" s="24">
        <f>IF(A81="","",IFERROR(IF(B81="상상",INDEX(심사_상상!$P$5:$P$104,MATCH($A81,심사_상상!$A$5:$A$104,0)),INDEX(심사_블록바이브!$S$5:$S$104,MATCH($A81,심사_블록바이브!$A$5:$A$104,0)))+0,0))</f>
        <v/>
      </c>
      <c r="G81" s="24">
        <f>IF(A81="","",IFERROR(IF(B81="상상",INDEX(심사_상상!$Q$5:$Q$104,MATCH($A81,심사_상상!$A$5:$A$104,0)),INDEX(심사_블록바이브!$T$5:$T$104,MATCH($A81,심사_블록바이브!$A$5:$A$104,0)))+0,0))</f>
        <v/>
      </c>
      <c r="H81" s="21">
        <f>IF(A81="","",IFERROR(INDEX(투표집계!$P$6:$P$1005,MATCH(A81,투표집계!$K$6:$K$1005,0))+0,0))</f>
        <v/>
      </c>
      <c r="I81" s="21">
        <f>IF(A81="","",_xlfn.MAXIFS($H$11:$H$110,$B$11:$B$110,B81))</f>
        <v/>
      </c>
      <c r="J81" s="30">
        <f>IF(A81="","",IF(N(I81)=0,0,ROUND(H81/I81*50,1)))</f>
        <v/>
      </c>
      <c r="K81" s="23">
        <f>IF(A81="","",ROUND(F81+J81,2))</f>
        <v/>
      </c>
      <c r="L81" s="31">
        <f>IF(A81="","",K81+G81/10000)</f>
        <v/>
      </c>
      <c r="M81" s="27">
        <f>IF(A81="","",COUNTIFS($B$11:$B$110,B81,$L$11:$L$110,"&gt;"&amp;L81)+1)</f>
        <v/>
      </c>
      <c r="N81" s="21">
        <f>IF(A81="","",IFERROR(INDEX($D$5:$D$7,MATCH(B81,$A$5:$A$7,0)),0))</f>
        <v/>
      </c>
      <c r="O81" s="27">
        <f>IF(A81="","",IF(M81&gt;N81,"",IF(M81=1,"최우수",IF(M81&lt;=3,"우수","장려"))))</f>
        <v/>
      </c>
    </row>
    <row r="82">
      <c r="A82" s="27">
        <f>IF(작품목록!A75="","",작품목록!A75)</f>
        <v/>
      </c>
      <c r="B82" s="21">
        <f>IF($A82="","",작품목록!B75&amp;"")</f>
        <v/>
      </c>
      <c r="C82" s="21">
        <f>IF($A82="","",작품목록!C75&amp;"")</f>
        <v/>
      </c>
      <c r="D82" s="21">
        <f>IF($A82="","",작품목록!D75&amp;"")</f>
        <v/>
      </c>
      <c r="E82" s="22">
        <f>IF($A82="","",작품목록!F75&amp;"")</f>
        <v/>
      </c>
      <c r="F82" s="24">
        <f>IF(A82="","",IFERROR(IF(B82="상상",INDEX(심사_상상!$P$5:$P$104,MATCH($A82,심사_상상!$A$5:$A$104,0)),INDEX(심사_블록바이브!$S$5:$S$104,MATCH($A82,심사_블록바이브!$A$5:$A$104,0)))+0,0))</f>
        <v/>
      </c>
      <c r="G82" s="24">
        <f>IF(A82="","",IFERROR(IF(B82="상상",INDEX(심사_상상!$Q$5:$Q$104,MATCH($A82,심사_상상!$A$5:$A$104,0)),INDEX(심사_블록바이브!$T$5:$T$104,MATCH($A82,심사_블록바이브!$A$5:$A$104,0)))+0,0))</f>
        <v/>
      </c>
      <c r="H82" s="21">
        <f>IF(A82="","",IFERROR(INDEX(투표집계!$P$6:$P$1005,MATCH(A82,투표집계!$K$6:$K$1005,0))+0,0))</f>
        <v/>
      </c>
      <c r="I82" s="21">
        <f>IF(A82="","",_xlfn.MAXIFS($H$11:$H$110,$B$11:$B$110,B82))</f>
        <v/>
      </c>
      <c r="J82" s="30">
        <f>IF(A82="","",IF(N(I82)=0,0,ROUND(H82/I82*50,1)))</f>
        <v/>
      </c>
      <c r="K82" s="23">
        <f>IF(A82="","",ROUND(F82+J82,2))</f>
        <v/>
      </c>
      <c r="L82" s="31">
        <f>IF(A82="","",K82+G82/10000)</f>
        <v/>
      </c>
      <c r="M82" s="27">
        <f>IF(A82="","",COUNTIFS($B$11:$B$110,B82,$L$11:$L$110,"&gt;"&amp;L82)+1)</f>
        <v/>
      </c>
      <c r="N82" s="21">
        <f>IF(A82="","",IFERROR(INDEX($D$5:$D$7,MATCH(B82,$A$5:$A$7,0)),0))</f>
        <v/>
      </c>
      <c r="O82" s="27">
        <f>IF(A82="","",IF(M82&gt;N82,"",IF(M82=1,"최우수",IF(M82&lt;=3,"우수","장려"))))</f>
        <v/>
      </c>
    </row>
    <row r="83">
      <c r="A83" s="27">
        <f>IF(작품목록!A76="","",작품목록!A76)</f>
        <v/>
      </c>
      <c r="B83" s="21">
        <f>IF($A83="","",작품목록!B76&amp;"")</f>
        <v/>
      </c>
      <c r="C83" s="21">
        <f>IF($A83="","",작품목록!C76&amp;"")</f>
        <v/>
      </c>
      <c r="D83" s="21">
        <f>IF($A83="","",작품목록!D76&amp;"")</f>
        <v/>
      </c>
      <c r="E83" s="22">
        <f>IF($A83="","",작품목록!F76&amp;"")</f>
        <v/>
      </c>
      <c r="F83" s="24">
        <f>IF(A83="","",IFERROR(IF(B83="상상",INDEX(심사_상상!$P$5:$P$104,MATCH($A83,심사_상상!$A$5:$A$104,0)),INDEX(심사_블록바이브!$S$5:$S$104,MATCH($A83,심사_블록바이브!$A$5:$A$104,0)))+0,0))</f>
        <v/>
      </c>
      <c r="G83" s="24">
        <f>IF(A83="","",IFERROR(IF(B83="상상",INDEX(심사_상상!$Q$5:$Q$104,MATCH($A83,심사_상상!$A$5:$A$104,0)),INDEX(심사_블록바이브!$T$5:$T$104,MATCH($A83,심사_블록바이브!$A$5:$A$104,0)))+0,0))</f>
        <v/>
      </c>
      <c r="H83" s="21">
        <f>IF(A83="","",IFERROR(INDEX(투표집계!$P$6:$P$1005,MATCH(A83,투표집계!$K$6:$K$1005,0))+0,0))</f>
        <v/>
      </c>
      <c r="I83" s="21">
        <f>IF(A83="","",_xlfn.MAXIFS($H$11:$H$110,$B$11:$B$110,B83))</f>
        <v/>
      </c>
      <c r="J83" s="30">
        <f>IF(A83="","",IF(N(I83)=0,0,ROUND(H83/I83*50,1)))</f>
        <v/>
      </c>
      <c r="K83" s="23">
        <f>IF(A83="","",ROUND(F83+J83,2))</f>
        <v/>
      </c>
      <c r="L83" s="31">
        <f>IF(A83="","",K83+G83/10000)</f>
        <v/>
      </c>
      <c r="M83" s="27">
        <f>IF(A83="","",COUNTIFS($B$11:$B$110,B83,$L$11:$L$110,"&gt;"&amp;L83)+1)</f>
        <v/>
      </c>
      <c r="N83" s="21">
        <f>IF(A83="","",IFERROR(INDEX($D$5:$D$7,MATCH(B83,$A$5:$A$7,0)),0))</f>
        <v/>
      </c>
      <c r="O83" s="27">
        <f>IF(A83="","",IF(M83&gt;N83,"",IF(M83=1,"최우수",IF(M83&lt;=3,"우수","장려"))))</f>
        <v/>
      </c>
    </row>
    <row r="84">
      <c r="A84" s="27">
        <f>IF(작품목록!A77="","",작품목록!A77)</f>
        <v/>
      </c>
      <c r="B84" s="21">
        <f>IF($A84="","",작품목록!B77&amp;"")</f>
        <v/>
      </c>
      <c r="C84" s="21">
        <f>IF($A84="","",작품목록!C77&amp;"")</f>
        <v/>
      </c>
      <c r="D84" s="21">
        <f>IF($A84="","",작품목록!D77&amp;"")</f>
        <v/>
      </c>
      <c r="E84" s="22">
        <f>IF($A84="","",작품목록!F77&amp;"")</f>
        <v/>
      </c>
      <c r="F84" s="24">
        <f>IF(A84="","",IFERROR(IF(B84="상상",INDEX(심사_상상!$P$5:$P$104,MATCH($A84,심사_상상!$A$5:$A$104,0)),INDEX(심사_블록바이브!$S$5:$S$104,MATCH($A84,심사_블록바이브!$A$5:$A$104,0)))+0,0))</f>
        <v/>
      </c>
      <c r="G84" s="24">
        <f>IF(A84="","",IFERROR(IF(B84="상상",INDEX(심사_상상!$Q$5:$Q$104,MATCH($A84,심사_상상!$A$5:$A$104,0)),INDEX(심사_블록바이브!$T$5:$T$104,MATCH($A84,심사_블록바이브!$A$5:$A$104,0)))+0,0))</f>
        <v/>
      </c>
      <c r="H84" s="21">
        <f>IF(A84="","",IFERROR(INDEX(투표집계!$P$6:$P$1005,MATCH(A84,투표집계!$K$6:$K$1005,0))+0,0))</f>
        <v/>
      </c>
      <c r="I84" s="21">
        <f>IF(A84="","",_xlfn.MAXIFS($H$11:$H$110,$B$11:$B$110,B84))</f>
        <v/>
      </c>
      <c r="J84" s="30">
        <f>IF(A84="","",IF(N(I84)=0,0,ROUND(H84/I84*50,1)))</f>
        <v/>
      </c>
      <c r="K84" s="23">
        <f>IF(A84="","",ROUND(F84+J84,2))</f>
        <v/>
      </c>
      <c r="L84" s="31">
        <f>IF(A84="","",K84+G84/10000)</f>
        <v/>
      </c>
      <c r="M84" s="27">
        <f>IF(A84="","",COUNTIFS($B$11:$B$110,B84,$L$11:$L$110,"&gt;"&amp;L84)+1)</f>
        <v/>
      </c>
      <c r="N84" s="21">
        <f>IF(A84="","",IFERROR(INDEX($D$5:$D$7,MATCH(B84,$A$5:$A$7,0)),0))</f>
        <v/>
      </c>
      <c r="O84" s="27">
        <f>IF(A84="","",IF(M84&gt;N84,"",IF(M84=1,"최우수",IF(M84&lt;=3,"우수","장려"))))</f>
        <v/>
      </c>
    </row>
    <row r="85">
      <c r="A85" s="27">
        <f>IF(작품목록!A78="","",작품목록!A78)</f>
        <v/>
      </c>
      <c r="B85" s="21">
        <f>IF($A85="","",작품목록!B78&amp;"")</f>
        <v/>
      </c>
      <c r="C85" s="21">
        <f>IF($A85="","",작품목록!C78&amp;"")</f>
        <v/>
      </c>
      <c r="D85" s="21">
        <f>IF($A85="","",작품목록!D78&amp;"")</f>
        <v/>
      </c>
      <c r="E85" s="22">
        <f>IF($A85="","",작품목록!F78&amp;"")</f>
        <v/>
      </c>
      <c r="F85" s="24">
        <f>IF(A85="","",IFERROR(IF(B85="상상",INDEX(심사_상상!$P$5:$P$104,MATCH($A85,심사_상상!$A$5:$A$104,0)),INDEX(심사_블록바이브!$S$5:$S$104,MATCH($A85,심사_블록바이브!$A$5:$A$104,0)))+0,0))</f>
        <v/>
      </c>
      <c r="G85" s="24">
        <f>IF(A85="","",IFERROR(IF(B85="상상",INDEX(심사_상상!$Q$5:$Q$104,MATCH($A85,심사_상상!$A$5:$A$104,0)),INDEX(심사_블록바이브!$T$5:$T$104,MATCH($A85,심사_블록바이브!$A$5:$A$104,0)))+0,0))</f>
        <v/>
      </c>
      <c r="H85" s="21">
        <f>IF(A85="","",IFERROR(INDEX(투표집계!$P$6:$P$1005,MATCH(A85,투표집계!$K$6:$K$1005,0))+0,0))</f>
        <v/>
      </c>
      <c r="I85" s="21">
        <f>IF(A85="","",_xlfn.MAXIFS($H$11:$H$110,$B$11:$B$110,B85))</f>
        <v/>
      </c>
      <c r="J85" s="30">
        <f>IF(A85="","",IF(N(I85)=0,0,ROUND(H85/I85*50,1)))</f>
        <v/>
      </c>
      <c r="K85" s="23">
        <f>IF(A85="","",ROUND(F85+J85,2))</f>
        <v/>
      </c>
      <c r="L85" s="31">
        <f>IF(A85="","",K85+G85/10000)</f>
        <v/>
      </c>
      <c r="M85" s="27">
        <f>IF(A85="","",COUNTIFS($B$11:$B$110,B85,$L$11:$L$110,"&gt;"&amp;L85)+1)</f>
        <v/>
      </c>
      <c r="N85" s="21">
        <f>IF(A85="","",IFERROR(INDEX($D$5:$D$7,MATCH(B85,$A$5:$A$7,0)),0))</f>
        <v/>
      </c>
      <c r="O85" s="27">
        <f>IF(A85="","",IF(M85&gt;N85,"",IF(M85=1,"최우수",IF(M85&lt;=3,"우수","장려"))))</f>
        <v/>
      </c>
    </row>
    <row r="86">
      <c r="A86" s="27">
        <f>IF(작품목록!A79="","",작품목록!A79)</f>
        <v/>
      </c>
      <c r="B86" s="21">
        <f>IF($A86="","",작품목록!B79&amp;"")</f>
        <v/>
      </c>
      <c r="C86" s="21">
        <f>IF($A86="","",작품목록!C79&amp;"")</f>
        <v/>
      </c>
      <c r="D86" s="21">
        <f>IF($A86="","",작품목록!D79&amp;"")</f>
        <v/>
      </c>
      <c r="E86" s="22">
        <f>IF($A86="","",작품목록!F79&amp;"")</f>
        <v/>
      </c>
      <c r="F86" s="24">
        <f>IF(A86="","",IFERROR(IF(B86="상상",INDEX(심사_상상!$P$5:$P$104,MATCH($A86,심사_상상!$A$5:$A$104,0)),INDEX(심사_블록바이브!$S$5:$S$104,MATCH($A86,심사_블록바이브!$A$5:$A$104,0)))+0,0))</f>
        <v/>
      </c>
      <c r="G86" s="24">
        <f>IF(A86="","",IFERROR(IF(B86="상상",INDEX(심사_상상!$Q$5:$Q$104,MATCH($A86,심사_상상!$A$5:$A$104,0)),INDEX(심사_블록바이브!$T$5:$T$104,MATCH($A86,심사_블록바이브!$A$5:$A$104,0)))+0,0))</f>
        <v/>
      </c>
      <c r="H86" s="21">
        <f>IF(A86="","",IFERROR(INDEX(투표집계!$P$6:$P$1005,MATCH(A86,투표집계!$K$6:$K$1005,0))+0,0))</f>
        <v/>
      </c>
      <c r="I86" s="21">
        <f>IF(A86="","",_xlfn.MAXIFS($H$11:$H$110,$B$11:$B$110,B86))</f>
        <v/>
      </c>
      <c r="J86" s="30">
        <f>IF(A86="","",IF(N(I86)=0,0,ROUND(H86/I86*50,1)))</f>
        <v/>
      </c>
      <c r="K86" s="23">
        <f>IF(A86="","",ROUND(F86+J86,2))</f>
        <v/>
      </c>
      <c r="L86" s="31">
        <f>IF(A86="","",K86+G86/10000)</f>
        <v/>
      </c>
      <c r="M86" s="27">
        <f>IF(A86="","",COUNTIFS($B$11:$B$110,B86,$L$11:$L$110,"&gt;"&amp;L86)+1)</f>
        <v/>
      </c>
      <c r="N86" s="21">
        <f>IF(A86="","",IFERROR(INDEX($D$5:$D$7,MATCH(B86,$A$5:$A$7,0)),0))</f>
        <v/>
      </c>
      <c r="O86" s="27">
        <f>IF(A86="","",IF(M86&gt;N86,"",IF(M86=1,"최우수",IF(M86&lt;=3,"우수","장려"))))</f>
        <v/>
      </c>
    </row>
    <row r="87">
      <c r="A87" s="27">
        <f>IF(작품목록!A80="","",작품목록!A80)</f>
        <v/>
      </c>
      <c r="B87" s="21">
        <f>IF($A87="","",작품목록!B80&amp;"")</f>
        <v/>
      </c>
      <c r="C87" s="21">
        <f>IF($A87="","",작품목록!C80&amp;"")</f>
        <v/>
      </c>
      <c r="D87" s="21">
        <f>IF($A87="","",작품목록!D80&amp;"")</f>
        <v/>
      </c>
      <c r="E87" s="22">
        <f>IF($A87="","",작품목록!F80&amp;"")</f>
        <v/>
      </c>
      <c r="F87" s="24">
        <f>IF(A87="","",IFERROR(IF(B87="상상",INDEX(심사_상상!$P$5:$P$104,MATCH($A87,심사_상상!$A$5:$A$104,0)),INDEX(심사_블록바이브!$S$5:$S$104,MATCH($A87,심사_블록바이브!$A$5:$A$104,0)))+0,0))</f>
        <v/>
      </c>
      <c r="G87" s="24">
        <f>IF(A87="","",IFERROR(IF(B87="상상",INDEX(심사_상상!$Q$5:$Q$104,MATCH($A87,심사_상상!$A$5:$A$104,0)),INDEX(심사_블록바이브!$T$5:$T$104,MATCH($A87,심사_블록바이브!$A$5:$A$104,0)))+0,0))</f>
        <v/>
      </c>
      <c r="H87" s="21">
        <f>IF(A87="","",IFERROR(INDEX(투표집계!$P$6:$P$1005,MATCH(A87,투표집계!$K$6:$K$1005,0))+0,0))</f>
        <v/>
      </c>
      <c r="I87" s="21">
        <f>IF(A87="","",_xlfn.MAXIFS($H$11:$H$110,$B$11:$B$110,B87))</f>
        <v/>
      </c>
      <c r="J87" s="30">
        <f>IF(A87="","",IF(N(I87)=0,0,ROUND(H87/I87*50,1)))</f>
        <v/>
      </c>
      <c r="K87" s="23">
        <f>IF(A87="","",ROUND(F87+J87,2))</f>
        <v/>
      </c>
      <c r="L87" s="31">
        <f>IF(A87="","",K87+G87/10000)</f>
        <v/>
      </c>
      <c r="M87" s="27">
        <f>IF(A87="","",COUNTIFS($B$11:$B$110,B87,$L$11:$L$110,"&gt;"&amp;L87)+1)</f>
        <v/>
      </c>
      <c r="N87" s="21">
        <f>IF(A87="","",IFERROR(INDEX($D$5:$D$7,MATCH(B87,$A$5:$A$7,0)),0))</f>
        <v/>
      </c>
      <c r="O87" s="27">
        <f>IF(A87="","",IF(M87&gt;N87,"",IF(M87=1,"최우수",IF(M87&lt;=3,"우수","장려"))))</f>
        <v/>
      </c>
    </row>
    <row r="88">
      <c r="A88" s="27">
        <f>IF(작품목록!A81="","",작품목록!A81)</f>
        <v/>
      </c>
      <c r="B88" s="21">
        <f>IF($A88="","",작품목록!B81&amp;"")</f>
        <v/>
      </c>
      <c r="C88" s="21">
        <f>IF($A88="","",작품목록!C81&amp;"")</f>
        <v/>
      </c>
      <c r="D88" s="21">
        <f>IF($A88="","",작품목록!D81&amp;"")</f>
        <v/>
      </c>
      <c r="E88" s="22">
        <f>IF($A88="","",작품목록!F81&amp;"")</f>
        <v/>
      </c>
      <c r="F88" s="24">
        <f>IF(A88="","",IFERROR(IF(B88="상상",INDEX(심사_상상!$P$5:$P$104,MATCH($A88,심사_상상!$A$5:$A$104,0)),INDEX(심사_블록바이브!$S$5:$S$104,MATCH($A88,심사_블록바이브!$A$5:$A$104,0)))+0,0))</f>
        <v/>
      </c>
      <c r="G88" s="24">
        <f>IF(A88="","",IFERROR(IF(B88="상상",INDEX(심사_상상!$Q$5:$Q$104,MATCH($A88,심사_상상!$A$5:$A$104,0)),INDEX(심사_블록바이브!$T$5:$T$104,MATCH($A88,심사_블록바이브!$A$5:$A$104,0)))+0,0))</f>
        <v/>
      </c>
      <c r="H88" s="21">
        <f>IF(A88="","",IFERROR(INDEX(투표집계!$P$6:$P$1005,MATCH(A88,투표집계!$K$6:$K$1005,0))+0,0))</f>
        <v/>
      </c>
      <c r="I88" s="21">
        <f>IF(A88="","",_xlfn.MAXIFS($H$11:$H$110,$B$11:$B$110,B88))</f>
        <v/>
      </c>
      <c r="J88" s="30">
        <f>IF(A88="","",IF(N(I88)=0,0,ROUND(H88/I88*50,1)))</f>
        <v/>
      </c>
      <c r="K88" s="23">
        <f>IF(A88="","",ROUND(F88+J88,2))</f>
        <v/>
      </c>
      <c r="L88" s="31">
        <f>IF(A88="","",K88+G88/10000)</f>
        <v/>
      </c>
      <c r="M88" s="27">
        <f>IF(A88="","",COUNTIFS($B$11:$B$110,B88,$L$11:$L$110,"&gt;"&amp;L88)+1)</f>
        <v/>
      </c>
      <c r="N88" s="21">
        <f>IF(A88="","",IFERROR(INDEX($D$5:$D$7,MATCH(B88,$A$5:$A$7,0)),0))</f>
        <v/>
      </c>
      <c r="O88" s="27">
        <f>IF(A88="","",IF(M88&gt;N88,"",IF(M88=1,"최우수",IF(M88&lt;=3,"우수","장려"))))</f>
        <v/>
      </c>
    </row>
    <row r="89">
      <c r="A89" s="27">
        <f>IF(작품목록!A82="","",작품목록!A82)</f>
        <v/>
      </c>
      <c r="B89" s="21">
        <f>IF($A89="","",작품목록!B82&amp;"")</f>
        <v/>
      </c>
      <c r="C89" s="21">
        <f>IF($A89="","",작품목록!C82&amp;"")</f>
        <v/>
      </c>
      <c r="D89" s="21">
        <f>IF($A89="","",작품목록!D82&amp;"")</f>
        <v/>
      </c>
      <c r="E89" s="22">
        <f>IF($A89="","",작품목록!F82&amp;"")</f>
        <v/>
      </c>
      <c r="F89" s="24">
        <f>IF(A89="","",IFERROR(IF(B89="상상",INDEX(심사_상상!$P$5:$P$104,MATCH($A89,심사_상상!$A$5:$A$104,0)),INDEX(심사_블록바이브!$S$5:$S$104,MATCH($A89,심사_블록바이브!$A$5:$A$104,0)))+0,0))</f>
        <v/>
      </c>
      <c r="G89" s="24">
        <f>IF(A89="","",IFERROR(IF(B89="상상",INDEX(심사_상상!$Q$5:$Q$104,MATCH($A89,심사_상상!$A$5:$A$104,0)),INDEX(심사_블록바이브!$T$5:$T$104,MATCH($A89,심사_블록바이브!$A$5:$A$104,0)))+0,0))</f>
        <v/>
      </c>
      <c r="H89" s="21">
        <f>IF(A89="","",IFERROR(INDEX(투표집계!$P$6:$P$1005,MATCH(A89,투표집계!$K$6:$K$1005,0))+0,0))</f>
        <v/>
      </c>
      <c r="I89" s="21">
        <f>IF(A89="","",_xlfn.MAXIFS($H$11:$H$110,$B$11:$B$110,B89))</f>
        <v/>
      </c>
      <c r="J89" s="30">
        <f>IF(A89="","",IF(N(I89)=0,0,ROUND(H89/I89*50,1)))</f>
        <v/>
      </c>
      <c r="K89" s="23">
        <f>IF(A89="","",ROUND(F89+J89,2))</f>
        <v/>
      </c>
      <c r="L89" s="31">
        <f>IF(A89="","",K89+G89/10000)</f>
        <v/>
      </c>
      <c r="M89" s="27">
        <f>IF(A89="","",COUNTIFS($B$11:$B$110,B89,$L$11:$L$110,"&gt;"&amp;L89)+1)</f>
        <v/>
      </c>
      <c r="N89" s="21">
        <f>IF(A89="","",IFERROR(INDEX($D$5:$D$7,MATCH(B89,$A$5:$A$7,0)),0))</f>
        <v/>
      </c>
      <c r="O89" s="27">
        <f>IF(A89="","",IF(M89&gt;N89,"",IF(M89=1,"최우수",IF(M89&lt;=3,"우수","장려"))))</f>
        <v/>
      </c>
    </row>
    <row r="90">
      <c r="A90" s="27">
        <f>IF(작품목록!A83="","",작품목록!A83)</f>
        <v/>
      </c>
      <c r="B90" s="21">
        <f>IF($A90="","",작품목록!B83&amp;"")</f>
        <v/>
      </c>
      <c r="C90" s="21">
        <f>IF($A90="","",작품목록!C83&amp;"")</f>
        <v/>
      </c>
      <c r="D90" s="21">
        <f>IF($A90="","",작품목록!D83&amp;"")</f>
        <v/>
      </c>
      <c r="E90" s="22">
        <f>IF($A90="","",작품목록!F83&amp;"")</f>
        <v/>
      </c>
      <c r="F90" s="24">
        <f>IF(A90="","",IFERROR(IF(B90="상상",INDEX(심사_상상!$P$5:$P$104,MATCH($A90,심사_상상!$A$5:$A$104,0)),INDEX(심사_블록바이브!$S$5:$S$104,MATCH($A90,심사_블록바이브!$A$5:$A$104,0)))+0,0))</f>
        <v/>
      </c>
      <c r="G90" s="24">
        <f>IF(A90="","",IFERROR(IF(B90="상상",INDEX(심사_상상!$Q$5:$Q$104,MATCH($A90,심사_상상!$A$5:$A$104,0)),INDEX(심사_블록바이브!$T$5:$T$104,MATCH($A90,심사_블록바이브!$A$5:$A$104,0)))+0,0))</f>
        <v/>
      </c>
      <c r="H90" s="21">
        <f>IF(A90="","",IFERROR(INDEX(투표집계!$P$6:$P$1005,MATCH(A90,투표집계!$K$6:$K$1005,0))+0,0))</f>
        <v/>
      </c>
      <c r="I90" s="21">
        <f>IF(A90="","",_xlfn.MAXIFS($H$11:$H$110,$B$11:$B$110,B90))</f>
        <v/>
      </c>
      <c r="J90" s="30">
        <f>IF(A90="","",IF(N(I90)=0,0,ROUND(H90/I90*50,1)))</f>
        <v/>
      </c>
      <c r="K90" s="23">
        <f>IF(A90="","",ROUND(F90+J90,2))</f>
        <v/>
      </c>
      <c r="L90" s="31">
        <f>IF(A90="","",K90+G90/10000)</f>
        <v/>
      </c>
      <c r="M90" s="27">
        <f>IF(A90="","",COUNTIFS($B$11:$B$110,B90,$L$11:$L$110,"&gt;"&amp;L90)+1)</f>
        <v/>
      </c>
      <c r="N90" s="21">
        <f>IF(A90="","",IFERROR(INDEX($D$5:$D$7,MATCH(B90,$A$5:$A$7,0)),0))</f>
        <v/>
      </c>
      <c r="O90" s="27">
        <f>IF(A90="","",IF(M90&gt;N90,"",IF(M90=1,"최우수",IF(M90&lt;=3,"우수","장려"))))</f>
        <v/>
      </c>
    </row>
    <row r="91">
      <c r="A91" s="27">
        <f>IF(작품목록!A84="","",작품목록!A84)</f>
        <v/>
      </c>
      <c r="B91" s="21">
        <f>IF($A91="","",작품목록!B84&amp;"")</f>
        <v/>
      </c>
      <c r="C91" s="21">
        <f>IF($A91="","",작품목록!C84&amp;"")</f>
        <v/>
      </c>
      <c r="D91" s="21">
        <f>IF($A91="","",작품목록!D84&amp;"")</f>
        <v/>
      </c>
      <c r="E91" s="22">
        <f>IF($A91="","",작품목록!F84&amp;"")</f>
        <v/>
      </c>
      <c r="F91" s="24">
        <f>IF(A91="","",IFERROR(IF(B91="상상",INDEX(심사_상상!$P$5:$P$104,MATCH($A91,심사_상상!$A$5:$A$104,0)),INDEX(심사_블록바이브!$S$5:$S$104,MATCH($A91,심사_블록바이브!$A$5:$A$104,0)))+0,0))</f>
        <v/>
      </c>
      <c r="G91" s="24">
        <f>IF(A91="","",IFERROR(IF(B91="상상",INDEX(심사_상상!$Q$5:$Q$104,MATCH($A91,심사_상상!$A$5:$A$104,0)),INDEX(심사_블록바이브!$T$5:$T$104,MATCH($A91,심사_블록바이브!$A$5:$A$104,0)))+0,0))</f>
        <v/>
      </c>
      <c r="H91" s="21">
        <f>IF(A91="","",IFERROR(INDEX(투표집계!$P$6:$P$1005,MATCH(A91,투표집계!$K$6:$K$1005,0))+0,0))</f>
        <v/>
      </c>
      <c r="I91" s="21">
        <f>IF(A91="","",_xlfn.MAXIFS($H$11:$H$110,$B$11:$B$110,B91))</f>
        <v/>
      </c>
      <c r="J91" s="30">
        <f>IF(A91="","",IF(N(I91)=0,0,ROUND(H91/I91*50,1)))</f>
        <v/>
      </c>
      <c r="K91" s="23">
        <f>IF(A91="","",ROUND(F91+J91,2))</f>
        <v/>
      </c>
      <c r="L91" s="31">
        <f>IF(A91="","",K91+G91/10000)</f>
        <v/>
      </c>
      <c r="M91" s="27">
        <f>IF(A91="","",COUNTIFS($B$11:$B$110,B91,$L$11:$L$110,"&gt;"&amp;L91)+1)</f>
        <v/>
      </c>
      <c r="N91" s="21">
        <f>IF(A91="","",IFERROR(INDEX($D$5:$D$7,MATCH(B91,$A$5:$A$7,0)),0))</f>
        <v/>
      </c>
      <c r="O91" s="27">
        <f>IF(A91="","",IF(M91&gt;N91,"",IF(M91=1,"최우수",IF(M91&lt;=3,"우수","장려"))))</f>
        <v/>
      </c>
    </row>
    <row r="92">
      <c r="A92" s="27">
        <f>IF(작품목록!A85="","",작품목록!A85)</f>
        <v/>
      </c>
      <c r="B92" s="21">
        <f>IF($A92="","",작품목록!B85&amp;"")</f>
        <v/>
      </c>
      <c r="C92" s="21">
        <f>IF($A92="","",작품목록!C85&amp;"")</f>
        <v/>
      </c>
      <c r="D92" s="21">
        <f>IF($A92="","",작품목록!D85&amp;"")</f>
        <v/>
      </c>
      <c r="E92" s="22">
        <f>IF($A92="","",작품목록!F85&amp;"")</f>
        <v/>
      </c>
      <c r="F92" s="24">
        <f>IF(A92="","",IFERROR(IF(B92="상상",INDEX(심사_상상!$P$5:$P$104,MATCH($A92,심사_상상!$A$5:$A$104,0)),INDEX(심사_블록바이브!$S$5:$S$104,MATCH($A92,심사_블록바이브!$A$5:$A$104,0)))+0,0))</f>
        <v/>
      </c>
      <c r="G92" s="24">
        <f>IF(A92="","",IFERROR(IF(B92="상상",INDEX(심사_상상!$Q$5:$Q$104,MATCH($A92,심사_상상!$A$5:$A$104,0)),INDEX(심사_블록바이브!$T$5:$T$104,MATCH($A92,심사_블록바이브!$A$5:$A$104,0)))+0,0))</f>
        <v/>
      </c>
      <c r="H92" s="21">
        <f>IF(A92="","",IFERROR(INDEX(투표집계!$P$6:$P$1005,MATCH(A92,투표집계!$K$6:$K$1005,0))+0,0))</f>
        <v/>
      </c>
      <c r="I92" s="21">
        <f>IF(A92="","",_xlfn.MAXIFS($H$11:$H$110,$B$11:$B$110,B92))</f>
        <v/>
      </c>
      <c r="J92" s="30">
        <f>IF(A92="","",IF(N(I92)=0,0,ROUND(H92/I92*50,1)))</f>
        <v/>
      </c>
      <c r="K92" s="23">
        <f>IF(A92="","",ROUND(F92+J92,2))</f>
        <v/>
      </c>
      <c r="L92" s="31">
        <f>IF(A92="","",K92+G92/10000)</f>
        <v/>
      </c>
      <c r="M92" s="27">
        <f>IF(A92="","",COUNTIFS($B$11:$B$110,B92,$L$11:$L$110,"&gt;"&amp;L92)+1)</f>
        <v/>
      </c>
      <c r="N92" s="21">
        <f>IF(A92="","",IFERROR(INDEX($D$5:$D$7,MATCH(B92,$A$5:$A$7,0)),0))</f>
        <v/>
      </c>
      <c r="O92" s="27">
        <f>IF(A92="","",IF(M92&gt;N92,"",IF(M92=1,"최우수",IF(M92&lt;=3,"우수","장려"))))</f>
        <v/>
      </c>
    </row>
    <row r="93">
      <c r="A93" s="27">
        <f>IF(작품목록!A86="","",작품목록!A86)</f>
        <v/>
      </c>
      <c r="B93" s="21">
        <f>IF($A93="","",작품목록!B86&amp;"")</f>
        <v/>
      </c>
      <c r="C93" s="21">
        <f>IF($A93="","",작품목록!C86&amp;"")</f>
        <v/>
      </c>
      <c r="D93" s="21">
        <f>IF($A93="","",작품목록!D86&amp;"")</f>
        <v/>
      </c>
      <c r="E93" s="22">
        <f>IF($A93="","",작품목록!F86&amp;"")</f>
        <v/>
      </c>
      <c r="F93" s="24">
        <f>IF(A93="","",IFERROR(IF(B93="상상",INDEX(심사_상상!$P$5:$P$104,MATCH($A93,심사_상상!$A$5:$A$104,0)),INDEX(심사_블록바이브!$S$5:$S$104,MATCH($A93,심사_블록바이브!$A$5:$A$104,0)))+0,0))</f>
        <v/>
      </c>
      <c r="G93" s="24">
        <f>IF(A93="","",IFERROR(IF(B93="상상",INDEX(심사_상상!$Q$5:$Q$104,MATCH($A93,심사_상상!$A$5:$A$104,0)),INDEX(심사_블록바이브!$T$5:$T$104,MATCH($A93,심사_블록바이브!$A$5:$A$104,0)))+0,0))</f>
        <v/>
      </c>
      <c r="H93" s="21">
        <f>IF(A93="","",IFERROR(INDEX(투표집계!$P$6:$P$1005,MATCH(A93,투표집계!$K$6:$K$1005,0))+0,0))</f>
        <v/>
      </c>
      <c r="I93" s="21">
        <f>IF(A93="","",_xlfn.MAXIFS($H$11:$H$110,$B$11:$B$110,B93))</f>
        <v/>
      </c>
      <c r="J93" s="30">
        <f>IF(A93="","",IF(N(I93)=0,0,ROUND(H93/I93*50,1)))</f>
        <v/>
      </c>
      <c r="K93" s="23">
        <f>IF(A93="","",ROUND(F93+J93,2))</f>
        <v/>
      </c>
      <c r="L93" s="31">
        <f>IF(A93="","",K93+G93/10000)</f>
        <v/>
      </c>
      <c r="M93" s="27">
        <f>IF(A93="","",COUNTIFS($B$11:$B$110,B93,$L$11:$L$110,"&gt;"&amp;L93)+1)</f>
        <v/>
      </c>
      <c r="N93" s="21">
        <f>IF(A93="","",IFERROR(INDEX($D$5:$D$7,MATCH(B93,$A$5:$A$7,0)),0))</f>
        <v/>
      </c>
      <c r="O93" s="27">
        <f>IF(A93="","",IF(M93&gt;N93,"",IF(M93=1,"최우수",IF(M93&lt;=3,"우수","장려"))))</f>
        <v/>
      </c>
    </row>
    <row r="94">
      <c r="A94" s="27">
        <f>IF(작품목록!A87="","",작품목록!A87)</f>
        <v/>
      </c>
      <c r="B94" s="21">
        <f>IF($A94="","",작품목록!B87&amp;"")</f>
        <v/>
      </c>
      <c r="C94" s="21">
        <f>IF($A94="","",작품목록!C87&amp;"")</f>
        <v/>
      </c>
      <c r="D94" s="21">
        <f>IF($A94="","",작품목록!D87&amp;"")</f>
        <v/>
      </c>
      <c r="E94" s="22">
        <f>IF($A94="","",작품목록!F87&amp;"")</f>
        <v/>
      </c>
      <c r="F94" s="24">
        <f>IF(A94="","",IFERROR(IF(B94="상상",INDEX(심사_상상!$P$5:$P$104,MATCH($A94,심사_상상!$A$5:$A$104,0)),INDEX(심사_블록바이브!$S$5:$S$104,MATCH($A94,심사_블록바이브!$A$5:$A$104,0)))+0,0))</f>
        <v/>
      </c>
      <c r="G94" s="24">
        <f>IF(A94="","",IFERROR(IF(B94="상상",INDEX(심사_상상!$Q$5:$Q$104,MATCH($A94,심사_상상!$A$5:$A$104,0)),INDEX(심사_블록바이브!$T$5:$T$104,MATCH($A94,심사_블록바이브!$A$5:$A$104,0)))+0,0))</f>
        <v/>
      </c>
      <c r="H94" s="21">
        <f>IF(A94="","",IFERROR(INDEX(투표집계!$P$6:$P$1005,MATCH(A94,투표집계!$K$6:$K$1005,0))+0,0))</f>
        <v/>
      </c>
      <c r="I94" s="21">
        <f>IF(A94="","",_xlfn.MAXIFS($H$11:$H$110,$B$11:$B$110,B94))</f>
        <v/>
      </c>
      <c r="J94" s="30">
        <f>IF(A94="","",IF(N(I94)=0,0,ROUND(H94/I94*50,1)))</f>
        <v/>
      </c>
      <c r="K94" s="23">
        <f>IF(A94="","",ROUND(F94+J94,2))</f>
        <v/>
      </c>
      <c r="L94" s="31">
        <f>IF(A94="","",K94+G94/10000)</f>
        <v/>
      </c>
      <c r="M94" s="27">
        <f>IF(A94="","",COUNTIFS($B$11:$B$110,B94,$L$11:$L$110,"&gt;"&amp;L94)+1)</f>
        <v/>
      </c>
      <c r="N94" s="21">
        <f>IF(A94="","",IFERROR(INDEX($D$5:$D$7,MATCH(B94,$A$5:$A$7,0)),0))</f>
        <v/>
      </c>
      <c r="O94" s="27">
        <f>IF(A94="","",IF(M94&gt;N94,"",IF(M94=1,"최우수",IF(M94&lt;=3,"우수","장려"))))</f>
        <v/>
      </c>
    </row>
    <row r="95">
      <c r="A95" s="27">
        <f>IF(작품목록!A88="","",작품목록!A88)</f>
        <v/>
      </c>
      <c r="B95" s="21">
        <f>IF($A95="","",작품목록!B88&amp;"")</f>
        <v/>
      </c>
      <c r="C95" s="21">
        <f>IF($A95="","",작품목록!C88&amp;"")</f>
        <v/>
      </c>
      <c r="D95" s="21">
        <f>IF($A95="","",작품목록!D88&amp;"")</f>
        <v/>
      </c>
      <c r="E95" s="22">
        <f>IF($A95="","",작품목록!F88&amp;"")</f>
        <v/>
      </c>
      <c r="F95" s="24">
        <f>IF(A95="","",IFERROR(IF(B95="상상",INDEX(심사_상상!$P$5:$P$104,MATCH($A95,심사_상상!$A$5:$A$104,0)),INDEX(심사_블록바이브!$S$5:$S$104,MATCH($A95,심사_블록바이브!$A$5:$A$104,0)))+0,0))</f>
        <v/>
      </c>
      <c r="G95" s="24">
        <f>IF(A95="","",IFERROR(IF(B95="상상",INDEX(심사_상상!$Q$5:$Q$104,MATCH($A95,심사_상상!$A$5:$A$104,0)),INDEX(심사_블록바이브!$T$5:$T$104,MATCH($A95,심사_블록바이브!$A$5:$A$104,0)))+0,0))</f>
        <v/>
      </c>
      <c r="H95" s="21">
        <f>IF(A95="","",IFERROR(INDEX(투표집계!$P$6:$P$1005,MATCH(A95,투표집계!$K$6:$K$1005,0))+0,0))</f>
        <v/>
      </c>
      <c r="I95" s="21">
        <f>IF(A95="","",_xlfn.MAXIFS($H$11:$H$110,$B$11:$B$110,B95))</f>
        <v/>
      </c>
      <c r="J95" s="30">
        <f>IF(A95="","",IF(N(I95)=0,0,ROUND(H95/I95*50,1)))</f>
        <v/>
      </c>
      <c r="K95" s="23">
        <f>IF(A95="","",ROUND(F95+J95,2))</f>
        <v/>
      </c>
      <c r="L95" s="31">
        <f>IF(A95="","",K95+G95/10000)</f>
        <v/>
      </c>
      <c r="M95" s="27">
        <f>IF(A95="","",COUNTIFS($B$11:$B$110,B95,$L$11:$L$110,"&gt;"&amp;L95)+1)</f>
        <v/>
      </c>
      <c r="N95" s="21">
        <f>IF(A95="","",IFERROR(INDEX($D$5:$D$7,MATCH(B95,$A$5:$A$7,0)),0))</f>
        <v/>
      </c>
      <c r="O95" s="27">
        <f>IF(A95="","",IF(M95&gt;N95,"",IF(M95=1,"최우수",IF(M95&lt;=3,"우수","장려"))))</f>
        <v/>
      </c>
    </row>
    <row r="96">
      <c r="A96" s="27">
        <f>IF(작품목록!A89="","",작품목록!A89)</f>
        <v/>
      </c>
      <c r="B96" s="21">
        <f>IF($A96="","",작품목록!B89&amp;"")</f>
        <v/>
      </c>
      <c r="C96" s="21">
        <f>IF($A96="","",작품목록!C89&amp;"")</f>
        <v/>
      </c>
      <c r="D96" s="21">
        <f>IF($A96="","",작품목록!D89&amp;"")</f>
        <v/>
      </c>
      <c r="E96" s="22">
        <f>IF($A96="","",작품목록!F89&amp;"")</f>
        <v/>
      </c>
      <c r="F96" s="24">
        <f>IF(A96="","",IFERROR(IF(B96="상상",INDEX(심사_상상!$P$5:$P$104,MATCH($A96,심사_상상!$A$5:$A$104,0)),INDEX(심사_블록바이브!$S$5:$S$104,MATCH($A96,심사_블록바이브!$A$5:$A$104,0)))+0,0))</f>
        <v/>
      </c>
      <c r="G96" s="24">
        <f>IF(A96="","",IFERROR(IF(B96="상상",INDEX(심사_상상!$Q$5:$Q$104,MATCH($A96,심사_상상!$A$5:$A$104,0)),INDEX(심사_블록바이브!$T$5:$T$104,MATCH($A96,심사_블록바이브!$A$5:$A$104,0)))+0,0))</f>
        <v/>
      </c>
      <c r="H96" s="21">
        <f>IF(A96="","",IFERROR(INDEX(투표집계!$P$6:$P$1005,MATCH(A96,투표집계!$K$6:$K$1005,0))+0,0))</f>
        <v/>
      </c>
      <c r="I96" s="21">
        <f>IF(A96="","",_xlfn.MAXIFS($H$11:$H$110,$B$11:$B$110,B96))</f>
        <v/>
      </c>
      <c r="J96" s="30">
        <f>IF(A96="","",IF(N(I96)=0,0,ROUND(H96/I96*50,1)))</f>
        <v/>
      </c>
      <c r="K96" s="23">
        <f>IF(A96="","",ROUND(F96+J96,2))</f>
        <v/>
      </c>
      <c r="L96" s="31">
        <f>IF(A96="","",K96+G96/10000)</f>
        <v/>
      </c>
      <c r="M96" s="27">
        <f>IF(A96="","",COUNTIFS($B$11:$B$110,B96,$L$11:$L$110,"&gt;"&amp;L96)+1)</f>
        <v/>
      </c>
      <c r="N96" s="21">
        <f>IF(A96="","",IFERROR(INDEX($D$5:$D$7,MATCH(B96,$A$5:$A$7,0)),0))</f>
        <v/>
      </c>
      <c r="O96" s="27">
        <f>IF(A96="","",IF(M96&gt;N96,"",IF(M96=1,"최우수",IF(M96&lt;=3,"우수","장려"))))</f>
        <v/>
      </c>
    </row>
    <row r="97">
      <c r="A97" s="27">
        <f>IF(작품목록!A90="","",작품목록!A90)</f>
        <v/>
      </c>
      <c r="B97" s="21">
        <f>IF($A97="","",작품목록!B90&amp;"")</f>
        <v/>
      </c>
      <c r="C97" s="21">
        <f>IF($A97="","",작품목록!C90&amp;"")</f>
        <v/>
      </c>
      <c r="D97" s="21">
        <f>IF($A97="","",작품목록!D90&amp;"")</f>
        <v/>
      </c>
      <c r="E97" s="22">
        <f>IF($A97="","",작품목록!F90&amp;"")</f>
        <v/>
      </c>
      <c r="F97" s="24">
        <f>IF(A97="","",IFERROR(IF(B97="상상",INDEX(심사_상상!$P$5:$P$104,MATCH($A97,심사_상상!$A$5:$A$104,0)),INDEX(심사_블록바이브!$S$5:$S$104,MATCH($A97,심사_블록바이브!$A$5:$A$104,0)))+0,0))</f>
        <v/>
      </c>
      <c r="G97" s="24">
        <f>IF(A97="","",IFERROR(IF(B97="상상",INDEX(심사_상상!$Q$5:$Q$104,MATCH($A97,심사_상상!$A$5:$A$104,0)),INDEX(심사_블록바이브!$T$5:$T$104,MATCH($A97,심사_블록바이브!$A$5:$A$104,0)))+0,0))</f>
        <v/>
      </c>
      <c r="H97" s="21">
        <f>IF(A97="","",IFERROR(INDEX(투표집계!$P$6:$P$1005,MATCH(A97,투표집계!$K$6:$K$1005,0))+0,0))</f>
        <v/>
      </c>
      <c r="I97" s="21">
        <f>IF(A97="","",_xlfn.MAXIFS($H$11:$H$110,$B$11:$B$110,B97))</f>
        <v/>
      </c>
      <c r="J97" s="30">
        <f>IF(A97="","",IF(N(I97)=0,0,ROUND(H97/I97*50,1)))</f>
        <v/>
      </c>
      <c r="K97" s="23">
        <f>IF(A97="","",ROUND(F97+J97,2))</f>
        <v/>
      </c>
      <c r="L97" s="31">
        <f>IF(A97="","",K97+G97/10000)</f>
        <v/>
      </c>
      <c r="M97" s="27">
        <f>IF(A97="","",COUNTIFS($B$11:$B$110,B97,$L$11:$L$110,"&gt;"&amp;L97)+1)</f>
        <v/>
      </c>
      <c r="N97" s="21">
        <f>IF(A97="","",IFERROR(INDEX($D$5:$D$7,MATCH(B97,$A$5:$A$7,0)),0))</f>
        <v/>
      </c>
      <c r="O97" s="27">
        <f>IF(A97="","",IF(M97&gt;N97,"",IF(M97=1,"최우수",IF(M97&lt;=3,"우수","장려"))))</f>
        <v/>
      </c>
    </row>
    <row r="98">
      <c r="A98" s="27">
        <f>IF(작품목록!A91="","",작품목록!A91)</f>
        <v/>
      </c>
      <c r="B98" s="21">
        <f>IF($A98="","",작품목록!B91&amp;"")</f>
        <v/>
      </c>
      <c r="C98" s="21">
        <f>IF($A98="","",작품목록!C91&amp;"")</f>
        <v/>
      </c>
      <c r="D98" s="21">
        <f>IF($A98="","",작품목록!D91&amp;"")</f>
        <v/>
      </c>
      <c r="E98" s="22">
        <f>IF($A98="","",작품목록!F91&amp;"")</f>
        <v/>
      </c>
      <c r="F98" s="24">
        <f>IF(A98="","",IFERROR(IF(B98="상상",INDEX(심사_상상!$P$5:$P$104,MATCH($A98,심사_상상!$A$5:$A$104,0)),INDEX(심사_블록바이브!$S$5:$S$104,MATCH($A98,심사_블록바이브!$A$5:$A$104,0)))+0,0))</f>
        <v/>
      </c>
      <c r="G98" s="24">
        <f>IF(A98="","",IFERROR(IF(B98="상상",INDEX(심사_상상!$Q$5:$Q$104,MATCH($A98,심사_상상!$A$5:$A$104,0)),INDEX(심사_블록바이브!$T$5:$T$104,MATCH($A98,심사_블록바이브!$A$5:$A$104,0)))+0,0))</f>
        <v/>
      </c>
      <c r="H98" s="21">
        <f>IF(A98="","",IFERROR(INDEX(투표집계!$P$6:$P$1005,MATCH(A98,투표집계!$K$6:$K$1005,0))+0,0))</f>
        <v/>
      </c>
      <c r="I98" s="21">
        <f>IF(A98="","",_xlfn.MAXIFS($H$11:$H$110,$B$11:$B$110,B98))</f>
        <v/>
      </c>
      <c r="J98" s="30">
        <f>IF(A98="","",IF(N(I98)=0,0,ROUND(H98/I98*50,1)))</f>
        <v/>
      </c>
      <c r="K98" s="23">
        <f>IF(A98="","",ROUND(F98+J98,2))</f>
        <v/>
      </c>
      <c r="L98" s="31">
        <f>IF(A98="","",K98+G98/10000)</f>
        <v/>
      </c>
      <c r="M98" s="27">
        <f>IF(A98="","",COUNTIFS($B$11:$B$110,B98,$L$11:$L$110,"&gt;"&amp;L98)+1)</f>
        <v/>
      </c>
      <c r="N98" s="21">
        <f>IF(A98="","",IFERROR(INDEX($D$5:$D$7,MATCH(B98,$A$5:$A$7,0)),0))</f>
        <v/>
      </c>
      <c r="O98" s="27">
        <f>IF(A98="","",IF(M98&gt;N98,"",IF(M98=1,"최우수",IF(M98&lt;=3,"우수","장려"))))</f>
        <v/>
      </c>
    </row>
    <row r="99">
      <c r="A99" s="27">
        <f>IF(작품목록!A92="","",작품목록!A92)</f>
        <v/>
      </c>
      <c r="B99" s="21">
        <f>IF($A99="","",작품목록!B92&amp;"")</f>
        <v/>
      </c>
      <c r="C99" s="21">
        <f>IF($A99="","",작품목록!C92&amp;"")</f>
        <v/>
      </c>
      <c r="D99" s="21">
        <f>IF($A99="","",작품목록!D92&amp;"")</f>
        <v/>
      </c>
      <c r="E99" s="22">
        <f>IF($A99="","",작품목록!F92&amp;"")</f>
        <v/>
      </c>
      <c r="F99" s="24">
        <f>IF(A99="","",IFERROR(IF(B99="상상",INDEX(심사_상상!$P$5:$P$104,MATCH($A99,심사_상상!$A$5:$A$104,0)),INDEX(심사_블록바이브!$S$5:$S$104,MATCH($A99,심사_블록바이브!$A$5:$A$104,0)))+0,0))</f>
        <v/>
      </c>
      <c r="G99" s="24">
        <f>IF(A99="","",IFERROR(IF(B99="상상",INDEX(심사_상상!$Q$5:$Q$104,MATCH($A99,심사_상상!$A$5:$A$104,0)),INDEX(심사_블록바이브!$T$5:$T$104,MATCH($A99,심사_블록바이브!$A$5:$A$104,0)))+0,0))</f>
        <v/>
      </c>
      <c r="H99" s="21">
        <f>IF(A99="","",IFERROR(INDEX(투표집계!$P$6:$P$1005,MATCH(A99,투표집계!$K$6:$K$1005,0))+0,0))</f>
        <v/>
      </c>
      <c r="I99" s="21">
        <f>IF(A99="","",_xlfn.MAXIFS($H$11:$H$110,$B$11:$B$110,B99))</f>
        <v/>
      </c>
      <c r="J99" s="30">
        <f>IF(A99="","",IF(N(I99)=0,0,ROUND(H99/I99*50,1)))</f>
        <v/>
      </c>
      <c r="K99" s="23">
        <f>IF(A99="","",ROUND(F99+J99,2))</f>
        <v/>
      </c>
      <c r="L99" s="31">
        <f>IF(A99="","",K99+G99/10000)</f>
        <v/>
      </c>
      <c r="M99" s="27">
        <f>IF(A99="","",COUNTIFS($B$11:$B$110,B99,$L$11:$L$110,"&gt;"&amp;L99)+1)</f>
        <v/>
      </c>
      <c r="N99" s="21">
        <f>IF(A99="","",IFERROR(INDEX($D$5:$D$7,MATCH(B99,$A$5:$A$7,0)),0))</f>
        <v/>
      </c>
      <c r="O99" s="27">
        <f>IF(A99="","",IF(M99&gt;N99,"",IF(M99=1,"최우수",IF(M99&lt;=3,"우수","장려"))))</f>
        <v/>
      </c>
    </row>
    <row r="100">
      <c r="A100" s="27">
        <f>IF(작품목록!A93="","",작품목록!A93)</f>
        <v/>
      </c>
      <c r="B100" s="21">
        <f>IF($A100="","",작품목록!B93&amp;"")</f>
        <v/>
      </c>
      <c r="C100" s="21">
        <f>IF($A100="","",작품목록!C93&amp;"")</f>
        <v/>
      </c>
      <c r="D100" s="21">
        <f>IF($A100="","",작품목록!D93&amp;"")</f>
        <v/>
      </c>
      <c r="E100" s="22">
        <f>IF($A100="","",작품목록!F93&amp;"")</f>
        <v/>
      </c>
      <c r="F100" s="24">
        <f>IF(A100="","",IFERROR(IF(B100="상상",INDEX(심사_상상!$P$5:$P$104,MATCH($A100,심사_상상!$A$5:$A$104,0)),INDEX(심사_블록바이브!$S$5:$S$104,MATCH($A100,심사_블록바이브!$A$5:$A$104,0)))+0,0))</f>
        <v/>
      </c>
      <c r="G100" s="24">
        <f>IF(A100="","",IFERROR(IF(B100="상상",INDEX(심사_상상!$Q$5:$Q$104,MATCH($A100,심사_상상!$A$5:$A$104,0)),INDEX(심사_블록바이브!$T$5:$T$104,MATCH($A100,심사_블록바이브!$A$5:$A$104,0)))+0,0))</f>
        <v/>
      </c>
      <c r="H100" s="21">
        <f>IF(A100="","",IFERROR(INDEX(투표집계!$P$6:$P$1005,MATCH(A100,투표집계!$K$6:$K$1005,0))+0,0))</f>
        <v/>
      </c>
      <c r="I100" s="21">
        <f>IF(A100="","",_xlfn.MAXIFS($H$11:$H$110,$B$11:$B$110,B100))</f>
        <v/>
      </c>
      <c r="J100" s="30">
        <f>IF(A100="","",IF(N(I100)=0,0,ROUND(H100/I100*50,1)))</f>
        <v/>
      </c>
      <c r="K100" s="23">
        <f>IF(A100="","",ROUND(F100+J100,2))</f>
        <v/>
      </c>
      <c r="L100" s="31">
        <f>IF(A100="","",K100+G100/10000)</f>
        <v/>
      </c>
      <c r="M100" s="27">
        <f>IF(A100="","",COUNTIFS($B$11:$B$110,B100,$L$11:$L$110,"&gt;"&amp;L100)+1)</f>
        <v/>
      </c>
      <c r="N100" s="21">
        <f>IF(A100="","",IFERROR(INDEX($D$5:$D$7,MATCH(B100,$A$5:$A$7,0)),0))</f>
        <v/>
      </c>
      <c r="O100" s="27">
        <f>IF(A100="","",IF(M100&gt;N100,"",IF(M100=1,"최우수",IF(M100&lt;=3,"우수","장려"))))</f>
        <v/>
      </c>
    </row>
    <row r="101">
      <c r="A101" s="27">
        <f>IF(작품목록!A94="","",작품목록!A94)</f>
        <v/>
      </c>
      <c r="B101" s="21">
        <f>IF($A101="","",작품목록!B94&amp;"")</f>
        <v/>
      </c>
      <c r="C101" s="21">
        <f>IF($A101="","",작품목록!C94&amp;"")</f>
        <v/>
      </c>
      <c r="D101" s="21">
        <f>IF($A101="","",작품목록!D94&amp;"")</f>
        <v/>
      </c>
      <c r="E101" s="22">
        <f>IF($A101="","",작품목록!F94&amp;"")</f>
        <v/>
      </c>
      <c r="F101" s="24">
        <f>IF(A101="","",IFERROR(IF(B101="상상",INDEX(심사_상상!$P$5:$P$104,MATCH($A101,심사_상상!$A$5:$A$104,0)),INDEX(심사_블록바이브!$S$5:$S$104,MATCH($A101,심사_블록바이브!$A$5:$A$104,0)))+0,0))</f>
        <v/>
      </c>
      <c r="G101" s="24">
        <f>IF(A101="","",IFERROR(IF(B101="상상",INDEX(심사_상상!$Q$5:$Q$104,MATCH($A101,심사_상상!$A$5:$A$104,0)),INDEX(심사_블록바이브!$T$5:$T$104,MATCH($A101,심사_블록바이브!$A$5:$A$104,0)))+0,0))</f>
        <v/>
      </c>
      <c r="H101" s="21">
        <f>IF(A101="","",IFERROR(INDEX(투표집계!$P$6:$P$1005,MATCH(A101,투표집계!$K$6:$K$1005,0))+0,0))</f>
        <v/>
      </c>
      <c r="I101" s="21">
        <f>IF(A101="","",_xlfn.MAXIFS($H$11:$H$110,$B$11:$B$110,B101))</f>
        <v/>
      </c>
      <c r="J101" s="30">
        <f>IF(A101="","",IF(N(I101)=0,0,ROUND(H101/I101*50,1)))</f>
        <v/>
      </c>
      <c r="K101" s="23">
        <f>IF(A101="","",ROUND(F101+J101,2))</f>
        <v/>
      </c>
      <c r="L101" s="31">
        <f>IF(A101="","",K101+G101/10000)</f>
        <v/>
      </c>
      <c r="M101" s="27">
        <f>IF(A101="","",COUNTIFS($B$11:$B$110,B101,$L$11:$L$110,"&gt;"&amp;L101)+1)</f>
        <v/>
      </c>
      <c r="N101" s="21">
        <f>IF(A101="","",IFERROR(INDEX($D$5:$D$7,MATCH(B101,$A$5:$A$7,0)),0))</f>
        <v/>
      </c>
      <c r="O101" s="27">
        <f>IF(A101="","",IF(M101&gt;N101,"",IF(M101=1,"최우수",IF(M101&lt;=3,"우수","장려"))))</f>
        <v/>
      </c>
    </row>
    <row r="102">
      <c r="A102" s="27">
        <f>IF(작품목록!A95="","",작품목록!A95)</f>
        <v/>
      </c>
      <c r="B102" s="21">
        <f>IF($A102="","",작품목록!B95&amp;"")</f>
        <v/>
      </c>
      <c r="C102" s="21">
        <f>IF($A102="","",작품목록!C95&amp;"")</f>
        <v/>
      </c>
      <c r="D102" s="21">
        <f>IF($A102="","",작품목록!D95&amp;"")</f>
        <v/>
      </c>
      <c r="E102" s="22">
        <f>IF($A102="","",작품목록!F95&amp;"")</f>
        <v/>
      </c>
      <c r="F102" s="24">
        <f>IF(A102="","",IFERROR(IF(B102="상상",INDEX(심사_상상!$P$5:$P$104,MATCH($A102,심사_상상!$A$5:$A$104,0)),INDEX(심사_블록바이브!$S$5:$S$104,MATCH($A102,심사_블록바이브!$A$5:$A$104,0)))+0,0))</f>
        <v/>
      </c>
      <c r="G102" s="24">
        <f>IF(A102="","",IFERROR(IF(B102="상상",INDEX(심사_상상!$Q$5:$Q$104,MATCH($A102,심사_상상!$A$5:$A$104,0)),INDEX(심사_블록바이브!$T$5:$T$104,MATCH($A102,심사_블록바이브!$A$5:$A$104,0)))+0,0))</f>
        <v/>
      </c>
      <c r="H102" s="21">
        <f>IF(A102="","",IFERROR(INDEX(투표집계!$P$6:$P$1005,MATCH(A102,투표집계!$K$6:$K$1005,0))+0,0))</f>
        <v/>
      </c>
      <c r="I102" s="21">
        <f>IF(A102="","",_xlfn.MAXIFS($H$11:$H$110,$B$11:$B$110,B102))</f>
        <v/>
      </c>
      <c r="J102" s="30">
        <f>IF(A102="","",IF(N(I102)=0,0,ROUND(H102/I102*50,1)))</f>
        <v/>
      </c>
      <c r="K102" s="23">
        <f>IF(A102="","",ROUND(F102+J102,2))</f>
        <v/>
      </c>
      <c r="L102" s="31">
        <f>IF(A102="","",K102+G102/10000)</f>
        <v/>
      </c>
      <c r="M102" s="27">
        <f>IF(A102="","",COUNTIFS($B$11:$B$110,B102,$L$11:$L$110,"&gt;"&amp;L102)+1)</f>
        <v/>
      </c>
      <c r="N102" s="21">
        <f>IF(A102="","",IFERROR(INDEX($D$5:$D$7,MATCH(B102,$A$5:$A$7,0)),0))</f>
        <v/>
      </c>
      <c r="O102" s="27">
        <f>IF(A102="","",IF(M102&gt;N102,"",IF(M102=1,"최우수",IF(M102&lt;=3,"우수","장려"))))</f>
        <v/>
      </c>
    </row>
    <row r="103">
      <c r="A103" s="27">
        <f>IF(작품목록!A96="","",작품목록!A96)</f>
        <v/>
      </c>
      <c r="B103" s="21">
        <f>IF($A103="","",작품목록!B96&amp;"")</f>
        <v/>
      </c>
      <c r="C103" s="21">
        <f>IF($A103="","",작품목록!C96&amp;"")</f>
        <v/>
      </c>
      <c r="D103" s="21">
        <f>IF($A103="","",작품목록!D96&amp;"")</f>
        <v/>
      </c>
      <c r="E103" s="22">
        <f>IF($A103="","",작품목록!F96&amp;"")</f>
        <v/>
      </c>
      <c r="F103" s="24">
        <f>IF(A103="","",IFERROR(IF(B103="상상",INDEX(심사_상상!$P$5:$P$104,MATCH($A103,심사_상상!$A$5:$A$104,0)),INDEX(심사_블록바이브!$S$5:$S$104,MATCH($A103,심사_블록바이브!$A$5:$A$104,0)))+0,0))</f>
        <v/>
      </c>
      <c r="G103" s="24">
        <f>IF(A103="","",IFERROR(IF(B103="상상",INDEX(심사_상상!$Q$5:$Q$104,MATCH($A103,심사_상상!$A$5:$A$104,0)),INDEX(심사_블록바이브!$T$5:$T$104,MATCH($A103,심사_블록바이브!$A$5:$A$104,0)))+0,0))</f>
        <v/>
      </c>
      <c r="H103" s="21">
        <f>IF(A103="","",IFERROR(INDEX(투표집계!$P$6:$P$1005,MATCH(A103,투표집계!$K$6:$K$1005,0))+0,0))</f>
        <v/>
      </c>
      <c r="I103" s="21">
        <f>IF(A103="","",_xlfn.MAXIFS($H$11:$H$110,$B$11:$B$110,B103))</f>
        <v/>
      </c>
      <c r="J103" s="30">
        <f>IF(A103="","",IF(N(I103)=0,0,ROUND(H103/I103*50,1)))</f>
        <v/>
      </c>
      <c r="K103" s="23">
        <f>IF(A103="","",ROUND(F103+J103,2))</f>
        <v/>
      </c>
      <c r="L103" s="31">
        <f>IF(A103="","",K103+G103/10000)</f>
        <v/>
      </c>
      <c r="M103" s="27">
        <f>IF(A103="","",COUNTIFS($B$11:$B$110,B103,$L$11:$L$110,"&gt;"&amp;L103)+1)</f>
        <v/>
      </c>
      <c r="N103" s="21">
        <f>IF(A103="","",IFERROR(INDEX($D$5:$D$7,MATCH(B103,$A$5:$A$7,0)),0))</f>
        <v/>
      </c>
      <c r="O103" s="27">
        <f>IF(A103="","",IF(M103&gt;N103,"",IF(M103=1,"최우수",IF(M103&lt;=3,"우수","장려"))))</f>
        <v/>
      </c>
    </row>
    <row r="104">
      <c r="A104" s="27">
        <f>IF(작품목록!A97="","",작품목록!A97)</f>
        <v/>
      </c>
      <c r="B104" s="21">
        <f>IF($A104="","",작품목록!B97&amp;"")</f>
        <v/>
      </c>
      <c r="C104" s="21">
        <f>IF($A104="","",작품목록!C97&amp;"")</f>
        <v/>
      </c>
      <c r="D104" s="21">
        <f>IF($A104="","",작품목록!D97&amp;"")</f>
        <v/>
      </c>
      <c r="E104" s="22">
        <f>IF($A104="","",작품목록!F97&amp;"")</f>
        <v/>
      </c>
      <c r="F104" s="24">
        <f>IF(A104="","",IFERROR(IF(B104="상상",INDEX(심사_상상!$P$5:$P$104,MATCH($A104,심사_상상!$A$5:$A$104,0)),INDEX(심사_블록바이브!$S$5:$S$104,MATCH($A104,심사_블록바이브!$A$5:$A$104,0)))+0,0))</f>
        <v/>
      </c>
      <c r="G104" s="24">
        <f>IF(A104="","",IFERROR(IF(B104="상상",INDEX(심사_상상!$Q$5:$Q$104,MATCH($A104,심사_상상!$A$5:$A$104,0)),INDEX(심사_블록바이브!$T$5:$T$104,MATCH($A104,심사_블록바이브!$A$5:$A$104,0)))+0,0))</f>
        <v/>
      </c>
      <c r="H104" s="21">
        <f>IF(A104="","",IFERROR(INDEX(투표집계!$P$6:$P$1005,MATCH(A104,투표집계!$K$6:$K$1005,0))+0,0))</f>
        <v/>
      </c>
      <c r="I104" s="21">
        <f>IF(A104="","",_xlfn.MAXIFS($H$11:$H$110,$B$11:$B$110,B104))</f>
        <v/>
      </c>
      <c r="J104" s="30">
        <f>IF(A104="","",IF(N(I104)=0,0,ROUND(H104/I104*50,1)))</f>
        <v/>
      </c>
      <c r="K104" s="23">
        <f>IF(A104="","",ROUND(F104+J104,2))</f>
        <v/>
      </c>
      <c r="L104" s="31">
        <f>IF(A104="","",K104+G104/10000)</f>
        <v/>
      </c>
      <c r="M104" s="27">
        <f>IF(A104="","",COUNTIFS($B$11:$B$110,B104,$L$11:$L$110,"&gt;"&amp;L104)+1)</f>
        <v/>
      </c>
      <c r="N104" s="21">
        <f>IF(A104="","",IFERROR(INDEX($D$5:$D$7,MATCH(B104,$A$5:$A$7,0)),0))</f>
        <v/>
      </c>
      <c r="O104" s="27">
        <f>IF(A104="","",IF(M104&gt;N104,"",IF(M104=1,"최우수",IF(M104&lt;=3,"우수","장려"))))</f>
        <v/>
      </c>
    </row>
    <row r="105">
      <c r="A105" s="27">
        <f>IF(작품목록!A98="","",작품목록!A98)</f>
        <v/>
      </c>
      <c r="B105" s="21">
        <f>IF($A105="","",작품목록!B98&amp;"")</f>
        <v/>
      </c>
      <c r="C105" s="21">
        <f>IF($A105="","",작품목록!C98&amp;"")</f>
        <v/>
      </c>
      <c r="D105" s="21">
        <f>IF($A105="","",작품목록!D98&amp;"")</f>
        <v/>
      </c>
      <c r="E105" s="22">
        <f>IF($A105="","",작품목록!F98&amp;"")</f>
        <v/>
      </c>
      <c r="F105" s="24">
        <f>IF(A105="","",IFERROR(IF(B105="상상",INDEX(심사_상상!$P$5:$P$104,MATCH($A105,심사_상상!$A$5:$A$104,0)),INDEX(심사_블록바이브!$S$5:$S$104,MATCH($A105,심사_블록바이브!$A$5:$A$104,0)))+0,0))</f>
        <v/>
      </c>
      <c r="G105" s="24">
        <f>IF(A105="","",IFERROR(IF(B105="상상",INDEX(심사_상상!$Q$5:$Q$104,MATCH($A105,심사_상상!$A$5:$A$104,0)),INDEX(심사_블록바이브!$T$5:$T$104,MATCH($A105,심사_블록바이브!$A$5:$A$104,0)))+0,0))</f>
        <v/>
      </c>
      <c r="H105" s="21">
        <f>IF(A105="","",IFERROR(INDEX(투표집계!$P$6:$P$1005,MATCH(A105,투표집계!$K$6:$K$1005,0))+0,0))</f>
        <v/>
      </c>
      <c r="I105" s="21">
        <f>IF(A105="","",_xlfn.MAXIFS($H$11:$H$110,$B$11:$B$110,B105))</f>
        <v/>
      </c>
      <c r="J105" s="30">
        <f>IF(A105="","",IF(N(I105)=0,0,ROUND(H105/I105*50,1)))</f>
        <v/>
      </c>
      <c r="K105" s="23">
        <f>IF(A105="","",ROUND(F105+J105,2))</f>
        <v/>
      </c>
      <c r="L105" s="31">
        <f>IF(A105="","",K105+G105/10000)</f>
        <v/>
      </c>
      <c r="M105" s="27">
        <f>IF(A105="","",COUNTIFS($B$11:$B$110,B105,$L$11:$L$110,"&gt;"&amp;L105)+1)</f>
        <v/>
      </c>
      <c r="N105" s="21">
        <f>IF(A105="","",IFERROR(INDEX($D$5:$D$7,MATCH(B105,$A$5:$A$7,0)),0))</f>
        <v/>
      </c>
      <c r="O105" s="27">
        <f>IF(A105="","",IF(M105&gt;N105,"",IF(M105=1,"최우수",IF(M105&lt;=3,"우수","장려"))))</f>
        <v/>
      </c>
    </row>
    <row r="106">
      <c r="A106" s="27">
        <f>IF(작품목록!A99="","",작품목록!A99)</f>
        <v/>
      </c>
      <c r="B106" s="21">
        <f>IF($A106="","",작품목록!B99&amp;"")</f>
        <v/>
      </c>
      <c r="C106" s="21">
        <f>IF($A106="","",작품목록!C99&amp;"")</f>
        <v/>
      </c>
      <c r="D106" s="21">
        <f>IF($A106="","",작품목록!D99&amp;"")</f>
        <v/>
      </c>
      <c r="E106" s="22">
        <f>IF($A106="","",작품목록!F99&amp;"")</f>
        <v/>
      </c>
      <c r="F106" s="24">
        <f>IF(A106="","",IFERROR(IF(B106="상상",INDEX(심사_상상!$P$5:$P$104,MATCH($A106,심사_상상!$A$5:$A$104,0)),INDEX(심사_블록바이브!$S$5:$S$104,MATCH($A106,심사_블록바이브!$A$5:$A$104,0)))+0,0))</f>
        <v/>
      </c>
      <c r="G106" s="24">
        <f>IF(A106="","",IFERROR(IF(B106="상상",INDEX(심사_상상!$Q$5:$Q$104,MATCH($A106,심사_상상!$A$5:$A$104,0)),INDEX(심사_블록바이브!$T$5:$T$104,MATCH($A106,심사_블록바이브!$A$5:$A$104,0)))+0,0))</f>
        <v/>
      </c>
      <c r="H106" s="21">
        <f>IF(A106="","",IFERROR(INDEX(투표집계!$P$6:$P$1005,MATCH(A106,투표집계!$K$6:$K$1005,0))+0,0))</f>
        <v/>
      </c>
      <c r="I106" s="21">
        <f>IF(A106="","",_xlfn.MAXIFS($H$11:$H$110,$B$11:$B$110,B106))</f>
        <v/>
      </c>
      <c r="J106" s="30">
        <f>IF(A106="","",IF(N(I106)=0,0,ROUND(H106/I106*50,1)))</f>
        <v/>
      </c>
      <c r="K106" s="23">
        <f>IF(A106="","",ROUND(F106+J106,2))</f>
        <v/>
      </c>
      <c r="L106" s="31">
        <f>IF(A106="","",K106+G106/10000)</f>
        <v/>
      </c>
      <c r="M106" s="27">
        <f>IF(A106="","",COUNTIFS($B$11:$B$110,B106,$L$11:$L$110,"&gt;"&amp;L106)+1)</f>
        <v/>
      </c>
      <c r="N106" s="21">
        <f>IF(A106="","",IFERROR(INDEX($D$5:$D$7,MATCH(B106,$A$5:$A$7,0)),0))</f>
        <v/>
      </c>
      <c r="O106" s="27">
        <f>IF(A106="","",IF(M106&gt;N106,"",IF(M106=1,"최우수",IF(M106&lt;=3,"우수","장려"))))</f>
        <v/>
      </c>
    </row>
    <row r="107">
      <c r="A107" s="27">
        <f>IF(작품목록!A100="","",작품목록!A100)</f>
        <v/>
      </c>
      <c r="B107" s="21">
        <f>IF($A107="","",작품목록!B100&amp;"")</f>
        <v/>
      </c>
      <c r="C107" s="21">
        <f>IF($A107="","",작품목록!C100&amp;"")</f>
        <v/>
      </c>
      <c r="D107" s="21">
        <f>IF($A107="","",작품목록!D100&amp;"")</f>
        <v/>
      </c>
      <c r="E107" s="22">
        <f>IF($A107="","",작품목록!F100&amp;"")</f>
        <v/>
      </c>
      <c r="F107" s="24">
        <f>IF(A107="","",IFERROR(IF(B107="상상",INDEX(심사_상상!$P$5:$P$104,MATCH($A107,심사_상상!$A$5:$A$104,0)),INDEX(심사_블록바이브!$S$5:$S$104,MATCH($A107,심사_블록바이브!$A$5:$A$104,0)))+0,0))</f>
        <v/>
      </c>
      <c r="G107" s="24">
        <f>IF(A107="","",IFERROR(IF(B107="상상",INDEX(심사_상상!$Q$5:$Q$104,MATCH($A107,심사_상상!$A$5:$A$104,0)),INDEX(심사_블록바이브!$T$5:$T$104,MATCH($A107,심사_블록바이브!$A$5:$A$104,0)))+0,0))</f>
        <v/>
      </c>
      <c r="H107" s="21">
        <f>IF(A107="","",IFERROR(INDEX(투표집계!$P$6:$P$1005,MATCH(A107,투표집계!$K$6:$K$1005,0))+0,0))</f>
        <v/>
      </c>
      <c r="I107" s="21">
        <f>IF(A107="","",_xlfn.MAXIFS($H$11:$H$110,$B$11:$B$110,B107))</f>
        <v/>
      </c>
      <c r="J107" s="30">
        <f>IF(A107="","",IF(N(I107)=0,0,ROUND(H107/I107*50,1)))</f>
        <v/>
      </c>
      <c r="K107" s="23">
        <f>IF(A107="","",ROUND(F107+J107,2))</f>
        <v/>
      </c>
      <c r="L107" s="31">
        <f>IF(A107="","",K107+G107/10000)</f>
        <v/>
      </c>
      <c r="M107" s="27">
        <f>IF(A107="","",COUNTIFS($B$11:$B$110,B107,$L$11:$L$110,"&gt;"&amp;L107)+1)</f>
        <v/>
      </c>
      <c r="N107" s="21">
        <f>IF(A107="","",IFERROR(INDEX($D$5:$D$7,MATCH(B107,$A$5:$A$7,0)),0))</f>
        <v/>
      </c>
      <c r="O107" s="27">
        <f>IF(A107="","",IF(M107&gt;N107,"",IF(M107=1,"최우수",IF(M107&lt;=3,"우수","장려"))))</f>
        <v/>
      </c>
    </row>
    <row r="108">
      <c r="A108" s="27">
        <f>IF(작품목록!A101="","",작품목록!A101)</f>
        <v/>
      </c>
      <c r="B108" s="21">
        <f>IF($A108="","",작품목록!B101&amp;"")</f>
        <v/>
      </c>
      <c r="C108" s="21">
        <f>IF($A108="","",작품목록!C101&amp;"")</f>
        <v/>
      </c>
      <c r="D108" s="21">
        <f>IF($A108="","",작품목록!D101&amp;"")</f>
        <v/>
      </c>
      <c r="E108" s="22">
        <f>IF($A108="","",작품목록!F101&amp;"")</f>
        <v/>
      </c>
      <c r="F108" s="24">
        <f>IF(A108="","",IFERROR(IF(B108="상상",INDEX(심사_상상!$P$5:$P$104,MATCH($A108,심사_상상!$A$5:$A$104,0)),INDEX(심사_블록바이브!$S$5:$S$104,MATCH($A108,심사_블록바이브!$A$5:$A$104,0)))+0,0))</f>
        <v/>
      </c>
      <c r="G108" s="24">
        <f>IF(A108="","",IFERROR(IF(B108="상상",INDEX(심사_상상!$Q$5:$Q$104,MATCH($A108,심사_상상!$A$5:$A$104,0)),INDEX(심사_블록바이브!$T$5:$T$104,MATCH($A108,심사_블록바이브!$A$5:$A$104,0)))+0,0))</f>
        <v/>
      </c>
      <c r="H108" s="21">
        <f>IF(A108="","",IFERROR(INDEX(투표집계!$P$6:$P$1005,MATCH(A108,투표집계!$K$6:$K$1005,0))+0,0))</f>
        <v/>
      </c>
      <c r="I108" s="21">
        <f>IF(A108="","",_xlfn.MAXIFS($H$11:$H$110,$B$11:$B$110,B108))</f>
        <v/>
      </c>
      <c r="J108" s="30">
        <f>IF(A108="","",IF(N(I108)=0,0,ROUND(H108/I108*50,1)))</f>
        <v/>
      </c>
      <c r="K108" s="23">
        <f>IF(A108="","",ROUND(F108+J108,2))</f>
        <v/>
      </c>
      <c r="L108" s="31">
        <f>IF(A108="","",K108+G108/10000)</f>
        <v/>
      </c>
      <c r="M108" s="27">
        <f>IF(A108="","",COUNTIFS($B$11:$B$110,B108,$L$11:$L$110,"&gt;"&amp;L108)+1)</f>
        <v/>
      </c>
      <c r="N108" s="21">
        <f>IF(A108="","",IFERROR(INDEX($D$5:$D$7,MATCH(B108,$A$5:$A$7,0)),0))</f>
        <v/>
      </c>
      <c r="O108" s="27">
        <f>IF(A108="","",IF(M108&gt;N108,"",IF(M108=1,"최우수",IF(M108&lt;=3,"우수","장려"))))</f>
        <v/>
      </c>
    </row>
    <row r="109">
      <c r="A109" s="27">
        <f>IF(작품목록!A102="","",작품목록!A102)</f>
        <v/>
      </c>
      <c r="B109" s="21">
        <f>IF($A109="","",작품목록!B102&amp;"")</f>
        <v/>
      </c>
      <c r="C109" s="21">
        <f>IF($A109="","",작품목록!C102&amp;"")</f>
        <v/>
      </c>
      <c r="D109" s="21">
        <f>IF($A109="","",작품목록!D102&amp;"")</f>
        <v/>
      </c>
      <c r="E109" s="22">
        <f>IF($A109="","",작품목록!F102&amp;"")</f>
        <v/>
      </c>
      <c r="F109" s="24">
        <f>IF(A109="","",IFERROR(IF(B109="상상",INDEX(심사_상상!$P$5:$P$104,MATCH($A109,심사_상상!$A$5:$A$104,0)),INDEX(심사_블록바이브!$S$5:$S$104,MATCH($A109,심사_블록바이브!$A$5:$A$104,0)))+0,0))</f>
        <v/>
      </c>
      <c r="G109" s="24">
        <f>IF(A109="","",IFERROR(IF(B109="상상",INDEX(심사_상상!$Q$5:$Q$104,MATCH($A109,심사_상상!$A$5:$A$104,0)),INDEX(심사_블록바이브!$T$5:$T$104,MATCH($A109,심사_블록바이브!$A$5:$A$104,0)))+0,0))</f>
        <v/>
      </c>
      <c r="H109" s="21">
        <f>IF(A109="","",IFERROR(INDEX(투표집계!$P$6:$P$1005,MATCH(A109,투표집계!$K$6:$K$1005,0))+0,0))</f>
        <v/>
      </c>
      <c r="I109" s="21">
        <f>IF(A109="","",_xlfn.MAXIFS($H$11:$H$110,$B$11:$B$110,B109))</f>
        <v/>
      </c>
      <c r="J109" s="30">
        <f>IF(A109="","",IF(N(I109)=0,0,ROUND(H109/I109*50,1)))</f>
        <v/>
      </c>
      <c r="K109" s="23">
        <f>IF(A109="","",ROUND(F109+J109,2))</f>
        <v/>
      </c>
      <c r="L109" s="31">
        <f>IF(A109="","",K109+G109/10000)</f>
        <v/>
      </c>
      <c r="M109" s="27">
        <f>IF(A109="","",COUNTIFS($B$11:$B$110,B109,$L$11:$L$110,"&gt;"&amp;L109)+1)</f>
        <v/>
      </c>
      <c r="N109" s="21">
        <f>IF(A109="","",IFERROR(INDEX($D$5:$D$7,MATCH(B109,$A$5:$A$7,0)),0))</f>
        <v/>
      </c>
      <c r="O109" s="27">
        <f>IF(A109="","",IF(M109&gt;N109,"",IF(M109=1,"최우수",IF(M109&lt;=3,"우수","장려"))))</f>
        <v/>
      </c>
    </row>
    <row r="110">
      <c r="A110" s="27">
        <f>IF(작품목록!A103="","",작품목록!A103)</f>
        <v/>
      </c>
      <c r="B110" s="21">
        <f>IF($A110="","",작품목록!B103&amp;"")</f>
        <v/>
      </c>
      <c r="C110" s="21">
        <f>IF($A110="","",작품목록!C103&amp;"")</f>
        <v/>
      </c>
      <c r="D110" s="21">
        <f>IF($A110="","",작품목록!D103&amp;"")</f>
        <v/>
      </c>
      <c r="E110" s="22">
        <f>IF($A110="","",작품목록!F103&amp;"")</f>
        <v/>
      </c>
      <c r="F110" s="24">
        <f>IF(A110="","",IFERROR(IF(B110="상상",INDEX(심사_상상!$P$5:$P$104,MATCH($A110,심사_상상!$A$5:$A$104,0)),INDEX(심사_블록바이브!$S$5:$S$104,MATCH($A110,심사_블록바이브!$A$5:$A$104,0)))+0,0))</f>
        <v/>
      </c>
      <c r="G110" s="24">
        <f>IF(A110="","",IFERROR(IF(B110="상상",INDEX(심사_상상!$Q$5:$Q$104,MATCH($A110,심사_상상!$A$5:$A$104,0)),INDEX(심사_블록바이브!$T$5:$T$104,MATCH($A110,심사_블록바이브!$A$5:$A$104,0)))+0,0))</f>
        <v/>
      </c>
      <c r="H110" s="21">
        <f>IF(A110="","",IFERROR(INDEX(투표집계!$P$6:$P$1005,MATCH(A110,투표집계!$K$6:$K$1005,0))+0,0))</f>
        <v/>
      </c>
      <c r="I110" s="21">
        <f>IF(A110="","",_xlfn.MAXIFS($H$11:$H$110,$B$11:$B$110,B110))</f>
        <v/>
      </c>
      <c r="J110" s="30">
        <f>IF(A110="","",IF(N(I110)=0,0,ROUND(H110/I110*50,1)))</f>
        <v/>
      </c>
      <c r="K110" s="23">
        <f>IF(A110="","",ROUND(F110+J110,2))</f>
        <v/>
      </c>
      <c r="L110" s="31">
        <f>IF(A110="","",K110+G110/10000)</f>
        <v/>
      </c>
      <c r="M110" s="27">
        <f>IF(A110="","",COUNTIFS($B$11:$B$110,B110,$L$11:$L$110,"&gt;"&amp;L110)+1)</f>
        <v/>
      </c>
      <c r="N110" s="21">
        <f>IF(A110="","",IFERROR(INDEX($D$5:$D$7,MATCH(B110,$A$5:$A$7,0)),0))</f>
        <v/>
      </c>
      <c r="O110" s="27">
        <f>IF(A110="","",IF(M110&gt;N110,"",IF(M110=1,"최우수",IF(M110&lt;=3,"우수","장려"))))</f>
        <v/>
      </c>
    </row>
  </sheetData>
  <autoFilter ref="A10:O110"/>
  <conditionalFormatting sqref="A11:O110">
    <cfRule type="expression" priority="1" dxfId="1">
      <formula>$O11="최우수"</formula>
    </cfRule>
    <cfRule type="expression" priority="2" dxfId="2">
      <formula>$O11="우수"</formula>
    </cfRule>
    <cfRule type="expression" priority="3" dxfId="3">
      <formula>$O11="장려"</formula>
    </cfRule>
  </conditionalFormatting>
  <pageMargins left="0.4" right="0.4" top="0.5" bottom="0.5" header="0.5" footer="0.5"/>
  <pageSetup orientation="landscape" paperSize="9" fitToHeight="0" fitToWidth="1"/>
  <headerFooter>
    <oddHeader/>
    <oddFooter>&amp;C&amp;P /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2026-10-01T17:18:36Z</dcterms:created>
  <dcterms:modified xmlns:dcterms="http://purl.org/dc/terms/" xmlns:xsi="http://www.w3.org/2001/XMLSchema-instance" xsi:type="dcterms:W3CDTF">2026-10-01T17:18:36Z</dcterms:modified>
</cp:coreProperties>
</file>